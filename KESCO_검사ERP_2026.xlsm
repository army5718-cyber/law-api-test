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0" yWindow="0" windowWidth="16380" windowHeight="8196" tabRatio="500" firstSheet="0" activeTab="1" autoFilterDateGrouping="1"/>
  </bookViews>
  <sheets>
    <sheet xmlns:r="http://schemas.openxmlformats.org/officeDocument/2006/relationships" name="00_사용설명" sheetId="1" state="visible" r:id="rId1"/>
    <sheet xmlns:r="http://schemas.openxmlformats.org/officeDocument/2006/relationships" name="11_일일대장" sheetId="2" state="visible" r:id="rId2"/>
    <sheet xmlns:r="http://schemas.openxmlformats.org/officeDocument/2006/relationships" name="10_원데이터" sheetId="3" state="visible" r:id="rId3"/>
    <sheet xmlns:r="http://schemas.openxmlformats.org/officeDocument/2006/relationships" name="12_월대장" sheetId="4" state="visible" r:id="rId4"/>
    <sheet xmlns:r="http://schemas.openxmlformats.org/officeDocument/2006/relationships" name="13_통계" sheetId="5" state="visible" r:id="rId5"/>
    <sheet xmlns:r="http://schemas.openxmlformats.org/officeDocument/2006/relationships" name="01_검사자명단" sheetId="6" state="visible" r:id="rId6"/>
    <sheet xmlns:r="http://schemas.openxmlformats.org/officeDocument/2006/relationships" name="02_설정" sheetId="7" state="visible" r:id="rId7"/>
    <sheet xmlns:r="http://schemas.openxmlformats.org/officeDocument/2006/relationships" name="04_지역표" sheetId="8" state="visible" r:id="rId8"/>
    <sheet xmlns:r="http://schemas.openxmlformats.org/officeDocument/2006/relationships" name="05_우선순위매트릭스" sheetId="9" state="visible" r:id="rId9"/>
    <sheet xmlns:r="http://schemas.openxmlformats.org/officeDocument/2006/relationships" name="09_배분결과" sheetId="10" state="visible" r:id="rId10"/>
    <sheet xmlns:r="http://schemas.openxmlformats.org/officeDocument/2006/relationships" name="07_배분로그" sheetId="11" state="visible" r:id="rId11"/>
  </sheets>
  <definedNames>
    <definedName name="검사자명단">'01_검사자명단'!$A$2:$A$21</definedName>
    <definedName name="검사자별칭">'01_검사자명단'!$H$2:$I$60</definedName>
    <definedName name="보드날짜">'02_설정'!$C$13</definedName>
    <definedName name="슬롯단위_분">'02_설정'!$C$6</definedName>
    <definedName name="약식설비소요시간_분">'02_설정'!$C$9</definedName>
    <definedName name="온라인업무소요시간_분">'02_설정'!$C$10</definedName>
    <definedName name="운영시작시간">'02_설정'!$C$4</definedName>
    <definedName name="운영종료시간">'02_설정'!$C$5</definedName>
    <definedName name="점심시간길이_분">'02_설정'!$C$11</definedName>
    <definedName name="점심탐색순서">'02_설정'!$C$12</definedName>
    <definedName name="정식설비기준용량_kW">'02_설정'!$C$7</definedName>
    <definedName name="정식설비소요시간_분">'02_설정'!$C$8</definedName>
    <definedName name="월대장월">'12_월대장'!$C$3</definedName>
    <definedName name="_xlnm.Print_Area" localSheetId="1">'11_일일대장'!$A$4:$Z$27</definedName>
    <definedName name="_xlnm.Print_Area" localSheetId="3">'12_월대장'!$A$1:$BN$172</definedName>
  </definedNames>
  <calcPr calcId="162913" fullCalcOnLoad="1" iterateDelta="0.0001"/>
</workbook>
</file>

<file path=xl/styles.xml><?xml version="1.0" encoding="utf-8"?>
<styleSheet xmlns="http://schemas.openxmlformats.org/spreadsheetml/2006/main">
  <numFmts count="9">
    <numFmt numFmtId="164" formatCode="yyyy\-mm\-dd\ hh:mm:ss"/>
    <numFmt numFmtId="165" formatCode="yyyy/mm/dd\(aaa\)"/>
    <numFmt numFmtId="166" formatCode="yyyy&quot;년&quot;\ m&quot;월&quot;"/>
    <numFmt numFmtId="167" formatCode="0&quot;월&quot;"/>
    <numFmt numFmtId="168" formatCode="m&quot;월&quot;\ d&quot;일&quot;"/>
    <numFmt numFmtId="169" formatCode="yyyy-mm-dd h:mm:ss"/>
    <numFmt numFmtId="170" formatCode="m&quot;월 건수&quot;"/>
    <numFmt numFmtId="171" formatCode="yyyy-mm-dd"/>
    <numFmt numFmtId="172" formatCode="m&quot;월&quot; d&quot;일&quot;"/>
  </numFmts>
  <fonts count="66">
    <font>
      <name val="Calibri"/>
      <charset val="1"/>
      <family val="2"/>
      <color theme="1"/>
      <sz val="11"/>
    </font>
    <font>
      <name val="Arial"/>
      <family val="2"/>
      <b val="1"/>
      <sz val="16"/>
    </font>
    <font>
      <name val="Noto Sans CJK SC"/>
      <family val="2"/>
      <sz val="10"/>
    </font>
    <font>
      <name val="Arial"/>
      <family val="2"/>
      <sz val="10"/>
    </font>
    <font>
      <name val="Noto Sans CJK SC"/>
      <family val="2"/>
      <b val="1"/>
      <sz val="12"/>
    </font>
    <font>
      <name val="Arial"/>
      <family val="2"/>
      <b val="1"/>
      <sz val="10"/>
    </font>
    <font>
      <name val="Noto Sans CJK SC"/>
      <family val="2"/>
      <b val="1"/>
      <sz val="10"/>
    </font>
    <font>
      <name val="Noto Sans CJK SC"/>
      <family val="2"/>
      <b val="1"/>
      <color rgb="FFFFFFFF"/>
      <sz val="10"/>
    </font>
    <font>
      <name val="Noto Sans CJK SC"/>
      <family val="2"/>
      <i val="1"/>
      <color rgb="FF808080"/>
      <sz val="9"/>
    </font>
    <font>
      <name val="Arial"/>
      <family val="2"/>
      <i val="1"/>
      <color rgb="FF808080"/>
      <sz val="9"/>
    </font>
    <font>
      <name val="Arial"/>
      <family val="2"/>
      <b val="1"/>
      <sz val="12"/>
    </font>
    <font>
      <name val="Arial"/>
      <family val="2"/>
      <b val="1"/>
      <color rgb="FFFFFFFF"/>
      <sz val="10"/>
    </font>
    <font>
      <name val="Noto Sans CJK SC"/>
      <family val="2"/>
      <i val="1"/>
      <color rgb="FF808080"/>
      <sz val="10"/>
    </font>
    <font>
      <name val="Arial"/>
      <family val="2"/>
      <i val="1"/>
      <color rgb="FF808080"/>
      <sz val="10"/>
    </font>
    <font>
      <name val="돋움"/>
      <charset val="129"/>
      <family val="3"/>
      <sz val="8"/>
    </font>
    <font>
      <name val="Calibri"/>
      <family val="2"/>
      <b val="1"/>
      <color rgb="FFFFFFFF"/>
      <sz val="11"/>
    </font>
    <font>
      <name val="Calibri"/>
      <charset val="1"/>
      <family val="2"/>
      <b val="1"/>
      <color rgb="FFFFFFFF"/>
      <sz val="11"/>
    </font>
    <font>
      <name val="맑은 고딕"/>
      <charset val="129"/>
      <family val="3"/>
      <color rgb="FF000000"/>
      <sz val="9"/>
    </font>
    <font>
      <name val="맑은 고딕"/>
      <charset val="129"/>
      <family val="3"/>
      <b val="1"/>
      <color rgb="FF1F3864"/>
      <sz val="11"/>
    </font>
    <font>
      <name val="맑은 고딕"/>
      <charset val="129"/>
      <family val="3"/>
      <b val="1"/>
      <color rgb="FF1F3864"/>
      <sz val="10"/>
    </font>
    <font>
      <name val="맑은 고딕"/>
      <charset val="129"/>
      <family val="3"/>
      <b val="1"/>
      <color rgb="FF808080"/>
      <sz val="10"/>
    </font>
    <font>
      <name val="맑은 고딕"/>
      <charset val="129"/>
      <family val="3"/>
      <color rgb="FF808080"/>
      <sz val="9"/>
    </font>
    <font>
      <name val="맑은 고딕"/>
      <charset val="129"/>
      <family val="3"/>
      <b val="1"/>
      <color rgb="FFFFFFFF"/>
      <sz val="14"/>
    </font>
    <font>
      <name val="맑은 고딕"/>
      <charset val="129"/>
      <family val="3"/>
      <b val="1"/>
      <color rgb="FFFFFFFF"/>
      <sz val="9"/>
    </font>
    <font>
      <name val="돋움"/>
      <charset val="129"/>
      <family val="3"/>
      <i val="1"/>
      <color rgb="FF808080"/>
      <sz val="10"/>
    </font>
    <font>
      <name val="맑은 고딕"/>
      <charset val="129"/>
      <family val="3"/>
      <color theme="1"/>
      <sz val="11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theme="1"/>
      <sz val="11"/>
    </font>
    <font>
      <name val="맑은 고딕"/>
      <charset val="129"/>
      <family val="3"/>
      <b val="1"/>
      <color theme="1"/>
      <sz val="13"/>
    </font>
    <font>
      <name val="Calibri"/>
      <family val="2"/>
      <b val="1"/>
      <color rgb="FF1F3864"/>
      <sz val="12"/>
    </font>
    <font>
      <name val="Calibri"/>
      <charset val="1"/>
      <family val="2"/>
      <b val="1"/>
      <color rgb="FF1F3864"/>
      <sz val="12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b val="1"/>
      <color rgb="FF1F3864"/>
      <sz val="12"/>
    </font>
    <font>
      <name val="맑은 고딕"/>
      <charset val="129"/>
      <family val="3"/>
      <b val="1"/>
      <color theme="1"/>
      <sz val="14"/>
    </font>
    <font>
      <name val="맑은 고딕"/>
      <charset val="129"/>
      <family val="3"/>
      <b val="1"/>
      <color rgb="FFFF0000"/>
      <sz val="14"/>
    </font>
    <font>
      <name val="맑은 고딕"/>
      <charset val="129"/>
      <family val="3"/>
      <color rgb="FFFF0000"/>
      <sz val="11"/>
    </font>
    <font>
      <name val="맑은 고딕"/>
      <charset val="129"/>
      <family val="3"/>
      <color theme="1"/>
      <sz val="9"/>
    </font>
    <font>
      <name val="맑은 고딕"/>
      <charset val="129"/>
      <family val="3"/>
      <color theme="1"/>
      <sz val="10"/>
    </font>
    <font>
      <name val="맑은 고딕"/>
      <charset val="129"/>
      <family val="3"/>
      <b val="1"/>
      <color rgb="FF1F3864"/>
      <sz val="13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color rgb="FFFF0000"/>
      <sz val="10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theme="1"/>
      <sz val="8"/>
    </font>
    <font>
      <name val="Calibri"/>
      <family val="2"/>
      <color rgb="FF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000000"/>
      <sz val="10"/>
    </font>
    <font>
      <name val="맑은 고딕"/>
      <color rgb="00808080"/>
      <sz val="9"/>
    </font>
    <font>
      <name val="Calibri"/>
      <family val="2"/>
      <color theme="1"/>
      <sz val="12"/>
      <scheme val="minor"/>
    </font>
    <font>
      <name val="맑은 고딕"/>
      <b val="1"/>
      <color rgb="001F3864"/>
      <sz val="12"/>
    </font>
    <font>
      <name val="맑은 고딕"/>
      <b val="1"/>
      <color rgb="00000000"/>
      <sz val="14"/>
    </font>
    <font>
      <name val="맑은 고딕"/>
      <b val="1"/>
      <color rgb="00FF0000"/>
      <sz val="14"/>
    </font>
    <font>
      <name val="맑은 고딕"/>
      <b val="1"/>
      <color rgb="00000000"/>
      <sz val="11"/>
    </font>
    <font>
      <name val="맑은 고딕"/>
      <color rgb="00FF0000"/>
      <sz val="10"/>
    </font>
    <font>
      <name val="맑은 고딕"/>
      <color rgb="00000000"/>
      <sz val="9"/>
    </font>
    <font>
      <name val="맑은 고딕"/>
      <b val="1"/>
      <color rgb="00FFFFFF"/>
      <sz val="12"/>
    </font>
    <font>
      <name val="맑은 고딕"/>
      <b val="1"/>
      <color rgb="00FFFFFF"/>
      <sz val="8"/>
    </font>
    <font>
      <name val="맑은 고딕"/>
      <b val="1"/>
      <color rgb="001F3864"/>
      <sz val="9"/>
    </font>
    <font>
      <name val="맑은 고딕"/>
      <b val="1"/>
      <color rgb="001F3864"/>
      <sz val="10"/>
    </font>
    <font>
      <name val="맑은 고딕"/>
      <b val="1"/>
      <color rgb="00808080"/>
      <sz val="9"/>
    </font>
    <font>
      <name val="맑은 고딕"/>
      <color rgb="00808080"/>
      <sz val="8"/>
    </font>
    <font>
      <name val="맑은 고딕"/>
      <b val="1"/>
      <color rgb="001F3864"/>
      <sz val="13"/>
    </font>
    <font>
      <name val="맑은 고딕"/>
      <b val="1"/>
      <color rgb="00000000"/>
      <sz val="12"/>
    </font>
    <font>
      <name val="맑은 고딕"/>
      <b val="1"/>
      <color rgb="00FF0000"/>
      <sz val="10"/>
    </font>
    <font>
      <name val="맑은 고딕"/>
      <color rgb="00000000"/>
      <sz val="8"/>
    </font>
    <font>
      <name val="맑은 고딕"/>
      <b val="1"/>
      <color rgb="001F3864"/>
      <sz val="16"/>
    </font>
  </fonts>
  <fills count="31">
    <fill>
      <patternFill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DEBF7"/>
        <bgColor rgb="FF333333"/>
      </patternFill>
    </fill>
    <fill>
      <patternFill patternType="solid">
        <fgColor rgb="FFF2F2F2"/>
        <bgColor indexed="64"/>
      </patternFill>
    </fill>
    <fill>
      <patternFill patternType="solid">
        <fgColor rgb="FF5F63B9"/>
        <bgColor rgb="FFD9D9D9"/>
      </patternFill>
    </fill>
    <fill>
      <patternFill patternType="solid">
        <fgColor rgb="FF00B050"/>
        <bgColor rgb="FFD9D9D9"/>
      </patternFill>
    </fill>
    <fill>
      <patternFill patternType="solid">
        <fgColor rgb="FF1155CC"/>
        <bgColor rgb="FFD9D9D9"/>
      </patternFill>
    </fill>
    <fill>
      <patternFill patternType="solid">
        <fgColor rgb="FFCF9E00"/>
        <bgColor rgb="FFFFF2CC"/>
      </patternFill>
    </fill>
    <fill>
      <patternFill patternType="solid">
        <fgColor rgb="FF3F7F85"/>
        <bgColor rgb="FFBDD7EE"/>
      </patternFill>
    </fill>
    <fill>
      <patternFill patternType="solid">
        <fgColor rgb="FF7030A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5F63B9"/>
      </patternFill>
    </fill>
    <fill>
      <patternFill patternType="solid">
        <fgColor rgb="0000B050"/>
      </patternFill>
    </fill>
    <fill>
      <patternFill patternType="solid">
        <fgColor rgb="001155CC"/>
      </patternFill>
    </fill>
    <fill>
      <patternFill patternType="solid">
        <fgColor rgb="00CF9E00"/>
      </patternFill>
    </fill>
    <fill>
      <patternFill patternType="solid">
        <fgColor rgb="003F7F85"/>
      </patternFill>
    </fill>
    <fill>
      <patternFill patternType="solid">
        <fgColor rgb="007030A0"/>
      </patternFill>
    </fill>
    <fill>
      <patternFill patternType="solid">
        <fgColor rgb="00A02828"/>
      </patternFill>
    </fill>
    <fill>
      <patternFill patternType="solid">
        <fgColor rgb="00DDEBF7"/>
      </patternFill>
    </fill>
    <fill>
      <patternFill patternType="solid">
        <fgColor rgb="00F2F2F2"/>
      </patternFill>
    </fill>
  </fills>
  <borders count="7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1F38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CFE0"/>
      </left>
      <right style="thin">
        <color rgb="FFBFCFE0"/>
      </right>
      <top style="medium">
        <color rgb="FF1F3864"/>
      </top>
      <bottom/>
      <diagonal/>
    </border>
    <border>
      <left style="thin">
        <color rgb="FFBFCFE0"/>
      </left>
      <right style="thin">
        <color rgb="FFBFCFE0"/>
      </right>
      <top style="dotted">
        <color rgb="FF5B9BD5"/>
      </top>
      <bottom/>
      <diagonal/>
    </border>
    <border>
      <left/>
      <right/>
      <top style="dotted">
        <color rgb="FF5B9BD5"/>
      </top>
      <bottom style="thin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FFFFFF"/>
      </left>
      <right style="thin">
        <color rgb="00FFFFFF"/>
      </right>
    </border>
    <border>
      <bottom style="medium">
        <color rgb="001F3864"/>
      </bottom>
    </border>
    <border>
      <left style="thin">
        <color rgb="00BFCFE0"/>
      </left>
      <right style="thin">
        <color rgb="00BFCFE0"/>
      </right>
      <bottom style="dotted">
        <color rgb="005B9BD5"/>
      </bottom>
    </border>
  </borders>
  <cellStyleXfs count="2">
    <xf numFmtId="0" fontId="0" fillId="0" borderId="0"/>
    <xf numFmtId="0" fontId="48" fillId="0" borderId="0"/>
  </cellStyleXfs>
  <cellXfs count="270">
    <xf numFmtId="0" fontId="0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2" fillId="3" borderId="1" pivotButton="0" quotePrefix="0" xfId="0"/>
    <xf numFmtId="0" fontId="3" fillId="3" borderId="1" pivotButton="0" quotePrefix="0" xfId="0"/>
    <xf numFmtId="0" fontId="2" fillId="0" borderId="1" pivotButton="0" quotePrefix="0" xfId="0"/>
    <xf numFmtId="0" fontId="3" fillId="0" borderId="1" pivotButton="0" quotePrefix="0" xfId="0"/>
    <xf numFmtId="0" fontId="8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11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0" fontId="13" fillId="3" borderId="1" pivotButton="0" quotePrefix="0" xfId="0"/>
    <xf numFmtId="0" fontId="2" fillId="4" borderId="1" pivotButton="0" quotePrefix="0" xfId="0"/>
    <xf numFmtId="0" fontId="6" fillId="0" borderId="1" pivotButton="0" quotePrefix="0" xfId="0"/>
    <xf numFmtId="49" fontId="0" fillId="0" borderId="0" pivotButton="0" quotePrefix="0" xfId="0"/>
    <xf numFmtId="14" fontId="0" fillId="0" borderId="0" pivotButton="0" quotePrefix="0" xfId="0"/>
    <xf numFmtId="14" fontId="16" fillId="5" borderId="0" applyAlignment="1" pivotButton="0" quotePrefix="0" xfId="0">
      <alignment horizontal="center"/>
    </xf>
    <xf numFmtId="0" fontId="16" fillId="5" borderId="0" applyAlignment="1" pivotButton="0" quotePrefix="0" xfId="0">
      <alignment horizontal="center"/>
    </xf>
    <xf numFmtId="49" fontId="16" fillId="5" borderId="0" applyAlignment="1" pivotButton="0" quotePrefix="0" xfId="0">
      <alignment horizontal="center"/>
    </xf>
    <xf numFmtId="14" fontId="3" fillId="3" borderId="1" pivotButton="0" quotePrefix="0" xfId="0"/>
    <xf numFmtId="0" fontId="0" fillId="0" borderId="0" pivotButton="0" quotePrefix="0" xfId="0"/>
    <xf numFmtId="0" fontId="17" fillId="0" borderId="0" applyAlignment="1" pivotButton="0" quotePrefix="0" xfId="0">
      <alignment vertical="top"/>
    </xf>
    <xf numFmtId="0" fontId="18" fillId="6" borderId="0" applyAlignment="1" pivotButton="0" quotePrefix="0" xfId="0">
      <alignment horizontal="center" vertical="center"/>
    </xf>
    <xf numFmtId="0" fontId="18" fillId="7" borderId="3" applyAlignment="1" pivotButton="0" quotePrefix="0" xfId="0">
      <alignment horizontal="center" vertical="center"/>
    </xf>
    <xf numFmtId="49" fontId="19" fillId="6" borderId="4" applyAlignment="1" pivotButton="0" quotePrefix="0" xfId="0">
      <alignment horizontal="right" vertical="top"/>
    </xf>
    <xf numFmtId="0" fontId="17" fillId="0" borderId="5" applyAlignment="1" pivotButton="0" quotePrefix="0" xfId="0">
      <alignment vertical="top"/>
    </xf>
    <xf numFmtId="49" fontId="19" fillId="6" borderId="2" applyAlignment="1" pivotButton="0" quotePrefix="0" xfId="0">
      <alignment horizontal="right" vertical="top"/>
    </xf>
    <xf numFmtId="0" fontId="17" fillId="0" borderId="6" applyAlignment="1" pivotButton="0" quotePrefix="0" xfId="0">
      <alignment vertical="top"/>
    </xf>
    <xf numFmtId="49" fontId="20" fillId="6" borderId="2" applyAlignment="1" pivotButton="0" quotePrefix="0" xfId="0">
      <alignment horizontal="right"/>
    </xf>
    <xf numFmtId="0" fontId="17" fillId="8" borderId="7" applyAlignment="1" pivotButton="0" quotePrefix="0" xfId="0">
      <alignment vertical="top"/>
    </xf>
    <xf numFmtId="0" fontId="22" fillId="5" borderId="0" applyAlignment="1" pivotButton="0" quotePrefix="0" xfId="0">
      <alignment vertical="center"/>
    </xf>
    <xf numFmtId="0" fontId="23" fillId="9" borderId="8" applyAlignment="1" pivotButton="0" quotePrefix="0" xfId="0">
      <alignment horizontal="center" vertical="center"/>
    </xf>
    <xf numFmtId="0" fontId="23" fillId="10" borderId="8" applyAlignment="1" pivotButton="0" quotePrefix="0" xfId="0">
      <alignment horizontal="center" vertical="center"/>
    </xf>
    <xf numFmtId="0" fontId="23" fillId="11" borderId="8" applyAlignment="1" pivotButton="0" quotePrefix="0" xfId="0">
      <alignment horizontal="center" vertical="center"/>
    </xf>
    <xf numFmtId="0" fontId="23" fillId="12" borderId="8" applyAlignment="1" pivotButton="0" quotePrefix="0" xfId="0">
      <alignment horizontal="center" vertical="center"/>
    </xf>
    <xf numFmtId="0" fontId="23" fillId="13" borderId="8" applyAlignment="1" pivotButton="0" quotePrefix="0" xfId="0">
      <alignment horizontal="center" vertical="center"/>
    </xf>
    <xf numFmtId="0" fontId="23" fillId="14" borderId="8" applyAlignment="1" pivotButton="0" quotePrefix="0" xfId="0">
      <alignment horizontal="center" vertical="center"/>
    </xf>
    <xf numFmtId="0" fontId="23" fillId="15" borderId="8" applyAlignment="1" pivotButton="0" quotePrefix="0" xfId="0">
      <alignment horizontal="center" vertical="center"/>
    </xf>
    <xf numFmtId="0" fontId="21" fillId="8" borderId="7" applyAlignment="1" pivotButton="0" quotePrefix="0" xfId="0">
      <alignment vertical="top"/>
    </xf>
    <xf numFmtId="20" fontId="0" fillId="0" borderId="0" pivotButton="0" quotePrefix="0" xfId="0"/>
    <xf numFmtId="164" fontId="3" fillId="0" borderId="0" pivotButton="0" quotePrefix="0" xfId="0"/>
    <xf numFmtId="164" fontId="0" fillId="0" borderId="0" pivotButton="0" quotePrefix="0" xfId="0"/>
    <xf numFmtId="0" fontId="24" fillId="3" borderId="1" pivotButton="0" quotePrefix="0" xfId="0"/>
    <xf numFmtId="20" fontId="13" fillId="3" borderId="1" pivotButton="0" quotePrefix="0" xfId="0"/>
    <xf numFmtId="0" fontId="25" fillId="0" borderId="0" pivotButton="0" quotePrefix="0" xfId="0"/>
    <xf numFmtId="0" fontId="26" fillId="5" borderId="0" pivotButton="0" quotePrefix="0" xfId="0"/>
    <xf numFmtId="0" fontId="16" fillId="5" borderId="0" pivotButton="0" quotePrefix="0" xfId="0"/>
    <xf numFmtId="165" fontId="25" fillId="0" borderId="0" pivotButton="0" quotePrefix="0" xfId="0"/>
    <xf numFmtId="20" fontId="25" fillId="0" borderId="0" pivotButton="0" quotePrefix="0" xfId="0"/>
    <xf numFmtId="3" fontId="25" fillId="0" borderId="0" pivotButton="0" quotePrefix="0" xfId="0"/>
    <xf numFmtId="0" fontId="25" fillId="16" borderId="0" pivotButton="0" quotePrefix="0" xfId="0"/>
    <xf numFmtId="166" fontId="25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5" fillId="17" borderId="0" pivotButton="0" quotePrefix="0" xfId="0"/>
    <xf numFmtId="0" fontId="26" fillId="5" borderId="0" applyAlignment="1" pivotButton="0" quotePrefix="0" xfId="0">
      <alignment horizontal="center"/>
    </xf>
    <xf numFmtId="167" fontId="26" fillId="5" borderId="0" applyAlignment="1" pivotButton="0" quotePrefix="0" xfId="0">
      <alignment horizontal="center"/>
    </xf>
    <xf numFmtId="0" fontId="29" fillId="0" borderId="0" pivotButton="0" quotePrefix="0" xfId="0"/>
    <xf numFmtId="0" fontId="32" fillId="0" borderId="0" pivotButton="0" quotePrefix="0" xfId="0"/>
    <xf numFmtId="0" fontId="25" fillId="0" borderId="0" applyAlignment="1" pivotButton="0" quotePrefix="0" xfId="0">
      <alignment vertical="center"/>
    </xf>
    <xf numFmtId="0" fontId="31" fillId="0" borderId="0" applyAlignment="1" pivotButton="0" quotePrefix="0" xfId="0">
      <alignment horizontal="center" vertical="center"/>
    </xf>
    <xf numFmtId="0" fontId="25" fillId="0" borderId="13" applyAlignment="1" pivotButton="0" quotePrefix="0" xfId="0">
      <alignment vertical="center"/>
    </xf>
    <xf numFmtId="0" fontId="25" fillId="0" borderId="14" applyAlignment="1" pivotButton="0" quotePrefix="0" xfId="0">
      <alignment vertical="center"/>
    </xf>
    <xf numFmtId="0" fontId="25" fillId="0" borderId="15" applyAlignment="1" pivotButton="0" quotePrefix="0" xfId="0">
      <alignment vertical="center"/>
    </xf>
    <xf numFmtId="0" fontId="35" fillId="0" borderId="13" applyAlignment="1" pivotButton="0" quotePrefix="0" xfId="0">
      <alignment vertical="center"/>
    </xf>
    <xf numFmtId="0" fontId="35" fillId="0" borderId="14" applyAlignment="1" pivotButton="0" quotePrefix="0" xfId="0">
      <alignment vertical="center"/>
    </xf>
    <xf numFmtId="0" fontId="35" fillId="0" borderId="15" applyAlignment="1" pivotButton="0" quotePrefix="0" xfId="0">
      <alignment vertical="center"/>
    </xf>
    <xf numFmtId="0" fontId="25" fillId="0" borderId="10" applyAlignment="1" pivotButton="0" quotePrefix="0" xfId="0">
      <alignment horizontal="center" vertical="center"/>
    </xf>
    <xf numFmtId="0" fontId="25" fillId="0" borderId="9" applyAlignment="1" pivotButton="0" quotePrefix="0" xfId="0">
      <alignment horizontal="center" vertical="center"/>
    </xf>
    <xf numFmtId="0" fontId="25" fillId="0" borderId="12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35" fillId="0" borderId="9" applyAlignment="1" pivotButton="0" quotePrefix="0" xfId="0">
      <alignment horizontal="center" vertical="center"/>
    </xf>
    <xf numFmtId="0" fontId="35" fillId="0" borderId="12" applyAlignment="1" pivotButton="0" quotePrefix="0" xfId="0">
      <alignment horizontal="center" vertical="center"/>
    </xf>
    <xf numFmtId="0" fontId="25" fillId="0" borderId="19" applyAlignment="1" pivotButton="0" quotePrefix="0" xfId="0">
      <alignment horizontal="center" vertical="center"/>
    </xf>
    <xf numFmtId="0" fontId="25" fillId="0" borderId="20" applyAlignment="1" pivotButton="0" quotePrefix="0" xfId="0">
      <alignment horizontal="center" vertical="center"/>
    </xf>
    <xf numFmtId="0" fontId="25" fillId="0" borderId="21" applyAlignment="1" pivotButton="0" quotePrefix="0" xfId="0">
      <alignment horizontal="center" vertical="center"/>
    </xf>
    <xf numFmtId="0" fontId="35" fillId="0" borderId="16" applyAlignment="1" pivotButton="0" quotePrefix="0" xfId="0">
      <alignment horizontal="center" vertical="center"/>
    </xf>
    <xf numFmtId="0" fontId="35" fillId="0" borderId="17" applyAlignment="1" pivotButton="0" quotePrefix="0" xfId="0">
      <alignment horizontal="center" vertical="center"/>
    </xf>
    <xf numFmtId="0" fontId="35" fillId="0" borderId="18" applyAlignment="1" pivotButton="0" quotePrefix="0" xfId="0">
      <alignment horizontal="center" vertical="center"/>
    </xf>
    <xf numFmtId="20" fontId="25" fillId="0" borderId="10" applyAlignment="1" pivotButton="0" quotePrefix="0" xfId="0">
      <alignment horizontal="center" vertical="center"/>
    </xf>
    <xf numFmtId="20" fontId="25" fillId="0" borderId="9" applyAlignment="1" pivotButton="0" quotePrefix="0" xfId="0">
      <alignment horizontal="center" vertical="center"/>
    </xf>
    <xf numFmtId="20" fontId="25" fillId="0" borderId="12" applyAlignment="1" pivotButton="0" quotePrefix="0" xfId="0">
      <alignment horizontal="center" vertical="center"/>
    </xf>
    <xf numFmtId="20" fontId="35" fillId="0" borderId="10" applyAlignment="1" pivotButton="0" quotePrefix="0" xfId="0">
      <alignment horizontal="center" vertical="center"/>
    </xf>
    <xf numFmtId="20" fontId="35" fillId="0" borderId="9" applyAlignment="1" pivotButton="0" quotePrefix="0" xfId="0">
      <alignment horizontal="center" vertical="center"/>
    </xf>
    <xf numFmtId="20" fontId="35" fillId="0" borderId="12" applyAlignment="1" pivotButton="0" quotePrefix="0" xfId="0">
      <alignment horizontal="center" vertical="center"/>
    </xf>
    <xf numFmtId="3" fontId="36" fillId="0" borderId="10" applyAlignment="1" pivotButton="0" quotePrefix="0" xfId="0">
      <alignment horizontal="right" vertical="center"/>
    </xf>
    <xf numFmtId="3" fontId="36" fillId="0" borderId="9" applyAlignment="1" pivotButton="0" quotePrefix="0" xfId="0">
      <alignment horizontal="right" vertical="center"/>
    </xf>
    <xf numFmtId="3" fontId="36" fillId="0" borderId="12" applyAlignment="1" pivotButton="0" quotePrefix="0" xfId="0">
      <alignment horizontal="right" vertical="center"/>
    </xf>
    <xf numFmtId="0" fontId="25" fillId="0" borderId="10" applyAlignment="1" pivotButton="0" quotePrefix="0" xfId="0">
      <alignment horizontal="right" vertical="center"/>
    </xf>
    <xf numFmtId="0" fontId="25" fillId="0" borderId="9" applyAlignment="1" pivotButton="0" quotePrefix="0" xfId="0">
      <alignment horizontal="right" vertical="center"/>
    </xf>
    <xf numFmtId="0" fontId="25" fillId="0" borderId="12" applyAlignment="1" pivotButton="0" quotePrefix="0" xfId="0">
      <alignment horizontal="right" vertical="center"/>
    </xf>
    <xf numFmtId="0" fontId="35" fillId="0" borderId="10" applyAlignment="1" pivotButton="0" quotePrefix="0" xfId="0">
      <alignment horizontal="right" vertical="center"/>
    </xf>
    <xf numFmtId="0" fontId="35" fillId="0" borderId="9" applyAlignment="1" pivotButton="0" quotePrefix="0" xfId="0">
      <alignment horizontal="right" vertical="center"/>
    </xf>
    <xf numFmtId="0" fontId="35" fillId="0" borderId="12" applyAlignment="1" pivotButton="0" quotePrefix="0" xfId="0">
      <alignment horizontal="right" vertical="center"/>
    </xf>
    <xf numFmtId="0" fontId="27" fillId="0" borderId="11" applyAlignment="1" pivotButton="0" quotePrefix="0" xfId="0">
      <alignment horizontal="center" vertical="center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31" fillId="0" borderId="0" applyAlignment="1" pivotButton="0" quotePrefix="0" xfId="0">
      <alignment horizontal="right" vertical="center"/>
    </xf>
    <xf numFmtId="0" fontId="39" fillId="0" borderId="28" applyAlignment="1" pivotButton="0" quotePrefix="0" xfId="0">
      <alignment horizontal="center" vertical="center"/>
    </xf>
    <xf numFmtId="0" fontId="37" fillId="0" borderId="28" applyAlignment="1" pivotButton="0" quotePrefix="0" xfId="0">
      <alignment vertical="center"/>
    </xf>
    <xf numFmtId="0" fontId="37" fillId="0" borderId="28" applyAlignment="1" pivotButton="0" quotePrefix="0" xfId="0">
      <alignment horizontal="center" vertical="center"/>
    </xf>
    <xf numFmtId="20" fontId="37" fillId="0" borderId="28" applyAlignment="1" pivotButton="0" quotePrefix="0" xfId="0">
      <alignment horizontal="center" vertical="center"/>
    </xf>
    <xf numFmtId="3" fontId="42" fillId="0" borderId="28" applyAlignment="1" pivotButton="0" quotePrefix="0" xfId="0">
      <alignment vertical="center"/>
    </xf>
    <xf numFmtId="0" fontId="40" fillId="0" borderId="28" applyAlignment="1" pivotButton="0" quotePrefix="0" xfId="0">
      <alignment vertical="center"/>
    </xf>
    <xf numFmtId="0" fontId="40" fillId="0" borderId="28" applyAlignment="1" pivotButton="0" quotePrefix="0" xfId="0">
      <alignment horizontal="center" vertical="center"/>
    </xf>
    <xf numFmtId="20" fontId="40" fillId="0" borderId="28" applyAlignment="1" pivotButton="0" quotePrefix="0" xfId="0">
      <alignment horizontal="center" vertical="center"/>
    </xf>
    <xf numFmtId="0" fontId="39" fillId="0" borderId="29" applyAlignment="1" pivotButton="0" quotePrefix="0" xfId="0">
      <alignment horizontal="center" vertical="center"/>
    </xf>
    <xf numFmtId="0" fontId="39" fillId="0" borderId="29" applyAlignment="1" pivotButton="0" quotePrefix="0" xfId="0">
      <alignment vertical="center"/>
    </xf>
    <xf numFmtId="0" fontId="37" fillId="0" borderId="29" applyAlignment="1" pivotButton="0" quotePrefix="0" xfId="0">
      <alignment vertical="center"/>
    </xf>
    <xf numFmtId="0" fontId="39" fillId="0" borderId="30" applyAlignment="1" pivotButton="0" quotePrefix="0" xfId="0">
      <alignment horizontal="center" vertical="center"/>
    </xf>
    <xf numFmtId="0" fontId="40" fillId="0" borderId="30" applyAlignment="1" pivotButton="0" quotePrefix="0" xfId="0">
      <alignment horizontal="center" vertical="center"/>
    </xf>
    <xf numFmtId="0" fontId="39" fillId="0" borderId="34" applyAlignment="1" pivotButton="0" quotePrefix="0" xfId="0">
      <alignment vertical="center"/>
    </xf>
    <xf numFmtId="0" fontId="37" fillId="0" borderId="35" applyAlignment="1" pivotButton="0" quotePrefix="0" xfId="0">
      <alignment vertical="center"/>
    </xf>
    <xf numFmtId="0" fontId="37" fillId="0" borderId="36" applyAlignment="1" pivotButton="0" quotePrefix="0" xfId="0">
      <alignment vertical="center"/>
    </xf>
    <xf numFmtId="0" fontId="37" fillId="0" borderId="37" applyAlignment="1" pivotButton="0" quotePrefix="0" xfId="0">
      <alignment vertical="center"/>
    </xf>
    <xf numFmtId="0" fontId="37" fillId="0" borderId="38" applyAlignment="1" pivotButton="0" quotePrefix="0" xfId="0">
      <alignment vertical="center"/>
    </xf>
    <xf numFmtId="0" fontId="37" fillId="0" borderId="38" applyAlignment="1" pivotButton="0" quotePrefix="0" xfId="0">
      <alignment horizontal="center" vertical="center"/>
    </xf>
    <xf numFmtId="20" fontId="37" fillId="0" borderId="38" applyAlignment="1" pivotButton="0" quotePrefix="0" xfId="0">
      <alignment horizontal="center" vertical="center"/>
    </xf>
    <xf numFmtId="3" fontId="42" fillId="0" borderId="38" applyAlignment="1" pivotButton="0" quotePrefix="0" xfId="0">
      <alignment vertical="center"/>
    </xf>
    <xf numFmtId="0" fontId="40" fillId="0" borderId="38" applyAlignment="1" pivotButton="0" quotePrefix="0" xfId="0">
      <alignment vertical="center"/>
    </xf>
    <xf numFmtId="0" fontId="40" fillId="0" borderId="38" applyAlignment="1" pivotButton="0" quotePrefix="0" xfId="0">
      <alignment horizontal="center" vertical="center"/>
    </xf>
    <xf numFmtId="20" fontId="40" fillId="0" borderId="38" applyAlignment="1" pivotButton="0" quotePrefix="0" xfId="0">
      <alignment horizontal="center" vertical="center"/>
    </xf>
    <xf numFmtId="0" fontId="40" fillId="0" borderId="39" applyAlignment="1" pivotButton="0" quotePrefix="0" xfId="0">
      <alignment horizontal="center" vertical="center"/>
    </xf>
    <xf numFmtId="0" fontId="39" fillId="0" borderId="31" applyAlignment="1" pivotButton="0" quotePrefix="0" xfId="0">
      <alignment vertical="center"/>
    </xf>
    <xf numFmtId="0" fontId="37" fillId="0" borderId="32" applyAlignment="1" pivotButton="0" quotePrefix="0" xfId="0">
      <alignment vertical="center"/>
    </xf>
    <xf numFmtId="0" fontId="37" fillId="0" borderId="32" applyAlignment="1" pivotButton="0" quotePrefix="0" xfId="0">
      <alignment horizontal="center" vertical="center"/>
    </xf>
    <xf numFmtId="20" fontId="37" fillId="0" borderId="32" applyAlignment="1" pivotButton="0" quotePrefix="0" xfId="0">
      <alignment horizontal="center" vertical="center"/>
    </xf>
    <xf numFmtId="3" fontId="42" fillId="0" borderId="32" applyAlignment="1" pivotButton="0" quotePrefix="0" xfId="0">
      <alignment vertical="center"/>
    </xf>
    <xf numFmtId="0" fontId="40" fillId="0" borderId="32" applyAlignment="1" pivotButton="0" quotePrefix="0" xfId="0">
      <alignment vertical="center"/>
    </xf>
    <xf numFmtId="0" fontId="40" fillId="0" borderId="32" applyAlignment="1" pivotButton="0" quotePrefix="0" xfId="0">
      <alignment horizontal="center" vertical="center"/>
    </xf>
    <xf numFmtId="20" fontId="40" fillId="0" borderId="32" applyAlignment="1" pivotButton="0" quotePrefix="0" xfId="0">
      <alignment horizontal="center" vertical="center"/>
    </xf>
    <xf numFmtId="0" fontId="40" fillId="0" borderId="33" applyAlignment="1" pivotButton="0" quotePrefix="0" xfId="0">
      <alignment horizontal="center" vertical="center"/>
    </xf>
    <xf numFmtId="0" fontId="39" fillId="0" borderId="41" applyAlignment="1" pivotButton="0" quotePrefix="0" xfId="0">
      <alignment horizontal="center" vertical="center"/>
    </xf>
    <xf numFmtId="0" fontId="37" fillId="0" borderId="41" applyAlignment="1" pivotButton="0" quotePrefix="0" xfId="0">
      <alignment horizontal="center" vertical="center"/>
    </xf>
    <xf numFmtId="0" fontId="37" fillId="0" borderId="42" applyAlignment="1" pivotButton="0" quotePrefix="0" xfId="0">
      <alignment horizontal="center" vertical="center"/>
    </xf>
    <xf numFmtId="0" fontId="37" fillId="0" borderId="40" applyAlignment="1" pivotButton="0" quotePrefix="0" xfId="0">
      <alignment horizontal="center" vertical="center"/>
    </xf>
    <xf numFmtId="0" fontId="37" fillId="0" borderId="43" applyAlignment="1" pivotButton="0" quotePrefix="0" xfId="0">
      <alignment vertical="center"/>
    </xf>
    <xf numFmtId="0" fontId="40" fillId="0" borderId="29" applyAlignment="1" pivotButton="0" quotePrefix="0" xfId="0">
      <alignment vertical="center"/>
    </xf>
    <xf numFmtId="0" fontId="40" fillId="0" borderId="37" applyAlignment="1" pivotButton="0" quotePrefix="0" xfId="0">
      <alignment vertical="center"/>
    </xf>
    <xf numFmtId="0" fontId="40" fillId="0" borderId="31" applyAlignment="1" pivotButton="0" quotePrefix="0" xfId="0">
      <alignment vertical="center"/>
    </xf>
    <xf numFmtId="0" fontId="37" fillId="0" borderId="34" applyAlignment="1" pivotButton="0" quotePrefix="0" xfId="0">
      <alignment vertical="center"/>
    </xf>
    <xf numFmtId="0" fontId="37" fillId="0" borderId="25" applyAlignment="1" pivotButton="0" quotePrefix="0" xfId="0">
      <alignment vertical="center" wrapText="1"/>
    </xf>
    <xf numFmtId="0" fontId="25" fillId="0" borderId="26" applyAlignment="1" pivotButton="0" quotePrefix="0" xfId="0">
      <alignment vertical="center" wrapText="1"/>
    </xf>
    <xf numFmtId="0" fontId="25" fillId="0" borderId="27" applyAlignment="1" pivotButton="0" quotePrefix="0" xfId="0">
      <alignment vertical="center" wrapText="1"/>
    </xf>
    <xf numFmtId="0" fontId="33" fillId="0" borderId="0" applyAlignment="1" pivotButton="0" quotePrefix="0" xfId="0">
      <alignment horizontal="right" vertical="center"/>
    </xf>
    <xf numFmtId="0" fontId="33" fillId="0" borderId="0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0" fontId="31" fillId="0" borderId="22" applyAlignment="1" pivotButton="0" quotePrefix="0" xfId="0">
      <alignment horizontal="center" vertical="center" textRotation="255"/>
    </xf>
    <xf numFmtId="0" fontId="31" fillId="0" borderId="23" applyAlignment="1" pivotButton="0" quotePrefix="0" xfId="0">
      <alignment horizontal="center" vertical="center" textRotation="255"/>
    </xf>
    <xf numFmtId="0" fontId="31" fillId="0" borderId="24" applyAlignment="1" pivotButton="0" quotePrefix="0" xfId="0">
      <alignment horizontal="center" vertical="center" textRotation="255"/>
    </xf>
    <xf numFmtId="168" fontId="31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168" fontId="31" fillId="0" borderId="44" applyAlignment="1" pivotButton="0" quotePrefix="0" xfId="0">
      <alignment horizontal="left" vertical="center"/>
    </xf>
    <xf numFmtId="0" fontId="37" fillId="0" borderId="44" applyAlignment="1" pivotButton="0" quotePrefix="0" xfId="0">
      <alignment horizontal="left" vertical="center"/>
    </xf>
    <xf numFmtId="0" fontId="39" fillId="0" borderId="31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40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25" fillId="18" borderId="45" pivotButton="0" quotePrefix="0" xfId="0"/>
    <xf numFmtId="0" fontId="25" fillId="0" borderId="45" pivotButton="0" quotePrefix="0" xfId="0"/>
    <xf numFmtId="165" fontId="25" fillId="19" borderId="0" pivotButton="0" quotePrefix="0" xfId="0"/>
    <xf numFmtId="0" fontId="25" fillId="19" borderId="0" pivotButton="0" quotePrefix="0" xfId="0"/>
    <xf numFmtId="20" fontId="25" fillId="19" borderId="0" pivotButton="0" quotePrefix="0" xfId="0"/>
    <xf numFmtId="3" fontId="25" fillId="19" borderId="0" pivotButton="0" quotePrefix="0" xfId="0"/>
    <xf numFmtId="0" fontId="65" fillId="0" borderId="0" pivotButton="0" quotePrefix="0" xfId="0"/>
    <xf numFmtId="0" fontId="46" fillId="0" borderId="0" applyAlignment="1" pivotButton="0" quotePrefix="0" xfId="0">
      <alignment vertical="top" wrapText="1"/>
    </xf>
    <xf numFmtId="0" fontId="49" fillId="0" borderId="0" pivotButton="0" quotePrefix="0" xfId="0"/>
    <xf numFmtId="0" fontId="49" fillId="0" borderId="0" pivotButton="0" quotePrefix="0" xfId="1"/>
    <xf numFmtId="0" fontId="48" fillId="0" borderId="0" pivotButton="0" quotePrefix="0" xfId="1"/>
    <xf numFmtId="0" fontId="50" fillId="0" borderId="0" applyAlignment="1" pivotButton="0" quotePrefix="0" xfId="1">
      <alignment horizontal="right" vertical="center"/>
    </xf>
    <xf numFmtId="0" fontId="55" fillId="20" borderId="0" applyAlignment="1" pivotButton="0" quotePrefix="0" xfId="1">
      <alignment horizontal="left" vertical="center" indent="1"/>
    </xf>
    <xf numFmtId="0" fontId="50" fillId="0" borderId="0" applyAlignment="1" pivotButton="0" quotePrefix="0" xfId="1">
      <alignment horizontal="center" vertical="center"/>
    </xf>
    <xf numFmtId="0" fontId="50" fillId="0" borderId="0" applyAlignment="1" pivotButton="0" quotePrefix="0" xfId="0">
      <alignment horizontal="center" vertical="center"/>
    </xf>
    <xf numFmtId="0" fontId="51" fillId="0" borderId="0" applyAlignment="1" pivotButton="0" quotePrefix="0" xfId="1">
      <alignment horizontal="center" vertical="center"/>
    </xf>
    <xf numFmtId="0" fontId="51" fillId="0" borderId="0" applyAlignment="1" pivotButton="0" quotePrefix="0" xfId="0">
      <alignment horizontal="center" vertical="center"/>
    </xf>
    <xf numFmtId="0" fontId="56" fillId="22" borderId="67" applyAlignment="1" pivotButton="0" quotePrefix="0" xfId="1">
      <alignment horizontal="center" vertical="center" wrapText="1"/>
    </xf>
    <xf numFmtId="0" fontId="56" fillId="23" borderId="67" applyAlignment="1" pivotButton="0" quotePrefix="0" xfId="1">
      <alignment horizontal="center" vertical="center" wrapText="1"/>
    </xf>
    <xf numFmtId="0" fontId="56" fillId="24" borderId="67" applyAlignment="1" pivotButton="0" quotePrefix="0" xfId="1">
      <alignment horizontal="center" vertical="center" wrapText="1"/>
    </xf>
    <xf numFmtId="0" fontId="56" fillId="25" borderId="67" applyAlignment="1" pivotButton="0" quotePrefix="0" xfId="1">
      <alignment horizontal="center" vertical="center" wrapText="1"/>
    </xf>
    <xf numFmtId="0" fontId="56" fillId="26" borderId="67" applyAlignment="1" pivotButton="0" quotePrefix="0" xfId="1">
      <alignment horizontal="center" vertical="center" wrapText="1"/>
    </xf>
    <xf numFmtId="0" fontId="56" fillId="27" borderId="67" applyAlignment="1" pivotButton="0" quotePrefix="0" xfId="1">
      <alignment horizontal="center" vertical="center" wrapText="1"/>
    </xf>
    <xf numFmtId="0" fontId="56" fillId="28" borderId="67" applyAlignment="1" pivotButton="0" quotePrefix="0" xfId="1">
      <alignment horizontal="center" vertical="center" wrapText="1"/>
    </xf>
    <xf numFmtId="0" fontId="52" fillId="0" borderId="0" applyAlignment="1" pivotButton="0" quotePrefix="0" xfId="1">
      <alignment horizontal="center" vertical="center"/>
    </xf>
    <xf numFmtId="0" fontId="57" fillId="29" borderId="68" applyAlignment="1" pivotButton="0" quotePrefix="0" xfId="1">
      <alignment horizontal="center" vertical="center" shrinkToFit="1"/>
    </xf>
    <xf numFmtId="0" fontId="58" fillId="29" borderId="68" applyAlignment="1" pivotButton="0" quotePrefix="0" xfId="1">
      <alignment horizontal="center" vertical="center" shrinkToFit="1"/>
    </xf>
    <xf numFmtId="0" fontId="52" fillId="0" borderId="66" applyAlignment="1" pivotButton="0" quotePrefix="0" xfId="1">
      <alignment vertical="center"/>
    </xf>
    <xf numFmtId="0" fontId="46" fillId="0" borderId="55" applyAlignment="1" pivotButton="0" quotePrefix="0" xfId="1">
      <alignment vertical="center"/>
    </xf>
    <xf numFmtId="0" fontId="46" fillId="0" borderId="56" applyAlignment="1" pivotButton="0" quotePrefix="0" xfId="1">
      <alignment horizontal="right" vertical="center"/>
    </xf>
    <xf numFmtId="0" fontId="46" fillId="0" borderId="56" applyAlignment="1" pivotButton="0" quotePrefix="0" xfId="1">
      <alignment horizontal="center" vertical="center"/>
    </xf>
    <xf numFmtId="20" fontId="46" fillId="0" borderId="56" applyAlignment="1" pivotButton="0" quotePrefix="0" xfId="1">
      <alignment horizontal="center" vertical="center"/>
    </xf>
    <xf numFmtId="3" fontId="54" fillId="0" borderId="56" applyAlignment="1" pivotButton="0" quotePrefix="0" xfId="1">
      <alignment horizontal="right" vertical="center"/>
    </xf>
    <xf numFmtId="0" fontId="53" fillId="0" borderId="55" applyAlignment="1" pivotButton="0" quotePrefix="0" xfId="1">
      <alignment vertical="center"/>
    </xf>
    <xf numFmtId="0" fontId="53" fillId="0" borderId="56" applyAlignment="1" pivotButton="0" quotePrefix="0" xfId="1">
      <alignment horizontal="right" vertical="center"/>
    </xf>
    <xf numFmtId="0" fontId="53" fillId="0" borderId="56" applyAlignment="1" pivotButton="0" quotePrefix="0" xfId="1">
      <alignment horizontal="center" vertical="center"/>
    </xf>
    <xf numFmtId="20" fontId="53" fillId="0" borderId="56" applyAlignment="1" pivotButton="0" quotePrefix="0" xfId="1">
      <alignment horizontal="center" vertical="center"/>
    </xf>
    <xf numFmtId="0" fontId="53" fillId="0" borderId="57" applyAlignment="1" pivotButton="0" quotePrefix="0" xfId="1">
      <alignment horizontal="center" vertical="center"/>
    </xf>
    <xf numFmtId="0" fontId="57" fillId="29" borderId="0" applyAlignment="1" pivotButton="0" quotePrefix="0" xfId="1">
      <alignment horizontal="right" vertical="top"/>
    </xf>
    <xf numFmtId="0" fontId="48" fillId="0" borderId="69" pivotButton="0" quotePrefix="0" xfId="1"/>
    <xf numFmtId="0" fontId="0" fillId="0" borderId="58" applyAlignment="1" pivotButton="0" quotePrefix="0" xfId="0">
      <alignment vertical="center"/>
    </xf>
    <xf numFmtId="0" fontId="46" fillId="0" borderId="59" applyAlignment="1" pivotButton="0" quotePrefix="0" xfId="1">
      <alignment vertical="center"/>
    </xf>
    <xf numFmtId="0" fontId="46" fillId="0" borderId="60" applyAlignment="1" pivotButton="0" quotePrefix="0" xfId="1">
      <alignment horizontal="right" vertical="center"/>
    </xf>
    <xf numFmtId="0" fontId="46" fillId="0" borderId="60" applyAlignment="1" pivotButton="0" quotePrefix="0" xfId="1">
      <alignment horizontal="center" vertical="center"/>
    </xf>
    <xf numFmtId="20" fontId="46" fillId="0" borderId="60" applyAlignment="1" pivotButton="0" quotePrefix="0" xfId="1">
      <alignment horizontal="center" vertical="center"/>
    </xf>
    <xf numFmtId="3" fontId="54" fillId="0" borderId="60" applyAlignment="1" pivotButton="0" quotePrefix="0" xfId="1">
      <alignment horizontal="right" vertical="center"/>
    </xf>
    <xf numFmtId="0" fontId="53" fillId="0" borderId="59" applyAlignment="1" pivotButton="0" quotePrefix="0" xfId="1">
      <alignment vertical="center"/>
    </xf>
    <xf numFmtId="0" fontId="53" fillId="0" borderId="60" applyAlignment="1" pivotButton="0" quotePrefix="0" xfId="1">
      <alignment horizontal="right" vertical="center"/>
    </xf>
    <xf numFmtId="0" fontId="53" fillId="0" borderId="60" applyAlignment="1" pivotButton="0" quotePrefix="0" xfId="1">
      <alignment horizontal="center" vertical="center"/>
    </xf>
    <xf numFmtId="20" fontId="53" fillId="0" borderId="60" applyAlignment="1" pivotButton="0" quotePrefix="0" xfId="1">
      <alignment horizontal="center" vertical="center"/>
    </xf>
    <xf numFmtId="0" fontId="53" fillId="0" borderId="61" applyAlignment="1" pivotButton="0" quotePrefix="0" xfId="1">
      <alignment horizontal="center" vertical="center"/>
    </xf>
    <xf numFmtId="0" fontId="0" fillId="0" borderId="62" applyAlignment="1" pivotButton="0" quotePrefix="0" xfId="0">
      <alignment vertical="center"/>
    </xf>
    <xf numFmtId="0" fontId="46" fillId="0" borderId="63" applyAlignment="1" pivotButton="0" quotePrefix="0" xfId="1">
      <alignment vertical="center"/>
    </xf>
    <xf numFmtId="0" fontId="46" fillId="0" borderId="64" applyAlignment="1" pivotButton="0" quotePrefix="0" xfId="1">
      <alignment horizontal="right" vertical="center"/>
    </xf>
    <xf numFmtId="0" fontId="46" fillId="0" borderId="64" applyAlignment="1" pivotButton="0" quotePrefix="0" xfId="1">
      <alignment horizontal="center" vertical="center"/>
    </xf>
    <xf numFmtId="20" fontId="46" fillId="0" borderId="64" applyAlignment="1" pivotButton="0" quotePrefix="0" xfId="1">
      <alignment horizontal="center" vertical="center"/>
    </xf>
    <xf numFmtId="3" fontId="54" fillId="0" borderId="64" applyAlignment="1" pivotButton="0" quotePrefix="0" xfId="1">
      <alignment horizontal="right" vertical="center"/>
    </xf>
    <xf numFmtId="0" fontId="53" fillId="0" borderId="63" applyAlignment="1" pivotButton="0" quotePrefix="0" xfId="1">
      <alignment vertical="center"/>
    </xf>
    <xf numFmtId="0" fontId="53" fillId="0" borderId="64" applyAlignment="1" pivotButton="0" quotePrefix="0" xfId="1">
      <alignment horizontal="right" vertical="center"/>
    </xf>
    <xf numFmtId="0" fontId="53" fillId="0" borderId="64" applyAlignment="1" pivotButton="0" quotePrefix="0" xfId="1">
      <alignment horizontal="center" vertical="center"/>
    </xf>
    <xf numFmtId="20" fontId="53" fillId="0" borderId="64" applyAlignment="1" pivotButton="0" quotePrefix="0" xfId="1">
      <alignment horizontal="center" vertical="center"/>
    </xf>
    <xf numFmtId="0" fontId="53" fillId="0" borderId="65" applyAlignment="1" pivotButton="0" quotePrefix="0" xfId="1">
      <alignment horizontal="center" vertical="center"/>
    </xf>
    <xf numFmtId="0" fontId="59" fillId="29" borderId="0" applyAlignment="1" pivotButton="0" quotePrefix="0" xfId="1">
      <alignment horizontal="right" vertical="top"/>
    </xf>
    <xf numFmtId="0" fontId="60" fillId="30" borderId="68" pivotButton="0" quotePrefix="0" xfId="1"/>
    <xf numFmtId="0" fontId="48" fillId="30" borderId="68" pivotButton="0" quotePrefix="0" xfId="1"/>
    <xf numFmtId="0" fontId="45" fillId="0" borderId="64" applyAlignment="1" pivotButton="0" quotePrefix="0" xfId="1">
      <alignment horizontal="center" vertical="center"/>
    </xf>
    <xf numFmtId="0" fontId="54" fillId="0" borderId="64" applyAlignment="1" pivotButton="0" quotePrefix="0" xfId="1">
      <alignment vertical="center" wrapText="1"/>
    </xf>
    <xf numFmtId="0" fontId="46" fillId="0" borderId="64" pivotButton="0" quotePrefix="0" xfId="0"/>
    <xf numFmtId="165" fontId="25" fillId="0" borderId="0" pivotButton="0" quotePrefix="0" xfId="0"/>
    <xf numFmtId="0" fontId="61" fillId="0" borderId="0" pivotButton="0" quotePrefix="0" xfId="1"/>
    <xf numFmtId="171" fontId="48" fillId="0" borderId="0" pivotButton="0" quotePrefix="0" xfId="1"/>
    <xf numFmtId="172" fontId="62" fillId="0" borderId="0" applyAlignment="1" pivotButton="0" quotePrefix="0" xfId="1">
      <alignment horizontal="left" vertical="center"/>
    </xf>
    <xf numFmtId="0" fontId="62" fillId="0" borderId="0" applyAlignment="1" pivotButton="0" quotePrefix="0" xfId="1">
      <alignment horizontal="right" vertical="center"/>
    </xf>
    <xf numFmtId="0" fontId="45" fillId="0" borderId="55" applyAlignment="1" pivotButton="0" quotePrefix="0" xfId="1">
      <alignment horizontal="center" vertical="center"/>
    </xf>
    <xf numFmtId="0" fontId="45" fillId="0" borderId="56" applyAlignment="1" pivotButton="0" quotePrefix="0" xfId="0">
      <alignment horizontal="center" vertical="center"/>
    </xf>
    <xf numFmtId="0" fontId="63" fillId="0" borderId="55" applyAlignment="1" pivotButton="0" quotePrefix="0" xfId="1">
      <alignment horizontal="center" vertical="center"/>
    </xf>
    <xf numFmtId="0" fontId="63" fillId="0" borderId="56" applyAlignment="1" pivotButton="0" quotePrefix="0" xfId="0">
      <alignment horizontal="center" vertical="center"/>
    </xf>
    <xf numFmtId="0" fontId="63" fillId="0" borderId="54" applyAlignment="1" pivotButton="0" quotePrefix="0" xfId="0">
      <alignment horizontal="center" vertical="center"/>
    </xf>
    <xf numFmtId="0" fontId="45" fillId="0" borderId="59" applyAlignment="1" pivotButton="0" quotePrefix="0" xfId="1">
      <alignment horizontal="center" vertical="center"/>
    </xf>
    <xf numFmtId="0" fontId="45" fillId="0" borderId="60" applyAlignment="1" pivotButton="0" quotePrefix="0" xfId="1">
      <alignment horizontal="center" vertical="center"/>
    </xf>
    <xf numFmtId="0" fontId="45" fillId="0" borderId="58" applyAlignment="1" pivotButton="0" quotePrefix="0" xfId="1">
      <alignment horizontal="center" vertical="center"/>
    </xf>
    <xf numFmtId="0" fontId="45" fillId="0" borderId="59" applyAlignment="1" pivotButton="0" quotePrefix="0" xfId="1">
      <alignment vertical="center"/>
    </xf>
    <xf numFmtId="0" fontId="46" fillId="0" borderId="60" applyAlignment="1" pivotButton="0" quotePrefix="0" xfId="1">
      <alignment vertical="center"/>
    </xf>
    <xf numFmtId="3" fontId="64" fillId="0" borderId="60" applyAlignment="1" pivotButton="0" quotePrefix="0" xfId="1">
      <alignment vertical="center"/>
    </xf>
    <xf numFmtId="0" fontId="53" fillId="0" borderId="60" applyAlignment="1" pivotButton="0" quotePrefix="0" xfId="1">
      <alignment vertical="center"/>
    </xf>
    <xf numFmtId="0" fontId="53" fillId="0" borderId="58" applyAlignment="1" pivotButton="0" quotePrefix="0" xfId="1">
      <alignment horizontal="center" vertical="center"/>
    </xf>
    <xf numFmtId="0" fontId="45" fillId="0" borderId="55" applyAlignment="1" pivotButton="0" quotePrefix="0" xfId="1">
      <alignment vertical="center"/>
    </xf>
    <xf numFmtId="0" fontId="46" fillId="0" borderId="56" applyAlignment="1" pivotButton="0" quotePrefix="0" xfId="1">
      <alignment vertical="center"/>
    </xf>
    <xf numFmtId="3" fontId="64" fillId="0" borderId="56" applyAlignment="1" pivotButton="0" quotePrefix="0" xfId="1">
      <alignment vertical="center"/>
    </xf>
    <xf numFmtId="0" fontId="53" fillId="0" borderId="56" applyAlignment="1" pivotButton="0" quotePrefix="0" xfId="1">
      <alignment vertical="center"/>
    </xf>
    <xf numFmtId="0" fontId="53" fillId="0" borderId="54" applyAlignment="1" pivotButton="0" quotePrefix="0" xfId="1">
      <alignment horizontal="center" vertical="center"/>
    </xf>
    <xf numFmtId="0" fontId="45" fillId="0" borderId="63" pivotButton="0" quotePrefix="0" xfId="1"/>
    <xf numFmtId="0" fontId="48" fillId="0" borderId="64" pivotButton="0" quotePrefix="0" xfId="1"/>
    <xf numFmtId="0" fontId="48" fillId="0" borderId="63" pivotButton="0" quotePrefix="0" xfId="1"/>
    <xf numFmtId="0" fontId="48" fillId="0" borderId="62" pivotButton="0" quotePrefix="0" xfId="1"/>
    <xf numFmtId="21" fontId="46" fillId="0" borderId="60" applyAlignment="1" pivotButton="0" quotePrefix="0" xfId="1">
      <alignment vertical="center"/>
    </xf>
    <xf numFmtId="167" fontId="26" fillId="5" borderId="0" applyAlignment="1" pivotButton="0" quotePrefix="0" xfId="0">
      <alignment horizontal="center"/>
    </xf>
    <xf numFmtId="0" fontId="44" fillId="20" borderId="0" applyAlignment="1" pivotButton="0" quotePrefix="0" xfId="0">
      <alignment horizontal="center" vertical="center"/>
    </xf>
    <xf numFmtId="170" fontId="44" fillId="20" borderId="0" applyAlignment="1" pivotButton="0" quotePrefix="0" xfId="0">
      <alignment horizontal="center" vertical="center"/>
    </xf>
    <xf numFmtId="0" fontId="45" fillId="21" borderId="53" applyAlignment="1" pivotButton="0" quotePrefix="0" xfId="0">
      <alignment horizontal="left" vertical="center"/>
    </xf>
    <xf numFmtId="0" fontId="46" fillId="21" borderId="53" applyAlignment="1" pivotButton="0" quotePrefix="0" xfId="0">
      <alignment horizontal="center" vertical="center"/>
    </xf>
    <xf numFmtId="0" fontId="46" fillId="21" borderId="53" applyAlignment="1" pivotButton="0" quotePrefix="0" xfId="0">
      <alignment horizontal="left" vertical="center"/>
    </xf>
    <xf numFmtId="0" fontId="46" fillId="0" borderId="53" pivotButton="0" quotePrefix="0" xfId="0"/>
    <xf numFmtId="0" fontId="45" fillId="0" borderId="53" applyAlignment="1" pivotButton="0" quotePrefix="0" xfId="0">
      <alignment horizontal="left" vertical="center"/>
    </xf>
    <xf numFmtId="0" fontId="46" fillId="0" borderId="53" applyAlignment="1" pivotButton="0" quotePrefix="0" xfId="0">
      <alignment horizontal="center" vertical="center"/>
    </xf>
    <xf numFmtId="0" fontId="46" fillId="0" borderId="53" applyAlignment="1" pivotButton="0" quotePrefix="0" xfId="0">
      <alignment horizontal="left" vertical="center"/>
    </xf>
    <xf numFmtId="0" fontId="47" fillId="0" borderId="0" pivotButton="0" quotePrefix="0" xfId="0"/>
    <xf numFmtId="171" fontId="3" fillId="3" borderId="1" pivotButton="0" quotePrefix="0" xfId="0"/>
    <xf numFmtId="164" fontId="0" fillId="0" borderId="0" pivotButton="0" quotePrefix="0" xfId="0"/>
  </cellXfs>
  <cellStyles count="2">
    <cellStyle name="표준" xfId="0" builtinId="0"/>
    <cellStyle name="Normal" xfId="1" builtinId="0" hidden="0"/>
  </cellStyles>
  <dxfs count="18"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3" formatCode="#,##0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25" formatCode="h:mm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177" formatCode="yyyy/mm/dd\(aaa\)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color rgb="00C00000"/>
      </font>
    </dxf>
    <dxf>
      <font>
        <i val="1"/>
        <color rgb="0080808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blRaw" displayName="tblRaw" ref="A1:L4279" headerRowCount="1" totalsRowShown="0">
  <autoFilter ref="A1:L4279"/>
  <tableColumns count="12">
    <tableColumn id="1" name="접수일자"/>
    <tableColumn id="2" name="구분"/>
    <tableColumn id="3" name="권역"/>
    <tableColumn id="4" name="상호"/>
    <tableColumn id="5" name="용량"/>
    <tableColumn id="6" name="지역"/>
    <tableColumn id="7" name="시간"/>
    <tableColumn id="8" name="수수료"/>
    <tableColumn id="9" name="검사자"/>
    <tableColumn id="10" name="비고"/>
    <tableColumn id="11" name="관리번호"/>
    <tableColumn id="12" name="점검">
      <calculatedColumnFormula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B27"/>
  <sheetViews>
    <sheetView showGridLines="0" tabSelected="0" zoomScaleNormal="100" workbookViewId="0">
      <selection activeCell="B22" sqref="B22"/>
    </sheetView>
  </sheetViews>
  <sheetFormatPr baseColWidth="8" defaultColWidth="8.6640625" defaultRowHeight="14.4"/>
  <cols>
    <col width="2" customWidth="1" style="22" min="1" max="1"/>
    <col width="150" customWidth="1" style="22" min="2" max="2"/>
  </cols>
  <sheetData>
    <row r="2" ht="26" customHeight="1" s="22">
      <c r="B2" s="167" t="inlineStr">
        <is>
          <t>KESCO 검사업무 ERP (부천김포지사)</t>
        </is>
      </c>
    </row>
    <row r="3" ht="15" customHeight="1" s="22">
      <c r="B3" s="168" t="inlineStr">
        <is>
          <t>매크로 포함 통합 문서입니다. 열 때 [콘텐츠 사용]을 눌러야 버튼과 자동배분이 동작합니다. 파일을 열면 오늘 날짜의 일일대장 + 배분현황판이 나타납니다.</t>
        </is>
      </c>
    </row>
    <row r="4"/>
    <row r="5" ht="20" customHeight="1" s="22">
      <c r="B5" s="169" t="inlineStr">
        <is>
          <t>1. 입력은 10_원데이터 한 곳</t>
        </is>
      </c>
    </row>
    <row r="6" ht="30" customHeight="1" s="22">
      <c r="B6" s="168" t="inlineStr">
        <is>
          <t>접수일자 / 구분 / 상호 / 용량 / 지역 / 시간 / 수수료 / 검사자 / 비고 를 표의 맨 아래 행에 이어서 입력합니다. 접수대장(월별 시트)을 따로 옮겨 적을 필요가 없습니다.</t>
        </is>
      </c>
    </row>
    <row r="7" ht="15" customHeight="1" s="22">
      <c r="B7" s="168" t="inlineStr">
        <is>
          <t>구분: 정기검사 / 사용전검사 / 메모(휴가·교육·반차 같은 근태 메모는 상호 칸에 "한태희휴가"처럼 적고 구분을 메모로 선택).</t>
        </is>
      </c>
    </row>
    <row r="8" ht="30" customHeight="1" s="22">
      <c r="B8" s="168" t="inlineStr">
        <is>
          <t>자동 처리: 관리번호 부여, 권역 자동 판정(04_지역표), 검사자 오기 자동 정정(01_검사자명단 H:I 별칭표). 맨 오른쪽 [점검] 칸에 날짜없음·시간문자·검사자확인 등이 표시되면 확인이 필요한 행입니다.</t>
        </is>
      </c>
    </row>
    <row r="9" ht="29.85" customHeight="1" s="22"/>
    <row r="10" ht="20" customHeight="1" s="22">
      <c r="B10" s="169" t="inlineStr">
        <is>
          <t>2. 11_일일대장 = 접수대장(왼쪽) + 배분현황판(오른쪽), A4 가로 1쪽 인쇄</t>
        </is>
      </c>
    </row>
    <row r="11" ht="30" customHeight="1" s="22">
      <c r="B11" s="168" t="inlineStr">
        <is>
          <t>날짜는 [이전일] [오늘] [다음일] [달력] 버튼 또는 날짜(H4)를 더블클릭해서 고릅니다. 왼쪽은 원데이터에서 만들어진 접수대장, 오른쪽은 같은 날짜의 배분현황판입니다.</t>
        </is>
      </c>
    </row>
    <row r="12" ht="15" customHeight="1" s="22">
      <c r="B12" s="168" t="inlineStr">
        <is>
          <t>오늘 이후 날짜는 열 때 자동으로 배분됩니다(지난 날짜는 [자동배분]을 눌러야 표시). 휴가/교육 메모가 있는 검사자는 그날 열에서 자동으로 빠집니다.</t>
        </is>
      </c>
    </row>
    <row r="13" ht="30" customHeight="1" s="22">
      <c r="B13" s="168" t="inlineStr">
        <is>
          <t>블록(업무)을 클릭하면 상세, 끌어서 놓으면 검사자/시간 이동(겹치거나 운영시간을 넘으면 원위치 + 07_배분로그 기록). 조정이 끝나면 [결과 반영]으로 검사자를 원데이터에 기록합니다.</t>
        </is>
      </c>
    </row>
    <row r="14" ht="15" customHeight="1" s="22">
      <c r="B14" s="168" t="inlineStr">
        <is>
          <t>[결과 반영] 전에는 접수대장의 검사자 칸에 자동배분 결과가 파란 기울임으로 미리 표시됩니다. [인쇄]/[PDF 저장]은 A4 가로 1쪽입니다.</t>
        </is>
      </c>
    </row>
    <row r="15" ht="29.85" customHeight="1" s="22"/>
    <row r="16" ht="20" customHeight="1" s="22">
      <c r="B16" s="169" t="inlineStr">
        <is>
          <t>3. 월 접수대장 / 통계</t>
        </is>
      </c>
    </row>
    <row r="17" ht="15" customHeight="1" s="22">
      <c r="B17" s="168" t="inlineStr">
        <is>
          <t>12_월대장: 기준월을 고르면 기존 월별 시트와 같은 배치(요일 x 주차)로 한 달치 대장이 만들어집니다 (A3 가로 인쇄).</t>
        </is>
      </c>
    </row>
    <row r="18" ht="15" customHeight="1" s="22">
      <c r="B18" s="168" t="inlineStr">
        <is>
          <t>13_통계: 검사자별 월 건수·수수료 자동 집계(연도 변경 가능, 메모 행 제외).</t>
        </is>
      </c>
    </row>
    <row r="19"/>
    <row r="20" ht="20" customHeight="1" s="22">
      <c r="B20" s="169" t="inlineStr">
        <is>
          <t>4. 기준 정보 시트</t>
        </is>
      </c>
    </row>
    <row r="21" ht="15" customHeight="1" s="22">
      <c r="B21" s="168" t="inlineStr">
        <is>
          <t>01_검사자명단: 활성/비활성, 오늘근무, 9~10월 건수(D1/E1 날짜 변경 가능), 별칭표(H:I).   02_설정: 운영시간·슬롯·소요시간·점심 규칙.</t>
        </is>
      </c>
    </row>
    <row r="22" ht="15" customHeight="1" s="22">
      <c r="B22" s="168" t="inlineStr">
        <is>
          <t>04_지역표: 지역 -&gt; 표준지역 / 권역 (예전 04_리동매핑 + 14_지역권역표 통합).   05_우선순위매트릭스: 인근 지역 우선순위.</t>
        </is>
      </c>
    </row>
    <row r="23" ht="15" customHeight="1" s="22">
      <c r="B23" s="168" t="inlineStr">
        <is>
          <t>09_배분결과: 배분/수동조정 결과 저장소(자동 관리).   07_배분로그: 충돌·미배정·수동조정 기록 (조용히 고치지 않고 항상 남깁니다).</t>
        </is>
      </c>
    </row>
    <row r="24" ht="15" customHeight="1" s="22"/>
    <row r="25" ht="20" customHeight="1" s="22">
      <c r="B25" s="169" t="inlineStr">
        <is>
          <t>5. 이번 개편에서 정리된 것</t>
        </is>
      </c>
    </row>
    <row r="26" ht="30" customHeight="1" s="22">
      <c r="B26" s="168" t="inlineStr">
        <is>
          <t>삭제: 03_업무입력(원데이터와 중복) / 06_배분현황판(11_일일대장으로 이동) / 08_원본백업(03 전용) / 14_지역권역표(04로 통합). 10_원데이터의 권역확정·검사자정규 열 삭제(VBA가 대신 처리).</t>
        </is>
      </c>
    </row>
    <row r="27" ht="15" customHeight="1" s="22">
      <c r="B27" s="168" t="inlineStr">
        <is>
          <t>2026 접수대장 4~12월(예약 포함) 전체를 원데이터에 반영했고, 검사자 명단은 9~10월 접수대장 기준으로 점검했습니다.</t>
        </is>
      </c>
    </row>
    <row r="28" ht="15" customHeight="1" s="22"/>
    <row r="29" ht="15" customHeight="1" s="22"/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12">
    <tabColor rgb="002F75B5"/>
    <outlinePr summaryBelow="1" summaryRight="1"/>
    <pageSetUpPr fitToPage="1"/>
  </sheetPr>
  <dimension ref="A1:AH400"/>
  <sheetViews>
    <sheetView showGridLines="0" tabSelected="1" workbookViewId="0">
      <selection activeCell="B19" sqref="B7:B19"/>
    </sheetView>
  </sheetViews>
  <sheetFormatPr baseColWidth="8" defaultRowHeight="17.4"/>
  <cols>
    <col width="5" customWidth="1" style="22" min="1" max="1"/>
    <col width="18" customWidth="1" style="22" min="2" max="2"/>
    <col width="7.5" customWidth="1" style="22" min="3" max="3"/>
    <col width="8" customWidth="1" style="22" min="4" max="4"/>
    <col width="6.5" customWidth="1" style="22" min="5" max="5"/>
    <col width="9.5" customWidth="1" style="22" min="6" max="6"/>
    <col width="7.5" customWidth="1" style="22" min="7" max="7"/>
    <col width="18" customWidth="1" style="22" min="8" max="8"/>
    <col width="7.5" customWidth="1" style="22" min="9" max="9"/>
    <col width="8" customWidth="1" style="22" min="10" max="10"/>
    <col width="6.5" customWidth="1" style="22" min="11" max="11"/>
    <col width="7.5" customWidth="1" style="22" min="12" max="12"/>
    <col width="1.5" customWidth="1" style="22" min="13" max="13"/>
    <col width="5.5" customWidth="1" style="22" min="14" max="14"/>
    <col width="8.6" customWidth="1" style="22" min="15" max="15"/>
    <col width="8.6" customWidth="1" style="22" min="16" max="16"/>
    <col width="8.6" customWidth="1" style="22" min="17" max="17"/>
    <col width="8.6" customWidth="1" style="22" min="18" max="18"/>
    <col width="8.6" customWidth="1" style="22" min="19" max="19"/>
    <col width="8.6" customWidth="1" style="22" min="20" max="20"/>
    <col width="8.6" customWidth="1" style="22" min="21" max="21"/>
    <col width="8.6" customWidth="1" style="22" min="22" max="22"/>
    <col width="8.6" customWidth="1" style="22" min="23" max="23"/>
    <col width="8.6" customWidth="1" style="22" min="24" max="24"/>
    <col width="8.6" customWidth="1" style="22" min="25" max="25"/>
    <col width="8.6" customWidth="1" style="22" min="26" max="26"/>
    <col width="2" customWidth="1" style="22" min="27" max="27"/>
  </cols>
  <sheetData>
    <row r="1" ht="24" customHeight="1" s="22">
      <c r="A1" s="170" t="inlineStr">
        <is>
          <t>일일 접수대장 + 배분현황판 (10_원데이터 기준 자동 생성 / 인쇄: 4행부터, A4 가로)</t>
        </is>
      </c>
      <c r="B1" s="171" t="n"/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</row>
    <row r="2" ht="26" customHeight="1" s="2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</row>
    <row r="3" ht="6" customHeight="1" s="22">
      <c r="A3" s="171" t="n"/>
      <c r="B3" s="171" t="n"/>
      <c r="C3" s="171" t="n"/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</row>
    <row r="4" ht="26" customHeight="1" s="22">
      <c r="A4" s="171" t="n"/>
      <c r="B4" s="171" t="n"/>
      <c r="C4" s="171" t="n"/>
      <c r="D4" s="171" t="n"/>
      <c r="E4" s="171" t="n"/>
      <c r="F4" s="171" t="n"/>
      <c r="G4" s="171" t="n"/>
      <c r="H4" s="172" t="inlineStr">
        <is>
          <t>10월 13일  (화)</t>
        </is>
      </c>
      <c r="M4" s="171" t="n"/>
      <c r="N4" s="173" t="inlineStr">
        <is>
          <t>KESCO 검사 업무 배분 현황판 - 2026년 10월 13일 (화)</t>
        </is>
      </c>
      <c r="AA4" s="171" t="n"/>
      <c r="AB4" s="171" t="n"/>
      <c r="AC4" s="171" t="n"/>
      <c r="AD4" s="171" t="n"/>
      <c r="AE4" s="171" t="n"/>
      <c r="AF4" s="171" t="n"/>
      <c r="AG4" s="171" t="n"/>
      <c r="AH4" s="171" t="n"/>
    </row>
    <row r="5" ht="24" customHeight="1" s="22">
      <c r="A5" s="174" t="inlineStr">
        <is>
          <t>정기검사</t>
        </is>
      </c>
      <c r="B5" s="175" t="n"/>
      <c r="C5" s="175" t="n"/>
      <c r="D5" s="175" t="n"/>
      <c r="E5" s="175" t="n"/>
      <c r="F5" s="175" t="n"/>
      <c r="G5" s="175" t="n"/>
      <c r="H5" s="176" t="inlineStr">
        <is>
          <t>사용전검사</t>
        </is>
      </c>
      <c r="I5" s="177" t="n"/>
      <c r="J5" s="177" t="n"/>
      <c r="K5" s="177" t="n"/>
      <c r="L5" s="177" t="n"/>
      <c r="M5" s="171" t="n"/>
      <c r="N5" s="171" t="n"/>
      <c r="O5" s="178" t="inlineStr">
        <is>
          <t>검사자+시간</t>
        </is>
      </c>
      <c r="P5" s="179" t="inlineStr">
        <is>
          <t>시간만</t>
        </is>
      </c>
      <c r="Q5" s="180" t="inlineStr">
        <is>
          <t>검사자만</t>
        </is>
      </c>
      <c r="R5" s="181" t="inlineStr">
        <is>
          <t>미지정</t>
        </is>
      </c>
      <c r="S5" s="182" t="inlineStr">
        <is>
          <t>점심</t>
        </is>
      </c>
      <c r="T5" s="183" t="inlineStr">
        <is>
          <t>수동</t>
        </is>
      </c>
      <c r="U5" s="184" t="inlineStr">
        <is>
          <t>배치실패</t>
        </is>
      </c>
      <c r="V5" s="171" t="n"/>
      <c r="W5" s="171" t="n"/>
      <c r="X5" s="171" t="n"/>
      <c r="Y5" s="171" t="n"/>
      <c r="Z5" s="171" t="n"/>
      <c r="AA5" s="171" t="n"/>
      <c r="AB5" s="171" t="n"/>
      <c r="AC5" s="171" t="n"/>
      <c r="AD5" s="171" t="n"/>
      <c r="AE5" s="171" t="n"/>
      <c r="AF5" s="171" t="n"/>
      <c r="AG5" s="171" t="n"/>
      <c r="AH5" s="171" t="n"/>
    </row>
    <row r="6" ht="24" customHeight="1" s="22" thickBot="1">
      <c r="A6" s="185" t="inlineStr">
        <is>
          <t>구분</t>
        </is>
      </c>
      <c r="B6" s="185" t="inlineStr">
        <is>
          <t>상호</t>
        </is>
      </c>
      <c r="C6" s="185" t="inlineStr">
        <is>
          <t>용량</t>
        </is>
      </c>
      <c r="D6" s="185" t="inlineStr">
        <is>
          <t>지역</t>
        </is>
      </c>
      <c r="E6" s="185" t="inlineStr">
        <is>
          <t>시간</t>
        </is>
      </c>
      <c r="F6" s="185" t="inlineStr">
        <is>
          <t>수수료</t>
        </is>
      </c>
      <c r="G6" s="185" t="inlineStr">
        <is>
          <t>검사자</t>
        </is>
      </c>
      <c r="H6" s="185" t="inlineStr">
        <is>
          <t>상호</t>
        </is>
      </c>
      <c r="I6" s="185" t="inlineStr">
        <is>
          <t>용량</t>
        </is>
      </c>
      <c r="J6" s="185" t="inlineStr">
        <is>
          <t>지역</t>
        </is>
      </c>
      <c r="K6" s="185" t="inlineStr">
        <is>
          <t>시간</t>
        </is>
      </c>
      <c r="L6" s="185" t="inlineStr">
        <is>
          <t>검사자</t>
        </is>
      </c>
      <c r="M6" s="171" t="n"/>
      <c r="N6" s="186" t="inlineStr">
        <is>
          <t>시간</t>
        </is>
      </c>
      <c r="O6" s="187" t="inlineStr">
        <is>
          <t>허록종</t>
        </is>
      </c>
      <c r="P6" s="187" t="inlineStr">
        <is>
          <t>허창수</t>
        </is>
      </c>
      <c r="Q6" s="187" t="inlineStr">
        <is>
          <t>민재홍</t>
        </is>
      </c>
      <c r="R6" s="187" t="inlineStr">
        <is>
          <t>이종석</t>
        </is>
      </c>
      <c r="S6" s="187" t="inlineStr">
        <is>
          <t>서수형</t>
        </is>
      </c>
      <c r="T6" s="187" t="inlineStr">
        <is>
          <t>옹승완</t>
        </is>
      </c>
      <c r="U6" s="187" t="inlineStr">
        <is>
          <t>김영권</t>
        </is>
      </c>
      <c r="V6" s="187" t="inlineStr">
        <is>
          <t>정성관</t>
        </is>
      </c>
      <c r="W6" s="187" t="inlineStr">
        <is>
          <t>변종국</t>
        </is>
      </c>
      <c r="X6" s="187" t="inlineStr">
        <is>
          <t>정신배</t>
        </is>
      </c>
      <c r="Y6" s="187" t="inlineStr">
        <is>
          <t>당효진</t>
        </is>
      </c>
      <c r="Z6" s="187" t="inlineStr">
        <is>
          <t>미지정</t>
        </is>
      </c>
      <c r="AA6" s="171" t="n"/>
      <c r="AB6" s="171" t="n"/>
      <c r="AC6" s="171" t="n"/>
      <c r="AD6" s="171" t="n"/>
      <c r="AE6" s="171" t="n"/>
      <c r="AF6" s="171" t="n"/>
      <c r="AG6" s="171" t="n"/>
      <c r="AH6" s="171" t="n"/>
    </row>
    <row r="7" ht="24" customHeight="1" s="22">
      <c r="A7" s="188" t="inlineStr">
        <is>
          <t>부천지역</t>
        </is>
      </c>
      <c r="B7" s="189" t="inlineStr">
        <is>
          <t>연화마을쌍용</t>
        </is>
      </c>
      <c r="C7" s="190" t="inlineStr">
        <is>
          <t>950/285</t>
        </is>
      </c>
      <c r="D7" s="191" t="inlineStr">
        <is>
          <t>상동</t>
        </is>
      </c>
      <c r="E7" s="192" t="n">
        <v>0.4166666666666667</v>
      </c>
      <c r="F7" s="193" t="n">
        <v>1110340</v>
      </c>
      <c r="G7" s="191" t="inlineStr">
        <is>
          <t>이종석</t>
        </is>
      </c>
      <c r="H7" s="194" t="inlineStr">
        <is>
          <t>복사골건영</t>
        </is>
      </c>
      <c r="I7" s="195" t="inlineStr">
        <is>
          <t>변변</t>
        </is>
      </c>
      <c r="J7" s="196" t="inlineStr">
        <is>
          <t>중동</t>
        </is>
      </c>
      <c r="K7" s="197" t="n">
        <v>0.625</v>
      </c>
      <c r="L7" s="198" t="inlineStr">
        <is>
          <t>민재홍</t>
        </is>
      </c>
      <c r="M7" s="171" t="n"/>
      <c r="N7" s="199" t="inlineStr">
        <is>
          <t>09:30</t>
        </is>
      </c>
      <c r="O7" s="200" t="n"/>
      <c r="P7" s="200" t="n"/>
      <c r="Q7" s="200" t="n"/>
      <c r="R7" s="200" t="n"/>
      <c r="S7" s="200" t="n"/>
      <c r="T7" s="200" t="n"/>
      <c r="U7" s="200" t="n"/>
      <c r="V7" s="200" t="n"/>
      <c r="W7" s="200" t="n"/>
      <c r="X7" s="200" t="n"/>
      <c r="Y7" s="200" t="n"/>
      <c r="Z7" s="200" t="n"/>
      <c r="AA7" s="171" t="n"/>
      <c r="AB7" s="171" t="n"/>
      <c r="AC7" s="171" t="n"/>
      <c r="AD7" s="171" t="n"/>
      <c r="AE7" s="171" t="n"/>
      <c r="AF7" s="171" t="n"/>
      <c r="AG7" s="171" t="n"/>
      <c r="AH7" s="171" t="n"/>
    </row>
    <row r="8" ht="24" customHeight="1" s="22">
      <c r="A8" s="201" t="n"/>
      <c r="B8" s="202" t="inlineStr">
        <is>
          <t>연화마을쌍용</t>
        </is>
      </c>
      <c r="C8" s="203" t="inlineStr">
        <is>
          <t>전기차</t>
        </is>
      </c>
      <c r="D8" s="204" t="n"/>
      <c r="E8" s="205" t="n"/>
      <c r="F8" s="206" t="n">
        <v>123530</v>
      </c>
      <c r="G8" s="204" t="inlineStr">
        <is>
          <t>이종석</t>
        </is>
      </c>
      <c r="H8" s="207" t="inlineStr">
        <is>
          <t>천년푸드</t>
        </is>
      </c>
      <c r="I8" s="208" t="n">
        <v>15</v>
      </c>
      <c r="J8" s="209" t="inlineStr">
        <is>
          <t>범받공</t>
        </is>
      </c>
      <c r="K8" s="210" t="n"/>
      <c r="L8" s="211" t="inlineStr">
        <is>
          <t>당효진</t>
        </is>
      </c>
      <c r="M8" s="171" t="n"/>
      <c r="N8" s="199" t="inlineStr">
        <is>
          <t>10:00</t>
        </is>
      </c>
      <c r="O8" s="200" t="n"/>
      <c r="P8" s="200" t="n"/>
      <c r="Q8" s="200" t="n"/>
      <c r="R8" s="200" t="n"/>
      <c r="S8" s="200" t="n"/>
      <c r="T8" s="200" t="n"/>
      <c r="U8" s="200" t="n"/>
      <c r="V8" s="200" t="n"/>
      <c r="W8" s="200" t="n"/>
      <c r="X8" s="200" t="n"/>
      <c r="Y8" s="200" t="n"/>
      <c r="Z8" s="200" t="n"/>
      <c r="AA8" s="171" t="n"/>
      <c r="AB8" s="171" t="n"/>
      <c r="AC8" s="171" t="n"/>
      <c r="AD8" s="171" t="n"/>
      <c r="AE8" s="171" t="n"/>
      <c r="AF8" s="171" t="n"/>
      <c r="AG8" s="171" t="n"/>
      <c r="AH8" s="171" t="n"/>
    </row>
    <row r="9" ht="24" customHeight="1" s="22">
      <c r="A9" s="201" t="n"/>
      <c r="B9" s="202" t="inlineStr">
        <is>
          <t>일죽224</t>
        </is>
      </c>
      <c r="C9" s="203" t="n">
        <v>300</v>
      </c>
      <c r="D9" s="204" t="inlineStr">
        <is>
          <t>심곡본동</t>
        </is>
      </c>
      <c r="E9" s="205" t="n">
        <v>0.6041666666666666</v>
      </c>
      <c r="F9" s="206" t="n">
        <v>521730</v>
      </c>
      <c r="G9" s="204" t="inlineStr">
        <is>
          <t>당효진</t>
        </is>
      </c>
      <c r="H9" s="207" t="inlineStr">
        <is>
          <t>한태희휴가</t>
        </is>
      </c>
      <c r="I9" s="208" t="inlineStr">
        <is>
          <t>허록종- 당효진</t>
        </is>
      </c>
      <c r="J9" s="209" t="n"/>
      <c r="K9" s="210" t="n"/>
      <c r="L9" s="211" t="n"/>
      <c r="M9" s="171" t="n"/>
      <c r="N9" s="199" t="inlineStr">
        <is>
          <t>10:30</t>
        </is>
      </c>
      <c r="O9" s="200" t="n"/>
      <c r="P9" s="200" t="n"/>
      <c r="Q9" s="200" t="n"/>
      <c r="R9" s="200" t="n"/>
      <c r="S9" s="200" t="n"/>
      <c r="T9" s="200" t="n"/>
      <c r="U9" s="200" t="n"/>
      <c r="V9" s="200" t="n"/>
      <c r="W9" s="200" t="n"/>
      <c r="X9" s="200" t="n"/>
      <c r="Y9" s="200" t="n"/>
      <c r="Z9" s="200" t="n"/>
      <c r="AA9" s="171" t="n"/>
      <c r="AB9" s="171" t="n"/>
      <c r="AC9" s="171" t="n"/>
      <c r="AD9" s="171" t="n"/>
      <c r="AE9" s="171" t="n"/>
      <c r="AF9" s="171" t="n"/>
      <c r="AG9" s="171" t="n"/>
      <c r="AH9" s="171" t="n"/>
    </row>
    <row r="10" ht="24" customHeight="1" s="22">
      <c r="A10" s="201" t="n"/>
      <c r="B10" s="202" t="inlineStr">
        <is>
          <t>월드레르디앙</t>
        </is>
      </c>
      <c r="C10" s="203" t="inlineStr">
        <is>
          <t>1117/436</t>
        </is>
      </c>
      <c r="D10" s="204" t="inlineStr">
        <is>
          <t>중동</t>
        </is>
      </c>
      <c r="E10" s="205" t="n">
        <v>0.4791666666666667</v>
      </c>
      <c r="F10" s="206" t="n">
        <v>1922580</v>
      </c>
      <c r="G10" s="204" t="inlineStr">
        <is>
          <t>민재홍</t>
        </is>
      </c>
      <c r="H10" s="207" t="inlineStr">
        <is>
          <t>송낙명건강</t>
        </is>
      </c>
      <c r="I10" s="208" t="n"/>
      <c r="J10" s="209" t="n"/>
      <c r="K10" s="210" t="n"/>
      <c r="L10" s="211" t="n"/>
      <c r="M10" s="171" t="n"/>
      <c r="N10" s="199" t="inlineStr">
        <is>
          <t>11:00</t>
        </is>
      </c>
      <c r="O10" s="200" t="n"/>
      <c r="P10" s="200" t="n"/>
      <c r="Q10" s="200" t="n"/>
      <c r="R10" s="200" t="n"/>
      <c r="S10" s="200" t="n"/>
      <c r="T10" s="200" t="n"/>
      <c r="U10" s="200" t="n"/>
      <c r="V10" s="200" t="n"/>
      <c r="W10" s="200" t="n"/>
      <c r="X10" s="200" t="n"/>
      <c r="Y10" s="200" t="n"/>
      <c r="Z10" s="200" t="n"/>
      <c r="AA10" s="171" t="n"/>
      <c r="AB10" s="171" t="n"/>
      <c r="AC10" s="171" t="n"/>
      <c r="AD10" s="171" t="n"/>
      <c r="AE10" s="171" t="n"/>
      <c r="AF10" s="171" t="n"/>
      <c r="AG10" s="171" t="n"/>
      <c r="AH10" s="171" t="n"/>
    </row>
    <row r="11" ht="24" customHeight="1" s="22">
      <c r="A11" s="201" t="n"/>
      <c r="B11" s="202" t="inlineStr">
        <is>
          <t>옥길센트러빌</t>
        </is>
      </c>
      <c r="C11" s="203" t="inlineStr">
        <is>
          <t>전기차</t>
        </is>
      </c>
      <c r="D11" s="204" t="inlineStr">
        <is>
          <t>옥길동</t>
        </is>
      </c>
      <c r="E11" s="205" t="n">
        <v>0.3958333333333333</v>
      </c>
      <c r="F11" s="206" t="n">
        <v>292930</v>
      </c>
      <c r="G11" s="204" t="inlineStr">
        <is>
          <t>허록종</t>
        </is>
      </c>
      <c r="H11" s="207" t="inlineStr">
        <is>
          <t>이덕기휴가</t>
        </is>
      </c>
      <c r="I11" s="208" t="n"/>
      <c r="J11" s="209" t="n"/>
      <c r="K11" s="210" t="n"/>
      <c r="L11" s="211" t="n"/>
      <c r="M11" s="171" t="n"/>
      <c r="N11" s="199" t="inlineStr">
        <is>
          <t>11:30</t>
        </is>
      </c>
      <c r="O11" s="200" t="n"/>
      <c r="P11" s="200" t="n"/>
      <c r="Q11" s="200" t="n"/>
      <c r="R11" s="200" t="n"/>
      <c r="S11" s="200" t="n"/>
      <c r="T11" s="200" t="n"/>
      <c r="U11" s="200" t="n"/>
      <c r="V11" s="200" t="n"/>
      <c r="W11" s="200" t="n"/>
      <c r="X11" s="200" t="n"/>
      <c r="Y11" s="200" t="n"/>
      <c r="Z11" s="200" t="n"/>
      <c r="AA11" s="171" t="n"/>
      <c r="AB11" s="171" t="n"/>
      <c r="AC11" s="171" t="n"/>
      <c r="AD11" s="171" t="n"/>
      <c r="AE11" s="171" t="n"/>
      <c r="AF11" s="171" t="n"/>
      <c r="AG11" s="171" t="n"/>
      <c r="AH11" s="171" t="n"/>
    </row>
    <row r="12" ht="24" customHeight="1" s="22">
      <c r="A12" s="201" t="n"/>
      <c r="B12" s="202" t="inlineStr">
        <is>
          <t>옥길자이</t>
        </is>
      </c>
      <c r="C12" s="203" t="inlineStr">
        <is>
          <t>2250/591</t>
        </is>
      </c>
      <c r="D12" s="204" t="inlineStr">
        <is>
          <t>옥길동</t>
        </is>
      </c>
      <c r="E12" s="205" t="n">
        <v>0.4375</v>
      </c>
      <c r="F12" s="206" t="n">
        <v>1373460</v>
      </c>
      <c r="G12" s="204" t="inlineStr">
        <is>
          <t>허록종</t>
        </is>
      </c>
      <c r="H12" s="207" t="n"/>
      <c r="I12" s="208" t="n"/>
      <c r="J12" s="209" t="n"/>
      <c r="K12" s="210" t="n"/>
      <c r="L12" s="211" t="n"/>
      <c r="M12" s="171" t="n"/>
      <c r="N12" s="199" t="inlineStr">
        <is>
          <t>12:00</t>
        </is>
      </c>
      <c r="O12" s="200" t="n"/>
      <c r="P12" s="200" t="n"/>
      <c r="Q12" s="200" t="n"/>
      <c r="R12" s="200" t="n"/>
      <c r="S12" s="200" t="n"/>
      <c r="T12" s="200" t="n"/>
      <c r="U12" s="200" t="n"/>
      <c r="V12" s="200" t="n"/>
      <c r="W12" s="200" t="n"/>
      <c r="X12" s="200" t="n"/>
      <c r="Y12" s="200" t="n"/>
      <c r="Z12" s="200" t="n"/>
      <c r="AA12" s="171" t="n"/>
      <c r="AB12" s="171" t="n"/>
      <c r="AC12" s="171" t="n"/>
      <c r="AD12" s="171" t="n"/>
      <c r="AE12" s="171" t="n"/>
      <c r="AF12" s="171" t="n"/>
      <c r="AG12" s="171" t="n"/>
      <c r="AH12" s="171" t="n"/>
    </row>
    <row r="13" ht="24" customHeight="1" s="22">
      <c r="A13" s="201" t="n"/>
      <c r="B13" s="202" t="n"/>
      <c r="C13" s="203" t="n"/>
      <c r="D13" s="204" t="n"/>
      <c r="E13" s="205" t="n"/>
      <c r="F13" s="206" t="n"/>
      <c r="G13" s="204" t="n"/>
      <c r="H13" s="207" t="n"/>
      <c r="I13" s="208" t="n"/>
      <c r="J13" s="209" t="n"/>
      <c r="K13" s="210" t="n"/>
      <c r="L13" s="211" t="n"/>
      <c r="M13" s="171" t="n"/>
      <c r="N13" s="199" t="inlineStr">
        <is>
          <t>12:30</t>
        </is>
      </c>
      <c r="O13" s="200" t="n"/>
      <c r="P13" s="200" t="n"/>
      <c r="Q13" s="200" t="n"/>
      <c r="R13" s="200" t="n"/>
      <c r="S13" s="200" t="n"/>
      <c r="T13" s="200" t="n"/>
      <c r="U13" s="200" t="n"/>
      <c r="V13" s="200" t="n"/>
      <c r="W13" s="200" t="n"/>
      <c r="X13" s="200" t="n"/>
      <c r="Y13" s="200" t="n"/>
      <c r="Z13" s="200" t="n"/>
      <c r="AA13" s="171" t="n"/>
      <c r="AB13" s="171" t="n"/>
      <c r="AC13" s="171" t="n"/>
      <c r="AD13" s="171" t="n"/>
      <c r="AE13" s="171" t="n"/>
      <c r="AF13" s="171" t="n"/>
      <c r="AG13" s="171" t="n"/>
      <c r="AH13" s="171" t="n"/>
    </row>
    <row r="14" ht="24" customHeight="1" s="22">
      <c r="A14" s="201" t="n"/>
      <c r="B14" s="202" t="n"/>
      <c r="C14" s="203" t="n"/>
      <c r="D14" s="204" t="n"/>
      <c r="E14" s="205" t="n"/>
      <c r="F14" s="206" t="n"/>
      <c r="G14" s="204" t="n"/>
      <c r="H14" s="207" t="n"/>
      <c r="I14" s="208" t="n"/>
      <c r="J14" s="209" t="n"/>
      <c r="K14" s="210" t="n"/>
      <c r="L14" s="211" t="n"/>
      <c r="M14" s="171" t="n"/>
      <c r="N14" s="199" t="inlineStr">
        <is>
          <t>13:00</t>
        </is>
      </c>
      <c r="O14" s="200" t="n"/>
      <c r="P14" s="200" t="n"/>
      <c r="Q14" s="200" t="n"/>
      <c r="R14" s="200" t="n"/>
      <c r="S14" s="200" t="n"/>
      <c r="T14" s="200" t="n"/>
      <c r="U14" s="200" t="n"/>
      <c r="V14" s="200" t="n"/>
      <c r="W14" s="200" t="n"/>
      <c r="X14" s="200" t="n"/>
      <c r="Y14" s="200" t="n"/>
      <c r="Z14" s="200" t="n"/>
      <c r="AA14" s="171" t="n"/>
      <c r="AB14" s="171" t="n"/>
      <c r="AC14" s="171" t="n"/>
      <c r="AD14" s="171" t="n"/>
      <c r="AE14" s="171" t="n"/>
      <c r="AF14" s="171" t="n"/>
      <c r="AG14" s="171" t="n"/>
      <c r="AH14" s="171" t="n"/>
    </row>
    <row r="15" ht="24" customHeight="1" s="22">
      <c r="A15" s="201" t="n"/>
      <c r="B15" s="202" t="n"/>
      <c r="C15" s="203" t="n"/>
      <c r="D15" s="204" t="n"/>
      <c r="E15" s="205" t="n"/>
      <c r="F15" s="206" t="n"/>
      <c r="G15" s="204" t="n"/>
      <c r="H15" s="207" t="n"/>
      <c r="I15" s="208" t="n"/>
      <c r="J15" s="209" t="n"/>
      <c r="K15" s="210" t="n"/>
      <c r="L15" s="211" t="n"/>
      <c r="M15" s="171" t="n"/>
      <c r="N15" s="199" t="inlineStr">
        <is>
          <t>13:30</t>
        </is>
      </c>
      <c r="O15" s="200" t="n"/>
      <c r="P15" s="200" t="n"/>
      <c r="Q15" s="200" t="n"/>
      <c r="R15" s="200" t="n"/>
      <c r="S15" s="200" t="n"/>
      <c r="T15" s="200" t="n"/>
      <c r="U15" s="200" t="n"/>
      <c r="V15" s="200" t="n"/>
      <c r="W15" s="200" t="n"/>
      <c r="X15" s="200" t="n"/>
      <c r="Y15" s="200" t="n"/>
      <c r="Z15" s="200" t="n"/>
      <c r="AA15" s="171" t="n"/>
      <c r="AB15" s="171" t="n"/>
      <c r="AC15" s="171" t="n"/>
      <c r="AD15" s="171" t="n"/>
      <c r="AE15" s="171" t="n"/>
      <c r="AF15" s="171" t="n"/>
      <c r="AG15" s="171" t="n"/>
      <c r="AH15" s="171" t="n"/>
    </row>
    <row r="16" ht="24" customHeight="1" s="22" thickBot="1">
      <c r="A16" s="212" t="n"/>
      <c r="B16" s="213" t="n"/>
      <c r="C16" s="214" t="n"/>
      <c r="D16" s="215" t="n"/>
      <c r="E16" s="216" t="n"/>
      <c r="F16" s="217" t="n"/>
      <c r="G16" s="215" t="n"/>
      <c r="H16" s="218" t="n"/>
      <c r="I16" s="219" t="n"/>
      <c r="J16" s="220" t="n"/>
      <c r="K16" s="221" t="n"/>
      <c r="L16" s="222" t="n"/>
      <c r="M16" s="171" t="n"/>
      <c r="N16" s="199" t="inlineStr">
        <is>
          <t>14:00</t>
        </is>
      </c>
      <c r="O16" s="200" t="n"/>
      <c r="P16" s="200" t="n"/>
      <c r="Q16" s="200" t="n"/>
      <c r="R16" s="200" t="n"/>
      <c r="S16" s="200" t="n"/>
      <c r="T16" s="200" t="n"/>
      <c r="U16" s="200" t="n"/>
      <c r="V16" s="200" t="n"/>
      <c r="W16" s="200" t="n"/>
      <c r="X16" s="200" t="n"/>
      <c r="Y16" s="200" t="n"/>
      <c r="Z16" s="200" t="n"/>
      <c r="AA16" s="171" t="n"/>
      <c r="AB16" s="171" t="n"/>
      <c r="AC16" s="171" t="n"/>
      <c r="AD16" s="171" t="n"/>
      <c r="AE16" s="171" t="n"/>
      <c r="AF16" s="171" t="n"/>
      <c r="AG16" s="171" t="n"/>
      <c r="AH16" s="171" t="n"/>
    </row>
    <row r="17" ht="24" customHeight="1" s="22">
      <c r="A17" s="188" t="inlineStr">
        <is>
          <t>김포지역</t>
        </is>
      </c>
      <c r="B17" s="189" t="inlineStr">
        <is>
          <t>성원</t>
        </is>
      </c>
      <c r="C17" s="190" t="n">
        <v>400</v>
      </c>
      <c r="D17" s="191" t="inlineStr">
        <is>
          <t>서암리</t>
        </is>
      </c>
      <c r="E17" s="192" t="n">
        <v>0.5</v>
      </c>
      <c r="F17" s="193" t="n">
        <v>703120</v>
      </c>
      <c r="G17" s="191" t="inlineStr">
        <is>
          <t>서수형</t>
        </is>
      </c>
      <c r="H17" s="194" t="inlineStr">
        <is>
          <t>서전발맥태양광</t>
        </is>
      </c>
      <c r="I17" s="195" t="n">
        <v>296</v>
      </c>
      <c r="J17" s="196" t="inlineStr">
        <is>
          <t>초원지리</t>
        </is>
      </c>
      <c r="K17" s="197" t="n"/>
      <c r="L17" s="198" t="inlineStr">
        <is>
          <t>정신배</t>
        </is>
      </c>
      <c r="M17" s="171" t="n"/>
      <c r="N17" s="199" t="inlineStr">
        <is>
          <t>14:30</t>
        </is>
      </c>
      <c r="O17" s="200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200" t="n"/>
      <c r="Y17" s="200" t="n"/>
      <c r="Z17" s="200" t="n"/>
      <c r="AA17" s="171" t="n"/>
      <c r="AB17" s="171" t="n"/>
      <c r="AC17" s="171" t="n"/>
      <c r="AD17" s="171" t="n"/>
      <c r="AE17" s="171" t="n"/>
      <c r="AF17" s="171" t="n"/>
      <c r="AG17" s="171" t="n"/>
      <c r="AH17" s="171" t="n"/>
    </row>
    <row r="18" ht="24" customHeight="1" s="22">
      <c r="A18" s="201" t="n"/>
      <c r="B18" s="202" t="inlineStr">
        <is>
          <t>희영무지개아파트</t>
        </is>
      </c>
      <c r="C18" s="203" t="inlineStr">
        <is>
          <t>800/182</t>
        </is>
      </c>
      <c r="D18" s="204" t="inlineStr">
        <is>
          <t>양곡</t>
        </is>
      </c>
      <c r="E18" s="205" t="n">
        <v>0.4583333333333333</v>
      </c>
      <c r="F18" s="206" t="n">
        <v>1029050</v>
      </c>
      <c r="G18" s="204" t="inlineStr">
        <is>
          <t>김영권</t>
        </is>
      </c>
      <c r="H18" s="207" t="inlineStr">
        <is>
          <t>한국로지스풀</t>
        </is>
      </c>
      <c r="I18" s="208" t="n">
        <v>339</v>
      </c>
      <c r="J18" s="209" t="inlineStr">
        <is>
          <t>학운리</t>
        </is>
      </c>
      <c r="K18" s="210" t="n"/>
      <c r="L18" s="211" t="inlineStr">
        <is>
          <t>허창수</t>
        </is>
      </c>
      <c r="M18" s="171" t="n"/>
      <c r="N18" s="199" t="inlineStr">
        <is>
          <t>15:00</t>
        </is>
      </c>
      <c r="O18" s="200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200" t="n"/>
      <c r="Y18" s="200" t="n"/>
      <c r="Z18" s="200" t="n"/>
      <c r="AA18" s="171" t="n"/>
      <c r="AB18" s="171" t="n"/>
      <c r="AC18" s="171" t="n"/>
      <c r="AD18" s="171" t="n"/>
      <c r="AE18" s="171" t="n"/>
      <c r="AF18" s="171" t="n"/>
      <c r="AG18" s="171" t="n"/>
      <c r="AH18" s="171" t="n"/>
    </row>
    <row r="19" ht="24" customHeight="1" s="22">
      <c r="A19" s="201" t="n"/>
      <c r="B19" s="202" t="inlineStr">
        <is>
          <t>미래즈</t>
        </is>
      </c>
      <c r="C19" s="203" t="n">
        <v>250</v>
      </c>
      <c r="D19" s="204" t="inlineStr">
        <is>
          <t>양곡리</t>
        </is>
      </c>
      <c r="E19" s="205" t="n">
        <v>0.4791666666666667</v>
      </c>
      <c r="F19" s="206" t="n">
        <v>489170</v>
      </c>
      <c r="G19" s="204" t="inlineStr">
        <is>
          <t>정성관</t>
        </is>
      </c>
      <c r="H19" s="207" t="inlineStr">
        <is>
          <t>한국로지스풀</t>
        </is>
      </c>
      <c r="I19" s="208" t="n">
        <v>340</v>
      </c>
      <c r="J19" s="209" t="inlineStr">
        <is>
          <t>학운리</t>
        </is>
      </c>
      <c r="K19" s="210" t="n"/>
      <c r="L19" s="211" t="inlineStr">
        <is>
          <t>허창수</t>
        </is>
      </c>
      <c r="M19" s="171" t="n"/>
      <c r="N19" s="199" t="inlineStr">
        <is>
          <t>15:30</t>
        </is>
      </c>
      <c r="O19" s="200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200" t="n"/>
      <c r="Y19" s="200" t="n"/>
      <c r="Z19" s="200" t="n"/>
      <c r="AA19" s="171" t="n"/>
      <c r="AB19" s="171" t="n"/>
      <c r="AC19" s="171" t="n"/>
      <c r="AD19" s="171" t="n"/>
      <c r="AE19" s="171" t="n"/>
      <c r="AF19" s="171" t="n"/>
      <c r="AG19" s="171" t="n"/>
      <c r="AH19" s="171" t="n"/>
    </row>
    <row r="20" ht="24" customHeight="1" s="22">
      <c r="A20" s="201" t="n"/>
      <c r="B20" s="202" t="inlineStr">
        <is>
          <t>희영무지개아파트</t>
        </is>
      </c>
      <c r="C20" s="203" t="inlineStr">
        <is>
          <t>전기차</t>
        </is>
      </c>
      <c r="D20" s="204" t="n"/>
      <c r="E20" s="205" t="n"/>
      <c r="F20" s="206" t="n">
        <v>89650</v>
      </c>
      <c r="G20" s="204" t="inlineStr">
        <is>
          <t>김영권</t>
        </is>
      </c>
      <c r="H20" s="207" t="n"/>
      <c r="I20" s="208" t="n"/>
      <c r="J20" s="209" t="n"/>
      <c r="K20" s="210" t="n"/>
      <c r="L20" s="211" t="n"/>
      <c r="M20" s="171" t="n"/>
      <c r="N20" s="199" t="inlineStr">
        <is>
          <t>16:00</t>
        </is>
      </c>
      <c r="O20" s="200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200" t="n"/>
      <c r="Y20" s="200" t="n"/>
      <c r="Z20" s="200" t="n"/>
      <c r="AA20" s="171" t="n"/>
      <c r="AB20" s="171" t="n"/>
      <c r="AC20" s="171" t="n"/>
      <c r="AD20" s="171" t="n"/>
      <c r="AE20" s="171" t="n"/>
      <c r="AF20" s="171" t="n"/>
      <c r="AG20" s="171" t="n"/>
      <c r="AH20" s="171" t="n"/>
    </row>
    <row r="21" ht="24" customHeight="1" s="22">
      <c r="A21" s="201" t="n"/>
      <c r="B21" s="202" t="inlineStr">
        <is>
          <t>마그마</t>
        </is>
      </c>
      <c r="C21" s="203" t="n">
        <v>150</v>
      </c>
      <c r="D21" s="204" t="inlineStr">
        <is>
          <t>풍무동</t>
        </is>
      </c>
      <c r="E21" s="205" t="n">
        <v>0.5208333333333334</v>
      </c>
      <c r="F21" s="206" t="n">
        <v>424160</v>
      </c>
      <c r="G21" s="204" t="inlineStr">
        <is>
          <t>옹승완</t>
        </is>
      </c>
      <c r="H21" s="207" t="n"/>
      <c r="I21" s="208" t="n"/>
      <c r="J21" s="209" t="n"/>
      <c r="K21" s="210" t="n"/>
      <c r="L21" s="211" t="n"/>
      <c r="M21" s="171" t="n"/>
      <c r="N21" s="199" t="inlineStr">
        <is>
          <t>16:30</t>
        </is>
      </c>
      <c r="O21" s="200" t="n"/>
      <c r="P21" s="200" t="n"/>
      <c r="Q21" s="200" t="n"/>
      <c r="R21" s="200" t="n"/>
      <c r="S21" s="200" t="n"/>
      <c r="T21" s="200" t="n"/>
      <c r="U21" s="200" t="n"/>
      <c r="V21" s="200" t="n"/>
      <c r="W21" s="200" t="n"/>
      <c r="X21" s="200" t="n"/>
      <c r="Y21" s="200" t="n"/>
      <c r="Z21" s="200" t="n"/>
      <c r="AA21" s="171" t="n"/>
      <c r="AB21" s="171" t="n"/>
      <c r="AC21" s="171" t="n"/>
      <c r="AD21" s="171" t="n"/>
      <c r="AE21" s="171" t="n"/>
      <c r="AF21" s="171" t="n"/>
      <c r="AG21" s="171" t="n"/>
      <c r="AH21" s="171" t="n"/>
    </row>
    <row r="22" ht="24" customHeight="1" s="22">
      <c r="A22" s="201" t="n"/>
      <c r="B22" s="202" t="inlineStr">
        <is>
          <t>태웅</t>
        </is>
      </c>
      <c r="C22" s="203" t="n">
        <v>200</v>
      </c>
      <c r="D22" s="204" t="inlineStr">
        <is>
          <t>귀전리</t>
        </is>
      </c>
      <c r="E22" s="205" t="n">
        <v>0.3958333333333333</v>
      </c>
      <c r="F22" s="206" t="n">
        <v>456720</v>
      </c>
      <c r="G22" s="204" t="inlineStr">
        <is>
          <t>변종국</t>
        </is>
      </c>
      <c r="H22" s="207" t="n"/>
      <c r="I22" s="208" t="n"/>
      <c r="J22" s="209" t="n"/>
      <c r="K22" s="210" t="n"/>
      <c r="L22" s="211" t="n"/>
      <c r="M22" s="171" t="n"/>
      <c r="N22" s="199" t="inlineStr">
        <is>
          <t>17:00</t>
        </is>
      </c>
      <c r="O22" s="200" t="n"/>
      <c r="P22" s="200" t="n"/>
      <c r="Q22" s="200" t="n"/>
      <c r="R22" s="200" t="n"/>
      <c r="S22" s="200" t="n"/>
      <c r="T22" s="200" t="n"/>
      <c r="U22" s="200" t="n"/>
      <c r="V22" s="200" t="n"/>
      <c r="W22" s="200" t="n"/>
      <c r="X22" s="200" t="n"/>
      <c r="Y22" s="200" t="n"/>
      <c r="Z22" s="200" t="n"/>
      <c r="AA22" s="171" t="n"/>
      <c r="AB22" s="171" t="n"/>
      <c r="AC22" s="171" t="n"/>
      <c r="AD22" s="171" t="n"/>
      <c r="AE22" s="171" t="n"/>
      <c r="AF22" s="171" t="n"/>
      <c r="AG22" s="171" t="n"/>
      <c r="AH22" s="171" t="n"/>
    </row>
    <row r="23" ht="24" customHeight="1" s="22">
      <c r="A23" s="201" t="n"/>
      <c r="B23" s="202" t="inlineStr">
        <is>
          <t>한강레미안</t>
        </is>
      </c>
      <c r="C23" s="203" t="inlineStr">
        <is>
          <t>전기차</t>
        </is>
      </c>
      <c r="D23" s="204" t="inlineStr">
        <is>
          <t>장기동</t>
        </is>
      </c>
      <c r="E23" s="205" t="n">
        <v>0.3958333333333333</v>
      </c>
      <c r="F23" s="206" t="n">
        <v>132000</v>
      </c>
      <c r="G23" s="204" t="inlineStr">
        <is>
          <t>정신배</t>
        </is>
      </c>
      <c r="H23" s="207" t="n"/>
      <c r="I23" s="208" t="n"/>
      <c r="J23" s="209" t="n"/>
      <c r="K23" s="210" t="n"/>
      <c r="L23" s="211" t="n"/>
      <c r="M23" s="171" t="n"/>
      <c r="N23" s="199" t="inlineStr">
        <is>
          <t>17:30</t>
        </is>
      </c>
      <c r="O23" s="200" t="n"/>
      <c r="P23" s="200" t="n"/>
      <c r="Q23" s="200" t="n"/>
      <c r="R23" s="200" t="n"/>
      <c r="S23" s="200" t="n"/>
      <c r="T23" s="200" t="n"/>
      <c r="U23" s="200" t="n"/>
      <c r="V23" s="200" t="n"/>
      <c r="W23" s="200" t="n"/>
      <c r="X23" s="200" t="n"/>
      <c r="Y23" s="200" t="n"/>
      <c r="Z23" s="200" t="n"/>
      <c r="AA23" s="171" t="n"/>
      <c r="AB23" s="171" t="n"/>
      <c r="AC23" s="171" t="n"/>
      <c r="AD23" s="171" t="n"/>
      <c r="AE23" s="171" t="n"/>
      <c r="AF23" s="171" t="n"/>
      <c r="AG23" s="171" t="n"/>
      <c r="AH23" s="171" t="n"/>
    </row>
    <row r="24" ht="24" customHeight="1" s="22">
      <c r="A24" s="201" t="n"/>
      <c r="B24" s="202" t="n"/>
      <c r="C24" s="203" t="n"/>
      <c r="D24" s="204" t="n"/>
      <c r="E24" s="205" t="n"/>
      <c r="F24" s="206" t="n"/>
      <c r="G24" s="204" t="n"/>
      <c r="H24" s="207" t="n"/>
      <c r="I24" s="208" t="n"/>
      <c r="J24" s="209" t="n"/>
      <c r="K24" s="210" t="n"/>
      <c r="L24" s="211" t="n"/>
      <c r="M24" s="171" t="n"/>
      <c r="N24" s="223" t="inlineStr">
        <is>
          <t>18:00</t>
        </is>
      </c>
      <c r="O24" s="224" t="inlineStr">
        <is>
          <t>운영 종료</t>
        </is>
      </c>
      <c r="P24" s="225" t="n"/>
      <c r="Q24" s="225" t="n"/>
      <c r="R24" s="225" t="n"/>
      <c r="S24" s="225" t="n"/>
      <c r="T24" s="225" t="n"/>
      <c r="U24" s="225" t="n"/>
      <c r="V24" s="225" t="n"/>
      <c r="W24" s="225" t="n"/>
      <c r="X24" s="225" t="n"/>
      <c r="Y24" s="225" t="n"/>
      <c r="Z24" s="225" t="n"/>
      <c r="AA24" s="171" t="n"/>
      <c r="AB24" s="171" t="n"/>
      <c r="AC24" s="171" t="n"/>
      <c r="AD24" s="171" t="n"/>
      <c r="AE24" s="171" t="n"/>
      <c r="AF24" s="171" t="n"/>
      <c r="AG24" s="171" t="n"/>
      <c r="AH24" s="171" t="n"/>
    </row>
    <row r="25" ht="24" customHeight="1" s="22">
      <c r="A25" s="201" t="n"/>
      <c r="B25" s="202" t="n"/>
      <c r="C25" s="203" t="n"/>
      <c r="D25" s="204" t="n"/>
      <c r="E25" s="205" t="n"/>
      <c r="F25" s="206" t="n"/>
      <c r="G25" s="204" t="n"/>
      <c r="H25" s="207" t="n"/>
      <c r="I25" s="208" t="n"/>
      <c r="J25" s="209" t="n"/>
      <c r="K25" s="210" t="n"/>
      <c r="L25" s="211" t="n"/>
      <c r="M25" s="171" t="n"/>
      <c r="N25" s="171" t="n"/>
      <c r="O25" s="171" t="n"/>
      <c r="P25" s="171" t="n"/>
      <c r="Q25" s="171" t="n"/>
      <c r="R25" s="171" t="n"/>
      <c r="S25" s="171" t="n"/>
      <c r="T25" s="171" t="n"/>
      <c r="U25" s="171" t="n"/>
      <c r="V25" s="171" t="n"/>
      <c r="W25" s="171" t="n"/>
      <c r="X25" s="171" t="n"/>
      <c r="Y25" s="171" t="n"/>
      <c r="Z25" s="171" t="n"/>
      <c r="AA25" s="171" t="n"/>
      <c r="AB25" s="171" t="n"/>
      <c r="AC25" s="171" t="n"/>
      <c r="AD25" s="171" t="n"/>
      <c r="AE25" s="171" t="n"/>
      <c r="AF25" s="171" t="n"/>
      <c r="AG25" s="171" t="n"/>
      <c r="AH25" s="171" t="n"/>
    </row>
    <row r="26" ht="24" customHeight="1" s="22" thickBot="1">
      <c r="A26" s="212" t="n"/>
      <c r="B26" s="213" t="n"/>
      <c r="C26" s="214" t="n"/>
      <c r="D26" s="215" t="n"/>
      <c r="E26" s="216" t="n"/>
      <c r="F26" s="217" t="n"/>
      <c r="G26" s="215" t="n"/>
      <c r="H26" s="218" t="n"/>
      <c r="I26" s="219" t="n"/>
      <c r="J26" s="220" t="n"/>
      <c r="K26" s="221" t="n"/>
      <c r="L26" s="222" t="n"/>
      <c r="M26" s="171" t="n"/>
      <c r="N26" s="171" t="n"/>
      <c r="O26" s="171" t="n"/>
      <c r="P26" s="171" t="n"/>
      <c r="Q26" s="171" t="n"/>
      <c r="R26" s="171" t="n"/>
      <c r="S26" s="171" t="n"/>
      <c r="T26" s="171" t="n"/>
      <c r="U26" s="171" t="n"/>
      <c r="V26" s="171" t="n"/>
      <c r="W26" s="171" t="n"/>
      <c r="X26" s="171" t="n"/>
      <c r="Y26" s="171" t="n"/>
      <c r="Z26" s="171" t="n"/>
      <c r="AA26" s="171" t="n"/>
      <c r="AB26" s="171" t="n"/>
      <c r="AC26" s="171" t="n"/>
      <c r="AD26" s="171" t="n"/>
      <c r="AE26" s="171" t="n"/>
      <c r="AF26" s="171" t="n"/>
      <c r="AG26" s="171" t="n"/>
      <c r="AH26" s="171" t="n"/>
    </row>
    <row r="27" ht="26" customHeight="1" s="22" thickBot="1">
      <c r="A27" s="226" t="inlineStr">
        <is>
          <t>비고</t>
        </is>
      </c>
      <c r="B27" s="227" t="n"/>
      <c r="C27" s="228" t="n"/>
      <c r="D27" s="228" t="n"/>
      <c r="E27" s="228" t="n"/>
      <c r="F27" s="228" t="n"/>
      <c r="G27" s="228" t="n"/>
      <c r="H27" s="228" t="n"/>
      <c r="I27" s="228" t="n"/>
      <c r="J27" s="228" t="n"/>
      <c r="K27" s="228" t="n"/>
      <c r="L27" s="228" t="n"/>
      <c r="M27" s="171" t="n"/>
      <c r="N27" s="171" t="n"/>
      <c r="O27" s="171" t="n"/>
      <c r="P27" s="171" t="n"/>
      <c r="Q27" s="171" t="n"/>
      <c r="R27" s="171" t="n"/>
      <c r="S27" s="171" t="n"/>
      <c r="T27" s="171" t="n"/>
      <c r="U27" s="171" t="n"/>
      <c r="V27" s="171" t="n"/>
      <c r="W27" s="171" t="n"/>
      <c r="X27" s="171" t="n"/>
      <c r="Y27" s="171" t="n"/>
      <c r="Z27" s="171" t="n"/>
      <c r="AA27" s="171" t="n"/>
      <c r="AB27" s="171" t="n"/>
      <c r="AC27" s="171" t="n"/>
      <c r="AD27" s="171" t="n"/>
      <c r="AE27" s="171" t="n"/>
      <c r="AF27" s="171" t="n"/>
      <c r="AG27" s="171" t="n"/>
      <c r="AH27" s="171" t="n"/>
    </row>
    <row r="28">
      <c r="A28" s="171" t="n"/>
      <c r="B28" s="171" t="n"/>
      <c r="C28" s="171" t="n"/>
      <c r="D28" s="171" t="n"/>
      <c r="E28" s="171" t="n"/>
      <c r="F28" s="171" t="n"/>
      <c r="G28" s="171" t="n"/>
      <c r="H28" s="171" t="n"/>
      <c r="I28" s="171" t="n"/>
      <c r="J28" s="171" t="n"/>
      <c r="K28" s="171" t="n"/>
      <c r="L28" s="171" t="n"/>
      <c r="M28" s="171" t="n"/>
      <c r="N28" s="171" t="n"/>
      <c r="O28" s="171" t="n"/>
      <c r="P28" s="171" t="n"/>
      <c r="Q28" s="171" t="n"/>
      <c r="R28" s="171" t="n"/>
      <c r="S28" s="171" t="n"/>
      <c r="T28" s="171" t="n"/>
      <c r="U28" s="171" t="n"/>
      <c r="V28" s="171" t="n"/>
      <c r="W28" s="171" t="n"/>
      <c r="X28" s="171" t="n"/>
      <c r="Y28" s="171" t="n"/>
      <c r="Z28" s="171" t="n"/>
      <c r="AA28" s="171" t="n"/>
      <c r="AB28" s="171" t="n"/>
      <c r="AC28" s="171" t="n"/>
      <c r="AD28" s="171" t="n"/>
      <c r="AE28" s="171" t="n"/>
      <c r="AF28" s="171" t="n"/>
      <c r="AG28" s="171" t="n"/>
      <c r="AH28" s="171" t="n"/>
    </row>
    <row r="29">
      <c r="A29" s="171" t="n"/>
      <c r="B29" s="171" t="n"/>
      <c r="C29" s="171" t="n"/>
      <c r="D29" s="171" t="n"/>
      <c r="E29" s="171" t="n"/>
      <c r="F29" s="171" t="n"/>
      <c r="G29" s="171" t="n"/>
      <c r="H29" s="171" t="n"/>
      <c r="I29" s="171" t="n"/>
      <c r="J29" s="171" t="n"/>
      <c r="K29" s="171" t="n"/>
      <c r="L29" s="171" t="n"/>
      <c r="M29" s="171" t="n"/>
      <c r="N29" s="171" t="n"/>
      <c r="O29" s="171" t="n"/>
      <c r="P29" s="171" t="n"/>
      <c r="Q29" s="171" t="n"/>
      <c r="R29" s="171" t="n"/>
      <c r="S29" s="171" t="n"/>
      <c r="T29" s="171" t="n"/>
      <c r="U29" s="171" t="n"/>
      <c r="V29" s="171" t="n"/>
      <c r="W29" s="171" t="n"/>
      <c r="X29" s="171" t="n"/>
      <c r="Y29" s="171" t="n"/>
      <c r="Z29" s="171" t="n"/>
      <c r="AA29" s="171" t="n"/>
      <c r="AB29" s="171" t="n"/>
      <c r="AC29" s="171" t="n"/>
      <c r="AD29" s="171" t="n"/>
      <c r="AE29" s="171" t="n"/>
      <c r="AF29" s="171" t="n"/>
      <c r="AG29" s="171" t="n"/>
      <c r="AH29" s="171" t="n"/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171" t="n"/>
      <c r="P30" s="171" t="n"/>
      <c r="Q30" s="171" t="n"/>
      <c r="R30" s="171" t="n"/>
      <c r="S30" s="171" t="n"/>
      <c r="T30" s="171" t="n"/>
      <c r="U30" s="171" t="n"/>
      <c r="V30" s="171" t="n"/>
      <c r="W30" s="171" t="n"/>
      <c r="X30" s="171" t="n"/>
      <c r="Y30" s="171" t="n"/>
      <c r="Z30" s="171" t="n"/>
      <c r="AA30" s="171" t="n"/>
      <c r="AB30" s="171" t="n"/>
      <c r="AC30" s="171" t="n"/>
      <c r="AD30" s="171" t="n"/>
      <c r="AE30" s="171" t="n"/>
      <c r="AF30" s="171" t="n"/>
      <c r="AG30" s="171" t="n"/>
      <c r="AH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171" t="n"/>
      <c r="P31" s="171" t="n"/>
      <c r="Q31" s="171" t="n"/>
      <c r="R31" s="171" t="n"/>
      <c r="S31" s="171" t="n"/>
      <c r="T31" s="171" t="n"/>
      <c r="U31" s="171" t="n"/>
      <c r="V31" s="171" t="n"/>
      <c r="W31" s="171" t="n"/>
      <c r="X31" s="171" t="n"/>
      <c r="Y31" s="171" t="n"/>
      <c r="Z31" s="171" t="n"/>
      <c r="AA31" s="171" t="n"/>
      <c r="AB31" s="171" t="n"/>
      <c r="AC31" s="171" t="n"/>
      <c r="AD31" s="171" t="n"/>
      <c r="AE31" s="171" t="n"/>
      <c r="AF31" s="171" t="n"/>
      <c r="AG31" s="171" t="n"/>
      <c r="AH31" s="171" t="n"/>
    </row>
    <row r="32">
      <c r="A32" s="171" t="n"/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  <c r="K32" s="171" t="n"/>
      <c r="L32" s="171" t="n"/>
      <c r="M32" s="171" t="n"/>
      <c r="N32" s="171" t="n"/>
      <c r="O32" s="171" t="n"/>
      <c r="P32" s="171" t="n"/>
      <c r="Q32" s="171" t="n"/>
      <c r="R32" s="171" t="n"/>
      <c r="S32" s="171" t="n"/>
      <c r="T32" s="171" t="n"/>
      <c r="U32" s="171" t="n"/>
      <c r="V32" s="171" t="n"/>
      <c r="W32" s="171" t="n"/>
      <c r="X32" s="171" t="n"/>
      <c r="Y32" s="171" t="n"/>
      <c r="Z32" s="171" t="n"/>
      <c r="AA32" s="171" t="n"/>
      <c r="AB32" s="171" t="n"/>
      <c r="AC32" s="171" t="n"/>
      <c r="AD32" s="171" t="n"/>
      <c r="AE32" s="171" t="n"/>
      <c r="AF32" s="171" t="n"/>
      <c r="AG32" s="171" t="n"/>
      <c r="AH32" s="171" t="n"/>
    </row>
    <row r="33">
      <c r="A33" s="171" t="n"/>
      <c r="B33" s="171" t="n"/>
      <c r="C33" s="171" t="n"/>
      <c r="D33" s="171" t="n"/>
      <c r="E33" s="171" t="n"/>
      <c r="F33" s="171" t="n"/>
      <c r="G33" s="171" t="n"/>
      <c r="H33" s="171" t="n"/>
      <c r="I33" s="171" t="n"/>
      <c r="J33" s="171" t="n"/>
      <c r="K33" s="171" t="n"/>
      <c r="L33" s="171" t="n"/>
      <c r="M33" s="171" t="n"/>
      <c r="N33" s="171" t="n"/>
      <c r="O33" s="171" t="n"/>
      <c r="P33" s="171" t="n"/>
      <c r="Q33" s="171" t="n"/>
      <c r="R33" s="171" t="n"/>
      <c r="S33" s="171" t="n"/>
      <c r="T33" s="171" t="n"/>
      <c r="U33" s="171" t="n"/>
      <c r="V33" s="171" t="n"/>
      <c r="W33" s="171" t="n"/>
      <c r="X33" s="171" t="n"/>
      <c r="Y33" s="171" t="n"/>
      <c r="Z33" s="171" t="n"/>
      <c r="AA33" s="171" t="n"/>
      <c r="AB33" s="171" t="n"/>
      <c r="AC33" s="171" t="n"/>
      <c r="AD33" s="171" t="n"/>
      <c r="AE33" s="171" t="n"/>
      <c r="AF33" s="171" t="n"/>
      <c r="AG33" s="171" t="n"/>
      <c r="AH33" s="171" t="n"/>
    </row>
    <row r="34">
      <c r="A34" s="171" t="n"/>
      <c r="B34" s="171" t="n"/>
      <c r="C34" s="171" t="n"/>
      <c r="D34" s="171" t="n"/>
      <c r="E34" s="171" t="n"/>
      <c r="F34" s="171" t="n"/>
      <c r="G34" s="171" t="n"/>
      <c r="H34" s="171" t="n"/>
      <c r="I34" s="171" t="n"/>
      <c r="J34" s="171" t="n"/>
      <c r="K34" s="171" t="n"/>
      <c r="L34" s="171" t="n"/>
      <c r="M34" s="171" t="n"/>
      <c r="N34" s="171" t="n"/>
      <c r="O34" s="171" t="n"/>
      <c r="P34" s="171" t="n"/>
      <c r="Q34" s="171" t="n"/>
      <c r="R34" s="171" t="n"/>
      <c r="S34" s="171" t="n"/>
      <c r="T34" s="171" t="n"/>
      <c r="U34" s="171" t="n"/>
      <c r="V34" s="171" t="n"/>
      <c r="W34" s="171" t="n"/>
      <c r="X34" s="171" t="n"/>
      <c r="Y34" s="171" t="n"/>
      <c r="Z34" s="171" t="n"/>
      <c r="AA34" s="171" t="n"/>
      <c r="AB34" s="171" t="n"/>
      <c r="AC34" s="171" t="n"/>
      <c r="AD34" s="171" t="n"/>
      <c r="AE34" s="171" t="n"/>
      <c r="AF34" s="171" t="n"/>
      <c r="AG34" s="171" t="n"/>
      <c r="AH34" s="171" t="n"/>
    </row>
    <row r="35">
      <c r="A35" s="171" t="n"/>
      <c r="B35" s="171" t="n"/>
      <c r="C35" s="171" t="n"/>
      <c r="D35" s="171" t="n"/>
      <c r="E35" s="171" t="n"/>
      <c r="F35" s="171" t="n"/>
      <c r="G35" s="171" t="n"/>
      <c r="H35" s="171" t="n"/>
      <c r="I35" s="171" t="n"/>
      <c r="J35" s="171" t="n"/>
      <c r="K35" s="171" t="n"/>
      <c r="L35" s="171" t="n"/>
      <c r="M35" s="171" t="n"/>
      <c r="N35" s="171" t="n"/>
      <c r="O35" s="171" t="n"/>
      <c r="P35" s="171" t="n"/>
      <c r="Q35" s="171" t="n"/>
      <c r="R35" s="171" t="n"/>
      <c r="S35" s="171" t="n"/>
      <c r="T35" s="171" t="n"/>
      <c r="U35" s="171" t="n"/>
      <c r="V35" s="171" t="n"/>
      <c r="W35" s="171" t="n"/>
      <c r="X35" s="171" t="n"/>
      <c r="Y35" s="171" t="n"/>
      <c r="Z35" s="171" t="n"/>
      <c r="AA35" s="171" t="n"/>
      <c r="AB35" s="171" t="n"/>
      <c r="AC35" s="171" t="n"/>
      <c r="AD35" s="171" t="n"/>
      <c r="AE35" s="171" t="n"/>
      <c r="AF35" s="171" t="n"/>
      <c r="AG35" s="171" t="n"/>
      <c r="AH35" s="171" t="n"/>
    </row>
    <row r="36">
      <c r="A36" s="171" t="n"/>
      <c r="B36" s="171" t="n"/>
      <c r="C36" s="171" t="n"/>
      <c r="D36" s="171" t="n"/>
      <c r="E36" s="171" t="n"/>
      <c r="F36" s="171" t="n"/>
      <c r="G36" s="171" t="n"/>
      <c r="H36" s="171" t="n"/>
      <c r="I36" s="171" t="n"/>
      <c r="J36" s="171" t="n"/>
      <c r="K36" s="171" t="n"/>
      <c r="L36" s="171" t="n"/>
      <c r="M36" s="171" t="n"/>
      <c r="N36" s="171" t="n"/>
      <c r="O36" s="171" t="n"/>
      <c r="P36" s="171" t="n"/>
      <c r="Q36" s="171" t="n"/>
      <c r="R36" s="171" t="n"/>
      <c r="S36" s="171" t="n"/>
      <c r="T36" s="171" t="n"/>
      <c r="U36" s="171" t="n"/>
      <c r="V36" s="171" t="n"/>
      <c r="W36" s="171" t="n"/>
      <c r="X36" s="171" t="n"/>
      <c r="Y36" s="171" t="n"/>
      <c r="Z36" s="171" t="n"/>
      <c r="AA36" s="171" t="n"/>
      <c r="AB36" s="171" t="n"/>
      <c r="AC36" s="171" t="n"/>
      <c r="AD36" s="171" t="n"/>
      <c r="AE36" s="171" t="n"/>
      <c r="AF36" s="171" t="n"/>
      <c r="AG36" s="171" t="n"/>
      <c r="AH36" s="171" t="n"/>
    </row>
    <row r="37">
      <c r="A37" s="171" t="n"/>
      <c r="B37" s="171" t="n"/>
      <c r="C37" s="171" t="n"/>
      <c r="D37" s="171" t="n"/>
      <c r="E37" s="171" t="n"/>
      <c r="F37" s="171" t="n"/>
      <c r="G37" s="171" t="n"/>
      <c r="H37" s="171" t="n"/>
      <c r="I37" s="171" t="n"/>
      <c r="J37" s="171" t="n"/>
      <c r="K37" s="171" t="n"/>
      <c r="L37" s="171" t="n"/>
      <c r="M37" s="171" t="n"/>
      <c r="N37" s="171" t="n"/>
      <c r="O37" s="171" t="n"/>
      <c r="P37" s="171" t="n"/>
      <c r="Q37" s="171" t="n"/>
      <c r="R37" s="171" t="n"/>
      <c r="S37" s="171" t="n"/>
      <c r="T37" s="171" t="n"/>
      <c r="U37" s="171" t="n"/>
      <c r="V37" s="171" t="n"/>
      <c r="W37" s="171" t="n"/>
      <c r="X37" s="171" t="n"/>
      <c r="Y37" s="171" t="n"/>
      <c r="Z37" s="171" t="n"/>
      <c r="AA37" s="171" t="n"/>
      <c r="AB37" s="171" t="n"/>
      <c r="AC37" s="171" t="n"/>
      <c r="AD37" s="171" t="n"/>
      <c r="AE37" s="171" t="n"/>
      <c r="AF37" s="171" t="n"/>
      <c r="AG37" s="171" t="n"/>
      <c r="AH37" s="171" t="n"/>
    </row>
    <row r="38">
      <c r="A38" s="171" t="n"/>
      <c r="B38" s="171" t="n"/>
      <c r="C38" s="171" t="n"/>
      <c r="D38" s="171" t="n"/>
      <c r="E38" s="171" t="n"/>
      <c r="F38" s="171" t="n"/>
      <c r="G38" s="171" t="n"/>
      <c r="H38" s="171" t="n"/>
      <c r="I38" s="171" t="n"/>
      <c r="J38" s="171" t="n"/>
      <c r="K38" s="171" t="n"/>
      <c r="L38" s="171" t="n"/>
      <c r="M38" s="171" t="n"/>
      <c r="N38" s="171" t="n"/>
      <c r="O38" s="171" t="n"/>
      <c r="P38" s="171" t="n"/>
      <c r="Q38" s="171" t="n"/>
      <c r="R38" s="171" t="n"/>
      <c r="S38" s="171" t="n"/>
      <c r="T38" s="171" t="n"/>
      <c r="U38" s="171" t="n"/>
      <c r="V38" s="171" t="n"/>
      <c r="W38" s="171" t="n"/>
      <c r="X38" s="171" t="n"/>
      <c r="Y38" s="171" t="n"/>
      <c r="Z38" s="171" t="n"/>
      <c r="AA38" s="171" t="n"/>
      <c r="AB38" s="171" t="n"/>
      <c r="AC38" s="171" t="n"/>
      <c r="AD38" s="171" t="n"/>
      <c r="AE38" s="171" t="n"/>
      <c r="AF38" s="171" t="n"/>
      <c r="AG38" s="171" t="n"/>
      <c r="AH38" s="171" t="n"/>
    </row>
    <row r="39">
      <c r="A39" s="171" t="n"/>
      <c r="B39" s="171" t="n"/>
      <c r="C39" s="171" t="n"/>
      <c r="D39" s="171" t="n"/>
      <c r="E39" s="171" t="n"/>
      <c r="F39" s="171" t="n"/>
      <c r="G39" s="171" t="n"/>
      <c r="H39" s="171" t="n"/>
      <c r="I39" s="171" t="n"/>
      <c r="J39" s="171" t="n"/>
      <c r="K39" s="171" t="n"/>
      <c r="L39" s="171" t="n"/>
      <c r="M39" s="171" t="n"/>
      <c r="N39" s="171" t="n"/>
      <c r="O39" s="171" t="n"/>
      <c r="P39" s="171" t="n"/>
      <c r="Q39" s="171" t="n"/>
      <c r="R39" s="171" t="n"/>
      <c r="S39" s="171" t="n"/>
      <c r="T39" s="171" t="n"/>
      <c r="U39" s="171" t="n"/>
      <c r="V39" s="171" t="n"/>
      <c r="W39" s="171" t="n"/>
      <c r="X39" s="171" t="n"/>
      <c r="Y39" s="171" t="n"/>
      <c r="Z39" s="171" t="n"/>
      <c r="AA39" s="171" t="n"/>
      <c r="AB39" s="171" t="n"/>
      <c r="AC39" s="171" t="n"/>
      <c r="AD39" s="171" t="n"/>
      <c r="AE39" s="171" t="n"/>
      <c r="AF39" s="171" t="n"/>
      <c r="AG39" s="171" t="n"/>
      <c r="AH39" s="171" t="n"/>
    </row>
    <row r="40">
      <c r="A40" s="171" t="n"/>
      <c r="B40" s="171" t="n"/>
      <c r="C40" s="171" t="n"/>
      <c r="D40" s="171" t="n"/>
      <c r="E40" s="171" t="n"/>
      <c r="F40" s="171" t="n"/>
      <c r="G40" s="171" t="n"/>
      <c r="H40" s="171" t="n"/>
      <c r="I40" s="171" t="n"/>
      <c r="J40" s="171" t="n"/>
      <c r="K40" s="171" t="n"/>
      <c r="L40" s="171" t="n"/>
      <c r="M40" s="171" t="n"/>
      <c r="N40" s="171" t="n"/>
      <c r="O40" s="171" t="n"/>
      <c r="P40" s="171" t="n"/>
      <c r="Q40" s="171" t="n"/>
      <c r="R40" s="171" t="n"/>
      <c r="S40" s="171" t="n"/>
      <c r="T40" s="171" t="n"/>
      <c r="U40" s="171" t="n"/>
      <c r="V40" s="171" t="n"/>
      <c r="W40" s="171" t="n"/>
      <c r="X40" s="171" t="n"/>
      <c r="Y40" s="171" t="n"/>
      <c r="Z40" s="171" t="n"/>
      <c r="AA40" s="171" t="n"/>
      <c r="AB40" s="171" t="n"/>
      <c r="AC40" s="171" t="n"/>
      <c r="AD40" s="171" t="n"/>
      <c r="AE40" s="171" t="n"/>
      <c r="AF40" s="171" t="n"/>
      <c r="AG40" s="171" t="n"/>
      <c r="AH40" s="171" t="n"/>
    </row>
    <row r="41">
      <c r="A41" s="171" t="n"/>
      <c r="B41" s="171" t="n"/>
      <c r="C41" s="171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  <c r="O41" s="171" t="n"/>
      <c r="P41" s="171" t="n"/>
      <c r="Q41" s="171" t="n"/>
      <c r="R41" s="171" t="n"/>
      <c r="S41" s="171" t="n"/>
      <c r="T41" s="171" t="n"/>
      <c r="U41" s="171" t="n"/>
      <c r="V41" s="171" t="n"/>
      <c r="W41" s="171" t="n"/>
      <c r="X41" s="171" t="n"/>
      <c r="Y41" s="171" t="n"/>
      <c r="Z41" s="171" t="n"/>
      <c r="AA41" s="171" t="n"/>
      <c r="AB41" s="171" t="n"/>
      <c r="AC41" s="171" t="n"/>
      <c r="AD41" s="171" t="n"/>
      <c r="AE41" s="171" t="n"/>
      <c r="AF41" s="171" t="n"/>
      <c r="AG41" s="171" t="n"/>
      <c r="AH41" s="171" t="n"/>
    </row>
    <row r="42">
      <c r="A42" s="171" t="n"/>
      <c r="B42" s="171" t="n"/>
      <c r="C42" s="171" t="n"/>
      <c r="D42" s="171" t="n"/>
      <c r="E42" s="171" t="n"/>
      <c r="F42" s="171" t="n"/>
      <c r="G42" s="171" t="n"/>
      <c r="H42" s="171" t="n"/>
      <c r="I42" s="171" t="n"/>
      <c r="J42" s="171" t="n"/>
      <c r="K42" s="171" t="n"/>
      <c r="L42" s="171" t="n"/>
      <c r="M42" s="171" t="n"/>
      <c r="N42" s="171" t="n"/>
      <c r="O42" s="171" t="n"/>
      <c r="P42" s="171" t="n"/>
      <c r="Q42" s="171" t="n"/>
      <c r="R42" s="171" t="n"/>
      <c r="S42" s="171" t="n"/>
      <c r="T42" s="171" t="n"/>
      <c r="U42" s="171" t="n"/>
      <c r="V42" s="171" t="n"/>
      <c r="W42" s="171" t="n"/>
      <c r="X42" s="171" t="n"/>
      <c r="Y42" s="171" t="n"/>
      <c r="Z42" s="171" t="n"/>
      <c r="AA42" s="171" t="n"/>
      <c r="AB42" s="171" t="n"/>
      <c r="AC42" s="171" t="n"/>
      <c r="AD42" s="171" t="n"/>
      <c r="AE42" s="171" t="n"/>
      <c r="AF42" s="171" t="n"/>
      <c r="AG42" s="171" t="n"/>
      <c r="AH42" s="171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171" t="n"/>
      <c r="P43" s="171" t="n"/>
      <c r="Q43" s="171" t="n"/>
      <c r="R43" s="171" t="n"/>
      <c r="S43" s="171" t="n"/>
      <c r="T43" s="171" t="n"/>
      <c r="U43" s="171" t="n"/>
      <c r="V43" s="171" t="n"/>
      <c r="W43" s="171" t="n"/>
      <c r="X43" s="171" t="n"/>
      <c r="Y43" s="171" t="n"/>
      <c r="Z43" s="171" t="n"/>
      <c r="AA43" s="171" t="n"/>
      <c r="AB43" s="171" t="n"/>
      <c r="AC43" s="171" t="n"/>
      <c r="AD43" s="171" t="n"/>
      <c r="AE43" s="171" t="n"/>
      <c r="AF43" s="171" t="n"/>
      <c r="AG43" s="171" t="n"/>
      <c r="AH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171" t="n"/>
      <c r="P44" s="171" t="n"/>
      <c r="Q44" s="171" t="n"/>
      <c r="R44" s="171" t="n"/>
      <c r="S44" s="171" t="n"/>
      <c r="T44" s="171" t="n"/>
      <c r="U44" s="171" t="n"/>
      <c r="V44" s="171" t="n"/>
      <c r="W44" s="171" t="n"/>
      <c r="X44" s="171" t="n"/>
      <c r="Y44" s="171" t="n"/>
      <c r="Z44" s="171" t="n"/>
      <c r="AA44" s="171" t="n"/>
      <c r="AB44" s="171" t="n"/>
      <c r="AC44" s="171" t="n"/>
      <c r="AD44" s="171" t="n"/>
      <c r="AE44" s="171" t="n"/>
      <c r="AF44" s="171" t="n"/>
      <c r="AG44" s="171" t="n"/>
      <c r="AH44" s="171" t="n"/>
    </row>
    <row r="45">
      <c r="A45" s="171" t="n"/>
      <c r="B45" s="171" t="n"/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171" t="n"/>
      <c r="P45" s="171" t="n"/>
      <c r="Q45" s="171" t="n"/>
      <c r="R45" s="171" t="n"/>
      <c r="S45" s="171" t="n"/>
      <c r="T45" s="171" t="n"/>
      <c r="U45" s="171" t="n"/>
      <c r="V45" s="171" t="n"/>
      <c r="W45" s="171" t="n"/>
      <c r="X45" s="171" t="n"/>
      <c r="Y45" s="171" t="n"/>
      <c r="Z45" s="171" t="n"/>
      <c r="AA45" s="171" t="n"/>
      <c r="AB45" s="171" t="n"/>
      <c r="AC45" s="171" t="n"/>
      <c r="AD45" s="171" t="n"/>
      <c r="AE45" s="171" t="n"/>
      <c r="AF45" s="171" t="n"/>
      <c r="AG45" s="171" t="n"/>
      <c r="AH45" s="171" t="n"/>
    </row>
    <row r="46">
      <c r="A46" s="171" t="n"/>
      <c r="B46" s="171" t="n"/>
      <c r="C46" s="171" t="n"/>
      <c r="D46" s="171" t="n"/>
      <c r="E46" s="171" t="n"/>
      <c r="F46" s="171" t="n"/>
      <c r="G46" s="171" t="n"/>
      <c r="H46" s="171" t="n"/>
      <c r="I46" s="171" t="n"/>
      <c r="J46" s="171" t="n"/>
      <c r="K46" s="171" t="n"/>
      <c r="L46" s="171" t="n"/>
      <c r="M46" s="171" t="n"/>
      <c r="N46" s="171" t="n"/>
      <c r="O46" s="171" t="n"/>
      <c r="P46" s="171" t="n"/>
      <c r="Q46" s="171" t="n"/>
      <c r="R46" s="171" t="n"/>
      <c r="S46" s="171" t="n"/>
      <c r="T46" s="171" t="n"/>
      <c r="U46" s="171" t="n"/>
      <c r="V46" s="171" t="n"/>
      <c r="W46" s="171" t="n"/>
      <c r="X46" s="171" t="n"/>
      <c r="Y46" s="171" t="n"/>
      <c r="Z46" s="171" t="n"/>
      <c r="AA46" s="171" t="n"/>
      <c r="AB46" s="171" t="n"/>
      <c r="AC46" s="171" t="n"/>
      <c r="AD46" s="171" t="n"/>
      <c r="AE46" s="171" t="n"/>
      <c r="AF46" s="171" t="n"/>
      <c r="AG46" s="171" t="n"/>
      <c r="AH46" s="171" t="n"/>
    </row>
    <row r="47">
      <c r="A47" s="171" t="n"/>
      <c r="B47" s="171" t="n"/>
      <c r="C47" s="171" t="n"/>
      <c r="D47" s="171" t="n"/>
      <c r="E47" s="171" t="n"/>
      <c r="F47" s="171" t="n"/>
      <c r="G47" s="171" t="n"/>
      <c r="H47" s="171" t="n"/>
      <c r="I47" s="171" t="n"/>
      <c r="J47" s="171" t="n"/>
      <c r="K47" s="171" t="n"/>
      <c r="L47" s="171" t="n"/>
      <c r="M47" s="171" t="n"/>
      <c r="N47" s="171" t="n"/>
      <c r="O47" s="171" t="n"/>
      <c r="P47" s="171" t="n"/>
      <c r="Q47" s="171" t="n"/>
      <c r="R47" s="171" t="n"/>
      <c r="S47" s="171" t="n"/>
      <c r="T47" s="171" t="n"/>
      <c r="U47" s="171" t="n"/>
      <c r="V47" s="171" t="n"/>
      <c r="W47" s="171" t="n"/>
      <c r="X47" s="171" t="n"/>
      <c r="Y47" s="171" t="n"/>
      <c r="Z47" s="171" t="n"/>
      <c r="AA47" s="171" t="n"/>
      <c r="AB47" s="171" t="n"/>
      <c r="AC47" s="171" t="n"/>
      <c r="AD47" s="171" t="n"/>
      <c r="AE47" s="171" t="n"/>
      <c r="AF47" s="171" t="n"/>
      <c r="AG47" s="171" t="n"/>
      <c r="AH47" s="171" t="n"/>
    </row>
    <row r="48">
      <c r="A48" s="171" t="n"/>
      <c r="B48" s="171" t="n"/>
      <c r="C48" s="171" t="n"/>
      <c r="D48" s="171" t="n"/>
      <c r="E48" s="171" t="n"/>
      <c r="F48" s="171" t="n"/>
      <c r="G48" s="171" t="n"/>
      <c r="H48" s="171" t="n"/>
      <c r="I48" s="171" t="n"/>
      <c r="J48" s="171" t="n"/>
      <c r="K48" s="171" t="n"/>
      <c r="L48" s="171" t="n"/>
      <c r="M48" s="171" t="n"/>
      <c r="N48" s="171" t="n"/>
      <c r="O48" s="171" t="n"/>
      <c r="P48" s="171" t="n"/>
      <c r="Q48" s="171" t="n"/>
      <c r="R48" s="171" t="n"/>
      <c r="S48" s="171" t="n"/>
      <c r="T48" s="171" t="n"/>
      <c r="U48" s="171" t="n"/>
      <c r="V48" s="171" t="n"/>
      <c r="W48" s="171" t="n"/>
      <c r="X48" s="171" t="n"/>
      <c r="Y48" s="171" t="n"/>
      <c r="Z48" s="171" t="n"/>
      <c r="AA48" s="171" t="n"/>
      <c r="AB48" s="171" t="n"/>
      <c r="AC48" s="171" t="n"/>
      <c r="AD48" s="171" t="n"/>
      <c r="AE48" s="171" t="n"/>
      <c r="AF48" s="171" t="n"/>
      <c r="AG48" s="171" t="n"/>
      <c r="AH48" s="171" t="n"/>
    </row>
    <row r="49">
      <c r="A49" s="171" t="n"/>
      <c r="B49" s="171" t="n"/>
      <c r="C49" s="171" t="n"/>
      <c r="D49" s="171" t="n"/>
      <c r="E49" s="171" t="n"/>
      <c r="F49" s="171" t="n"/>
      <c r="G49" s="171" t="n"/>
      <c r="H49" s="171" t="n"/>
      <c r="I49" s="171" t="n"/>
      <c r="J49" s="171" t="n"/>
      <c r="K49" s="171" t="n"/>
      <c r="L49" s="171" t="n"/>
      <c r="M49" s="171" t="n"/>
      <c r="N49" s="171" t="n"/>
      <c r="O49" s="171" t="n"/>
      <c r="P49" s="171" t="n"/>
      <c r="Q49" s="171" t="n"/>
      <c r="R49" s="171" t="n"/>
      <c r="S49" s="171" t="n"/>
      <c r="T49" s="171" t="n"/>
      <c r="U49" s="171" t="n"/>
      <c r="V49" s="171" t="n"/>
      <c r="W49" s="171" t="n"/>
      <c r="X49" s="171" t="n"/>
      <c r="Y49" s="171" t="n"/>
      <c r="Z49" s="171" t="n"/>
      <c r="AA49" s="171" t="n"/>
      <c r="AB49" s="171" t="n"/>
      <c r="AC49" s="171" t="n"/>
      <c r="AD49" s="171" t="n"/>
      <c r="AE49" s="171" t="n"/>
      <c r="AF49" s="171" t="n"/>
      <c r="AG49" s="171" t="n"/>
      <c r="AH49" s="171" t="n"/>
    </row>
    <row r="50">
      <c r="A50" s="171" t="n"/>
      <c r="B50" s="171" t="n"/>
      <c r="C50" s="171" t="n"/>
      <c r="D50" s="171" t="n"/>
      <c r="E50" s="171" t="n"/>
      <c r="F50" s="171" t="n"/>
      <c r="G50" s="171" t="n"/>
      <c r="H50" s="171" t="n"/>
      <c r="I50" s="171" t="n"/>
      <c r="J50" s="171" t="n"/>
      <c r="K50" s="171" t="n"/>
      <c r="L50" s="171" t="n"/>
      <c r="M50" s="171" t="n"/>
      <c r="N50" s="171" t="n"/>
      <c r="O50" s="171" t="n"/>
      <c r="P50" s="171" t="n"/>
      <c r="Q50" s="171" t="n"/>
      <c r="R50" s="171" t="n"/>
      <c r="S50" s="171" t="n"/>
      <c r="T50" s="171" t="n"/>
      <c r="U50" s="171" t="n"/>
      <c r="V50" s="171" t="n"/>
      <c r="W50" s="171" t="n"/>
      <c r="X50" s="171" t="n"/>
      <c r="Y50" s="171" t="n"/>
      <c r="Z50" s="171" t="n"/>
      <c r="AA50" s="171" t="n"/>
      <c r="AB50" s="171" t="n"/>
      <c r="AC50" s="171" t="n"/>
      <c r="AD50" s="171" t="n"/>
      <c r="AE50" s="171" t="n"/>
      <c r="AF50" s="171" t="n"/>
      <c r="AG50" s="171" t="n"/>
      <c r="AH50" s="171" t="n"/>
    </row>
    <row r="51">
      <c r="A51" s="171" t="n"/>
      <c r="B51" s="171" t="n"/>
      <c r="C51" s="171" t="n"/>
      <c r="D51" s="171" t="n"/>
      <c r="E51" s="171" t="n"/>
      <c r="F51" s="171" t="n"/>
      <c r="G51" s="171" t="n"/>
      <c r="H51" s="171" t="n"/>
      <c r="I51" s="171" t="n"/>
      <c r="J51" s="171" t="n"/>
      <c r="K51" s="171" t="n"/>
      <c r="L51" s="171" t="n"/>
      <c r="M51" s="171" t="n"/>
      <c r="N51" s="171" t="n"/>
      <c r="O51" s="171" t="n"/>
      <c r="P51" s="171" t="n"/>
      <c r="Q51" s="171" t="n"/>
      <c r="R51" s="171" t="n"/>
      <c r="S51" s="171" t="n"/>
      <c r="T51" s="171" t="n"/>
      <c r="U51" s="171" t="n"/>
      <c r="V51" s="171" t="n"/>
      <c r="W51" s="171" t="n"/>
      <c r="X51" s="171" t="n"/>
      <c r="Y51" s="171" t="n"/>
      <c r="Z51" s="171" t="n"/>
      <c r="AA51" s="171" t="n"/>
      <c r="AB51" s="171" t="n"/>
      <c r="AC51" s="171" t="n"/>
      <c r="AD51" s="171" t="n"/>
      <c r="AE51" s="171" t="n"/>
      <c r="AF51" s="171" t="n"/>
      <c r="AG51" s="171" t="n"/>
      <c r="AH51" s="171" t="n"/>
    </row>
    <row r="52">
      <c r="A52" s="171" t="n"/>
      <c r="B52" s="171" t="n"/>
      <c r="C52" s="171" t="n"/>
      <c r="D52" s="171" t="n"/>
      <c r="E52" s="171" t="n"/>
      <c r="F52" s="171" t="n"/>
      <c r="G52" s="171" t="n"/>
      <c r="H52" s="171" t="n"/>
      <c r="I52" s="171" t="n"/>
      <c r="J52" s="171" t="n"/>
      <c r="K52" s="171" t="n"/>
      <c r="L52" s="171" t="n"/>
      <c r="M52" s="171" t="n"/>
      <c r="N52" s="171" t="n"/>
      <c r="O52" s="171" t="n"/>
      <c r="P52" s="171" t="n"/>
      <c r="Q52" s="171" t="n"/>
      <c r="R52" s="171" t="n"/>
      <c r="S52" s="171" t="n"/>
      <c r="T52" s="171" t="n"/>
      <c r="U52" s="171" t="n"/>
      <c r="V52" s="171" t="n"/>
      <c r="W52" s="171" t="n"/>
      <c r="X52" s="171" t="n"/>
      <c r="Y52" s="171" t="n"/>
      <c r="Z52" s="171" t="n"/>
      <c r="AA52" s="171" t="n"/>
      <c r="AB52" s="171" t="n"/>
      <c r="AC52" s="171" t="n"/>
      <c r="AD52" s="171" t="n"/>
      <c r="AE52" s="171" t="n"/>
      <c r="AF52" s="171" t="n"/>
      <c r="AG52" s="171" t="n"/>
      <c r="AH52" s="171" t="n"/>
    </row>
    <row r="53">
      <c r="A53" s="171" t="n"/>
      <c r="B53" s="171" t="n"/>
      <c r="C53" s="171" t="n"/>
      <c r="D53" s="171" t="n"/>
      <c r="E53" s="171" t="n"/>
      <c r="F53" s="171" t="n"/>
      <c r="G53" s="171" t="n"/>
      <c r="H53" s="171" t="n"/>
      <c r="I53" s="171" t="n"/>
      <c r="J53" s="171" t="n"/>
      <c r="K53" s="171" t="n"/>
      <c r="L53" s="171" t="n"/>
      <c r="M53" s="171" t="n"/>
      <c r="N53" s="171" t="n"/>
      <c r="O53" s="171" t="n"/>
      <c r="P53" s="171" t="n"/>
      <c r="Q53" s="171" t="n"/>
      <c r="R53" s="171" t="n"/>
      <c r="S53" s="171" t="n"/>
      <c r="T53" s="171" t="n"/>
      <c r="U53" s="171" t="n"/>
      <c r="V53" s="171" t="n"/>
      <c r="W53" s="171" t="n"/>
      <c r="X53" s="171" t="n"/>
      <c r="Y53" s="171" t="n"/>
      <c r="Z53" s="171" t="n"/>
      <c r="AA53" s="171" t="n"/>
      <c r="AB53" s="171" t="n"/>
      <c r="AC53" s="171" t="n"/>
      <c r="AD53" s="171" t="n"/>
      <c r="AE53" s="171" t="n"/>
      <c r="AF53" s="171" t="n"/>
      <c r="AG53" s="171" t="n"/>
      <c r="AH53" s="171" t="n"/>
    </row>
    <row r="54">
      <c r="A54" s="171" t="n"/>
      <c r="B54" s="171" t="n"/>
      <c r="C54" s="171" t="n"/>
      <c r="D54" s="171" t="n"/>
      <c r="E54" s="171" t="n"/>
      <c r="F54" s="171" t="n"/>
      <c r="G54" s="171" t="n"/>
      <c r="H54" s="171" t="n"/>
      <c r="I54" s="171" t="n"/>
      <c r="J54" s="171" t="n"/>
      <c r="K54" s="171" t="n"/>
      <c r="L54" s="171" t="n"/>
      <c r="M54" s="171" t="n"/>
      <c r="N54" s="171" t="n"/>
      <c r="O54" s="171" t="n"/>
      <c r="P54" s="171" t="n"/>
      <c r="Q54" s="171" t="n"/>
      <c r="R54" s="171" t="n"/>
      <c r="S54" s="171" t="n"/>
      <c r="T54" s="171" t="n"/>
      <c r="U54" s="171" t="n"/>
      <c r="V54" s="171" t="n"/>
      <c r="W54" s="171" t="n"/>
      <c r="X54" s="171" t="n"/>
      <c r="Y54" s="171" t="n"/>
      <c r="Z54" s="171" t="n"/>
      <c r="AA54" s="171" t="n"/>
      <c r="AB54" s="171" t="n"/>
      <c r="AC54" s="171" t="n"/>
      <c r="AD54" s="171" t="n"/>
      <c r="AE54" s="171" t="n"/>
      <c r="AF54" s="171" t="n"/>
      <c r="AG54" s="171" t="n"/>
      <c r="AH54" s="171" t="n"/>
    </row>
    <row r="55">
      <c r="A55" s="171" t="n"/>
      <c r="B55" s="171" t="n"/>
      <c r="C55" s="171" t="n"/>
      <c r="D55" s="171" t="n"/>
      <c r="E55" s="171" t="n"/>
      <c r="F55" s="171" t="n"/>
      <c r="G55" s="171" t="n"/>
      <c r="H55" s="171" t="n"/>
      <c r="I55" s="171" t="n"/>
      <c r="J55" s="171" t="n"/>
      <c r="K55" s="171" t="n"/>
      <c r="L55" s="171" t="n"/>
      <c r="M55" s="171" t="n"/>
      <c r="N55" s="171" t="n"/>
      <c r="O55" s="171" t="n"/>
      <c r="P55" s="171" t="n"/>
      <c r="Q55" s="171" t="n"/>
      <c r="R55" s="171" t="n"/>
      <c r="S55" s="171" t="n"/>
      <c r="T55" s="171" t="n"/>
      <c r="U55" s="171" t="n"/>
      <c r="V55" s="171" t="n"/>
      <c r="W55" s="171" t="n"/>
      <c r="X55" s="171" t="n"/>
      <c r="Y55" s="171" t="n"/>
      <c r="Z55" s="171" t="n"/>
      <c r="AA55" s="171" t="n"/>
      <c r="AB55" s="171" t="n"/>
      <c r="AC55" s="171" t="n"/>
      <c r="AD55" s="171" t="n"/>
      <c r="AE55" s="171" t="n"/>
      <c r="AF55" s="171" t="n"/>
      <c r="AG55" s="171" t="n"/>
      <c r="AH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171" t="n"/>
      <c r="P56" s="171" t="n"/>
      <c r="Q56" s="171" t="n"/>
      <c r="R56" s="171" t="n"/>
      <c r="S56" s="171" t="n"/>
      <c r="T56" s="171" t="n"/>
      <c r="U56" s="171" t="n"/>
      <c r="V56" s="171" t="n"/>
      <c r="W56" s="171" t="n"/>
      <c r="X56" s="171" t="n"/>
      <c r="Y56" s="171" t="n"/>
      <c r="Z56" s="171" t="n"/>
      <c r="AA56" s="171" t="n"/>
      <c r="AB56" s="171" t="n"/>
      <c r="AC56" s="171" t="n"/>
      <c r="AD56" s="171" t="n"/>
      <c r="AE56" s="171" t="n"/>
      <c r="AF56" s="171" t="n"/>
      <c r="AG56" s="171" t="n"/>
      <c r="AH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171" t="n"/>
      <c r="P57" s="171" t="n"/>
      <c r="Q57" s="171" t="n"/>
      <c r="R57" s="171" t="n"/>
      <c r="S57" s="171" t="n"/>
      <c r="T57" s="171" t="n"/>
      <c r="U57" s="171" t="n"/>
      <c r="V57" s="171" t="n"/>
      <c r="W57" s="171" t="n"/>
      <c r="X57" s="171" t="n"/>
      <c r="Y57" s="171" t="n"/>
      <c r="Z57" s="171" t="n"/>
      <c r="AA57" s="171" t="n"/>
      <c r="AB57" s="171" t="n"/>
      <c r="AC57" s="171" t="n"/>
      <c r="AD57" s="171" t="n"/>
      <c r="AE57" s="171" t="n"/>
      <c r="AF57" s="171" t="n"/>
      <c r="AG57" s="171" t="n"/>
      <c r="AH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171" t="n"/>
      <c r="P58" s="171" t="n"/>
      <c r="Q58" s="171" t="n"/>
      <c r="R58" s="171" t="n"/>
      <c r="S58" s="171" t="n"/>
      <c r="T58" s="171" t="n"/>
      <c r="U58" s="171" t="n"/>
      <c r="V58" s="171" t="n"/>
      <c r="W58" s="171" t="n"/>
      <c r="X58" s="171" t="n"/>
      <c r="Y58" s="171" t="n"/>
      <c r="Z58" s="171" t="n"/>
      <c r="AA58" s="171" t="n"/>
      <c r="AB58" s="171" t="n"/>
      <c r="AC58" s="171" t="n"/>
      <c r="AD58" s="171" t="n"/>
      <c r="AE58" s="171" t="n"/>
      <c r="AF58" s="171" t="n"/>
      <c r="AG58" s="171" t="n"/>
      <c r="AH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171" t="n"/>
      <c r="P59" s="171" t="n"/>
      <c r="Q59" s="171" t="n"/>
      <c r="R59" s="171" t="n"/>
      <c r="S59" s="171" t="n"/>
      <c r="T59" s="171" t="n"/>
      <c r="U59" s="171" t="n"/>
      <c r="V59" s="171" t="n"/>
      <c r="W59" s="171" t="n"/>
      <c r="X59" s="171" t="n"/>
      <c r="Y59" s="171" t="n"/>
      <c r="Z59" s="171" t="n"/>
      <c r="AA59" s="171" t="n"/>
      <c r="AB59" s="171" t="n"/>
      <c r="AC59" s="171" t="n"/>
      <c r="AD59" s="171" t="n"/>
      <c r="AE59" s="171" t="n"/>
      <c r="AF59" s="171" t="n"/>
      <c r="AG59" s="171" t="n"/>
      <c r="AH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171" t="n"/>
      <c r="P60" s="171" t="n"/>
      <c r="Q60" s="171" t="n"/>
      <c r="R60" s="171" t="n"/>
      <c r="S60" s="171" t="n"/>
      <c r="T60" s="171" t="n"/>
      <c r="U60" s="171" t="n"/>
      <c r="V60" s="171" t="n"/>
      <c r="W60" s="171" t="n"/>
      <c r="X60" s="171" t="n"/>
      <c r="Y60" s="171" t="n"/>
      <c r="Z60" s="171" t="n"/>
      <c r="AA60" s="171" t="n"/>
      <c r="AB60" s="171" t="n"/>
      <c r="AC60" s="171" t="n"/>
      <c r="AD60" s="171" t="n"/>
      <c r="AE60" s="171" t="n"/>
      <c r="AF60" s="171" t="n"/>
      <c r="AG60" s="171" t="n"/>
      <c r="AH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171" t="n"/>
      <c r="P61" s="171" t="n"/>
      <c r="Q61" s="171" t="n"/>
      <c r="R61" s="171" t="n"/>
      <c r="S61" s="171" t="n"/>
      <c r="T61" s="171" t="n"/>
      <c r="U61" s="171" t="n"/>
      <c r="V61" s="171" t="n"/>
      <c r="W61" s="171" t="n"/>
      <c r="X61" s="171" t="n"/>
      <c r="Y61" s="171" t="n"/>
      <c r="Z61" s="171" t="n"/>
      <c r="AA61" s="171" t="n"/>
      <c r="AB61" s="171" t="n"/>
      <c r="AC61" s="171" t="n"/>
      <c r="AD61" s="171" t="n"/>
      <c r="AE61" s="171" t="n"/>
      <c r="AF61" s="171" t="n"/>
      <c r="AG61" s="171" t="n"/>
      <c r="AH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171" t="n"/>
      <c r="P62" s="171" t="n"/>
      <c r="Q62" s="171" t="n"/>
      <c r="R62" s="171" t="n"/>
      <c r="S62" s="171" t="n"/>
      <c r="T62" s="171" t="n"/>
      <c r="U62" s="171" t="n"/>
      <c r="V62" s="171" t="n"/>
      <c r="W62" s="171" t="n"/>
      <c r="X62" s="171" t="n"/>
      <c r="Y62" s="171" t="n"/>
      <c r="Z62" s="171" t="n"/>
      <c r="AA62" s="171" t="n"/>
      <c r="AB62" s="171" t="n"/>
      <c r="AC62" s="171" t="n"/>
      <c r="AD62" s="171" t="n"/>
      <c r="AE62" s="171" t="n"/>
      <c r="AF62" s="171" t="n"/>
      <c r="AG62" s="171" t="n"/>
      <c r="AH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171" t="n"/>
      <c r="P63" s="171" t="n"/>
      <c r="Q63" s="171" t="n"/>
      <c r="R63" s="171" t="n"/>
      <c r="S63" s="171" t="n"/>
      <c r="T63" s="171" t="n"/>
      <c r="U63" s="171" t="n"/>
      <c r="V63" s="171" t="n"/>
      <c r="W63" s="171" t="n"/>
      <c r="X63" s="171" t="n"/>
      <c r="Y63" s="171" t="n"/>
      <c r="Z63" s="171" t="n"/>
      <c r="AA63" s="171" t="n"/>
      <c r="AB63" s="171" t="n"/>
      <c r="AC63" s="171" t="n"/>
      <c r="AD63" s="171" t="n"/>
      <c r="AE63" s="171" t="n"/>
      <c r="AF63" s="171" t="n"/>
      <c r="AG63" s="171" t="n"/>
      <c r="AH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171" t="n"/>
      <c r="P64" s="171" t="n"/>
      <c r="Q64" s="171" t="n"/>
      <c r="R64" s="171" t="n"/>
      <c r="S64" s="171" t="n"/>
      <c r="T64" s="171" t="n"/>
      <c r="U64" s="171" t="n"/>
      <c r="V64" s="171" t="n"/>
      <c r="W64" s="171" t="n"/>
      <c r="X64" s="171" t="n"/>
      <c r="Y64" s="171" t="n"/>
      <c r="Z64" s="171" t="n"/>
      <c r="AA64" s="171" t="n"/>
      <c r="AB64" s="171" t="n"/>
      <c r="AC64" s="171" t="n"/>
      <c r="AD64" s="171" t="n"/>
      <c r="AE64" s="171" t="n"/>
      <c r="AF64" s="171" t="n"/>
      <c r="AG64" s="171" t="n"/>
      <c r="AH64" s="171" t="n"/>
    </row>
    <row r="65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171" t="n"/>
      <c r="P65" s="171" t="n"/>
      <c r="Q65" s="171" t="n"/>
      <c r="R65" s="171" t="n"/>
      <c r="S65" s="171" t="n"/>
      <c r="T65" s="171" t="n"/>
      <c r="U65" s="171" t="n"/>
      <c r="V65" s="171" t="n"/>
      <c r="W65" s="171" t="n"/>
      <c r="X65" s="171" t="n"/>
      <c r="Y65" s="171" t="n"/>
      <c r="Z65" s="171" t="n"/>
      <c r="AA65" s="171" t="n"/>
      <c r="AB65" s="171" t="n"/>
      <c r="AC65" s="171" t="n"/>
      <c r="AD65" s="171" t="n"/>
      <c r="AE65" s="171" t="n"/>
      <c r="AF65" s="171" t="n"/>
      <c r="AG65" s="171" t="n"/>
      <c r="AH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171" t="n"/>
      <c r="P66" s="171" t="n"/>
      <c r="Q66" s="171" t="n"/>
      <c r="R66" s="171" t="n"/>
      <c r="S66" s="171" t="n"/>
      <c r="T66" s="171" t="n"/>
      <c r="U66" s="171" t="n"/>
      <c r="V66" s="171" t="n"/>
      <c r="W66" s="171" t="n"/>
      <c r="X66" s="171" t="n"/>
      <c r="Y66" s="171" t="n"/>
      <c r="Z66" s="171" t="n"/>
      <c r="AA66" s="171" t="n"/>
      <c r="AB66" s="171" t="n"/>
      <c r="AC66" s="171" t="n"/>
      <c r="AD66" s="171" t="n"/>
      <c r="AE66" s="171" t="n"/>
      <c r="AF66" s="171" t="n"/>
      <c r="AG66" s="171" t="n"/>
      <c r="AH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171" t="n"/>
      <c r="P67" s="171" t="n"/>
      <c r="Q67" s="171" t="n"/>
      <c r="R67" s="171" t="n"/>
      <c r="S67" s="171" t="n"/>
      <c r="T67" s="171" t="n"/>
      <c r="U67" s="171" t="n"/>
      <c r="V67" s="171" t="n"/>
      <c r="W67" s="171" t="n"/>
      <c r="X67" s="171" t="n"/>
      <c r="Y67" s="171" t="n"/>
      <c r="Z67" s="171" t="n"/>
      <c r="AA67" s="171" t="n"/>
      <c r="AB67" s="171" t="n"/>
      <c r="AC67" s="171" t="n"/>
      <c r="AD67" s="171" t="n"/>
      <c r="AE67" s="171" t="n"/>
      <c r="AF67" s="171" t="n"/>
      <c r="AG67" s="171" t="n"/>
      <c r="AH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171" t="n"/>
      <c r="P68" s="171" t="n"/>
      <c r="Q68" s="171" t="n"/>
      <c r="R68" s="171" t="n"/>
      <c r="S68" s="171" t="n"/>
      <c r="T68" s="171" t="n"/>
      <c r="U68" s="171" t="n"/>
      <c r="V68" s="171" t="n"/>
      <c r="W68" s="171" t="n"/>
      <c r="X68" s="171" t="n"/>
      <c r="Y68" s="171" t="n"/>
      <c r="Z68" s="171" t="n"/>
      <c r="AA68" s="171" t="n"/>
      <c r="AB68" s="171" t="n"/>
      <c r="AC68" s="171" t="n"/>
      <c r="AD68" s="171" t="n"/>
      <c r="AE68" s="171" t="n"/>
      <c r="AF68" s="171" t="n"/>
      <c r="AG68" s="171" t="n"/>
      <c r="AH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171" t="n"/>
      <c r="P69" s="171" t="n"/>
      <c r="Q69" s="171" t="n"/>
      <c r="R69" s="171" t="n"/>
      <c r="S69" s="171" t="n"/>
      <c r="T69" s="171" t="n"/>
      <c r="U69" s="171" t="n"/>
      <c r="V69" s="171" t="n"/>
      <c r="W69" s="171" t="n"/>
      <c r="X69" s="171" t="n"/>
      <c r="Y69" s="171" t="n"/>
      <c r="Z69" s="171" t="n"/>
      <c r="AA69" s="171" t="n"/>
      <c r="AB69" s="171" t="n"/>
      <c r="AC69" s="171" t="n"/>
      <c r="AD69" s="171" t="n"/>
      <c r="AE69" s="171" t="n"/>
      <c r="AF69" s="171" t="n"/>
      <c r="AG69" s="171" t="n"/>
      <c r="AH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171" t="n"/>
      <c r="P70" s="171" t="n"/>
      <c r="Q70" s="171" t="n"/>
      <c r="R70" s="171" t="n"/>
      <c r="S70" s="171" t="n"/>
      <c r="T70" s="171" t="n"/>
      <c r="U70" s="171" t="n"/>
      <c r="V70" s="171" t="n"/>
      <c r="W70" s="171" t="n"/>
      <c r="X70" s="171" t="n"/>
      <c r="Y70" s="171" t="n"/>
      <c r="Z70" s="171" t="n"/>
      <c r="AA70" s="171" t="n"/>
      <c r="AB70" s="171" t="n"/>
      <c r="AC70" s="171" t="n"/>
      <c r="AD70" s="171" t="n"/>
      <c r="AE70" s="171" t="n"/>
      <c r="AF70" s="171" t="n"/>
      <c r="AG70" s="171" t="n"/>
      <c r="AH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171" t="n"/>
      <c r="P71" s="171" t="n"/>
      <c r="Q71" s="171" t="n"/>
      <c r="R71" s="171" t="n"/>
      <c r="S71" s="171" t="n"/>
      <c r="T71" s="171" t="n"/>
      <c r="U71" s="171" t="n"/>
      <c r="V71" s="171" t="n"/>
      <c r="W71" s="171" t="n"/>
      <c r="X71" s="171" t="n"/>
      <c r="Y71" s="171" t="n"/>
      <c r="Z71" s="171" t="n"/>
      <c r="AA71" s="171" t="n"/>
      <c r="AB71" s="171" t="n"/>
      <c r="AC71" s="171" t="n"/>
      <c r="AD71" s="171" t="n"/>
      <c r="AE71" s="171" t="n"/>
      <c r="AF71" s="171" t="n"/>
      <c r="AG71" s="171" t="n"/>
      <c r="AH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171" t="n"/>
      <c r="P72" s="171" t="n"/>
      <c r="Q72" s="171" t="n"/>
      <c r="R72" s="171" t="n"/>
      <c r="S72" s="171" t="n"/>
      <c r="T72" s="171" t="n"/>
      <c r="U72" s="171" t="n"/>
      <c r="V72" s="171" t="n"/>
      <c r="W72" s="171" t="n"/>
      <c r="X72" s="171" t="n"/>
      <c r="Y72" s="171" t="n"/>
      <c r="Z72" s="171" t="n"/>
      <c r="AA72" s="171" t="n"/>
      <c r="AB72" s="171" t="n"/>
      <c r="AC72" s="171" t="n"/>
      <c r="AD72" s="171" t="n"/>
      <c r="AE72" s="171" t="n"/>
      <c r="AF72" s="171" t="n"/>
      <c r="AG72" s="171" t="n"/>
      <c r="AH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171" t="n"/>
      <c r="P73" s="171" t="n"/>
      <c r="Q73" s="171" t="n"/>
      <c r="R73" s="171" t="n"/>
      <c r="S73" s="171" t="n"/>
      <c r="T73" s="171" t="n"/>
      <c r="U73" s="171" t="n"/>
      <c r="V73" s="171" t="n"/>
      <c r="W73" s="171" t="n"/>
      <c r="X73" s="171" t="n"/>
      <c r="Y73" s="171" t="n"/>
      <c r="Z73" s="171" t="n"/>
      <c r="AA73" s="171" t="n"/>
      <c r="AB73" s="171" t="n"/>
      <c r="AC73" s="171" t="n"/>
      <c r="AD73" s="171" t="n"/>
      <c r="AE73" s="171" t="n"/>
      <c r="AF73" s="171" t="n"/>
      <c r="AG73" s="171" t="n"/>
      <c r="AH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171" t="n"/>
      <c r="P74" s="171" t="n"/>
      <c r="Q74" s="171" t="n"/>
      <c r="R74" s="171" t="n"/>
      <c r="S74" s="171" t="n"/>
      <c r="T74" s="171" t="n"/>
      <c r="U74" s="171" t="n"/>
      <c r="V74" s="171" t="n"/>
      <c r="W74" s="171" t="n"/>
      <c r="X74" s="171" t="n"/>
      <c r="Y74" s="171" t="n"/>
      <c r="Z74" s="171" t="n"/>
      <c r="AA74" s="171" t="n"/>
      <c r="AB74" s="171" t="n"/>
      <c r="AC74" s="171" t="n"/>
      <c r="AD74" s="171" t="n"/>
      <c r="AE74" s="171" t="n"/>
      <c r="AF74" s="171" t="n"/>
      <c r="AG74" s="171" t="n"/>
      <c r="AH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171" t="n"/>
      <c r="P75" s="171" t="n"/>
      <c r="Q75" s="171" t="n"/>
      <c r="R75" s="171" t="n"/>
      <c r="S75" s="171" t="n"/>
      <c r="T75" s="171" t="n"/>
      <c r="U75" s="171" t="n"/>
      <c r="V75" s="171" t="n"/>
      <c r="W75" s="171" t="n"/>
      <c r="X75" s="171" t="n"/>
      <c r="Y75" s="171" t="n"/>
      <c r="Z75" s="171" t="n"/>
      <c r="AA75" s="171" t="n"/>
      <c r="AB75" s="171" t="n"/>
      <c r="AC75" s="171" t="n"/>
      <c r="AD75" s="171" t="n"/>
      <c r="AE75" s="171" t="n"/>
      <c r="AF75" s="171" t="n"/>
      <c r="AG75" s="171" t="n"/>
      <c r="AH75" s="171" t="n"/>
    </row>
    <row r="76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171" t="n"/>
      <c r="P76" s="171" t="n"/>
      <c r="Q76" s="171" t="n"/>
      <c r="R76" s="171" t="n"/>
      <c r="S76" s="171" t="n"/>
      <c r="T76" s="171" t="n"/>
      <c r="U76" s="171" t="n"/>
      <c r="V76" s="171" t="n"/>
      <c r="W76" s="171" t="n"/>
      <c r="X76" s="171" t="n"/>
      <c r="Y76" s="171" t="n"/>
      <c r="Z76" s="171" t="n"/>
      <c r="AA76" s="171" t="n"/>
      <c r="AB76" s="171" t="n"/>
      <c r="AC76" s="171" t="n"/>
      <c r="AD76" s="171" t="n"/>
      <c r="AE76" s="171" t="n"/>
      <c r="AF76" s="171" t="n"/>
      <c r="AG76" s="171" t="n"/>
      <c r="AH76" s="171" t="n"/>
    </row>
    <row r="77">
      <c r="A77" s="171" t="n"/>
      <c r="B77" s="171" t="n"/>
      <c r="C77" s="171" t="n"/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171" t="n"/>
      <c r="N77" s="171" t="n"/>
      <c r="O77" s="171" t="n"/>
      <c r="P77" s="171" t="n"/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171" t="n"/>
      <c r="AA77" s="171" t="n"/>
      <c r="AB77" s="171" t="n"/>
      <c r="AC77" s="171" t="n"/>
      <c r="AD77" s="171" t="n"/>
      <c r="AE77" s="171" t="n"/>
      <c r="AF77" s="171" t="n"/>
      <c r="AG77" s="171" t="n"/>
      <c r="AH77" s="171" t="n"/>
    </row>
    <row r="78">
      <c r="A78" s="171" t="n"/>
      <c r="B78" s="171" t="n"/>
      <c r="C78" s="171" t="n"/>
      <c r="D78" s="171" t="n"/>
      <c r="E78" s="171" t="n"/>
      <c r="F78" s="171" t="n"/>
      <c r="G78" s="171" t="n"/>
      <c r="H78" s="171" t="n"/>
      <c r="I78" s="171" t="n"/>
      <c r="J78" s="171" t="n"/>
      <c r="K78" s="171" t="n"/>
      <c r="L78" s="171" t="n"/>
      <c r="M78" s="171" t="n"/>
      <c r="N78" s="171" t="n"/>
      <c r="O78" s="171" t="n"/>
      <c r="P78" s="171" t="n"/>
      <c r="Q78" s="171" t="n"/>
      <c r="R78" s="171" t="n"/>
      <c r="S78" s="171" t="n"/>
      <c r="T78" s="171" t="n"/>
      <c r="U78" s="171" t="n"/>
      <c r="V78" s="171" t="n"/>
      <c r="W78" s="171" t="n"/>
      <c r="X78" s="171" t="n"/>
      <c r="Y78" s="171" t="n"/>
      <c r="Z78" s="171" t="n"/>
      <c r="AA78" s="171" t="n"/>
      <c r="AB78" s="171" t="n"/>
      <c r="AC78" s="171" t="n"/>
      <c r="AD78" s="171" t="n"/>
      <c r="AE78" s="171" t="n"/>
      <c r="AF78" s="171" t="n"/>
      <c r="AG78" s="171" t="n"/>
      <c r="AH78" s="171" t="n"/>
    </row>
    <row r="79">
      <c r="A79" s="171" t="n"/>
      <c r="B79" s="171" t="n"/>
      <c r="C79" s="171" t="n"/>
      <c r="D79" s="171" t="n"/>
      <c r="E79" s="171" t="n"/>
      <c r="F79" s="171" t="n"/>
      <c r="G79" s="171" t="n"/>
      <c r="H79" s="171" t="n"/>
      <c r="I79" s="171" t="n"/>
      <c r="J79" s="171" t="n"/>
      <c r="K79" s="171" t="n"/>
      <c r="L79" s="171" t="n"/>
      <c r="M79" s="171" t="n"/>
      <c r="N79" s="171" t="n"/>
      <c r="O79" s="171" t="n"/>
      <c r="P79" s="171" t="n"/>
      <c r="Q79" s="171" t="n"/>
      <c r="R79" s="171" t="n"/>
      <c r="S79" s="171" t="n"/>
      <c r="T79" s="171" t="n"/>
      <c r="U79" s="171" t="n"/>
      <c r="V79" s="171" t="n"/>
      <c r="W79" s="171" t="n"/>
      <c r="X79" s="171" t="n"/>
      <c r="Y79" s="171" t="n"/>
      <c r="Z79" s="171" t="n"/>
      <c r="AA79" s="171" t="n"/>
      <c r="AB79" s="171" t="n"/>
      <c r="AC79" s="171" t="n"/>
      <c r="AD79" s="171" t="n"/>
      <c r="AE79" s="171" t="n"/>
      <c r="AF79" s="171" t="n"/>
      <c r="AG79" s="171" t="n"/>
      <c r="AH79" s="171" t="n"/>
    </row>
    <row r="80">
      <c r="A80" s="171" t="n"/>
      <c r="B80" s="171" t="n"/>
      <c r="C80" s="171" t="n"/>
      <c r="D80" s="171" t="n"/>
      <c r="E80" s="171" t="n"/>
      <c r="F80" s="171" t="n"/>
      <c r="G80" s="171" t="n"/>
      <c r="H80" s="171" t="n"/>
      <c r="I80" s="171" t="n"/>
      <c r="J80" s="171" t="n"/>
      <c r="K80" s="171" t="n"/>
      <c r="L80" s="171" t="n"/>
      <c r="M80" s="171" t="n"/>
      <c r="N80" s="171" t="n"/>
      <c r="O80" s="171" t="n"/>
      <c r="P80" s="171" t="n"/>
      <c r="Q80" s="171" t="n"/>
      <c r="R80" s="171" t="n"/>
      <c r="S80" s="171" t="n"/>
      <c r="T80" s="171" t="n"/>
      <c r="U80" s="171" t="n"/>
      <c r="V80" s="171" t="n"/>
      <c r="W80" s="171" t="n"/>
      <c r="X80" s="171" t="n"/>
      <c r="Y80" s="171" t="n"/>
      <c r="Z80" s="171" t="n"/>
      <c r="AA80" s="171" t="n"/>
      <c r="AB80" s="171" t="n"/>
      <c r="AC80" s="171" t="n"/>
      <c r="AD80" s="171" t="n"/>
      <c r="AE80" s="171" t="n"/>
      <c r="AF80" s="171" t="n"/>
      <c r="AG80" s="171" t="n"/>
      <c r="AH80" s="171" t="n"/>
    </row>
    <row r="81">
      <c r="A81" s="171" t="n"/>
      <c r="B81" s="171" t="n"/>
      <c r="C81" s="171" t="n"/>
      <c r="D81" s="171" t="n"/>
      <c r="E81" s="171" t="n"/>
      <c r="F81" s="171" t="n"/>
      <c r="G81" s="171" t="n"/>
      <c r="H81" s="171" t="n"/>
      <c r="I81" s="171" t="n"/>
      <c r="J81" s="171" t="n"/>
      <c r="K81" s="171" t="n"/>
      <c r="L81" s="171" t="n"/>
      <c r="M81" s="171" t="n"/>
      <c r="N81" s="171" t="n"/>
      <c r="O81" s="171" t="n"/>
      <c r="P81" s="171" t="n"/>
      <c r="Q81" s="171" t="n"/>
      <c r="R81" s="171" t="n"/>
      <c r="S81" s="171" t="n"/>
      <c r="T81" s="171" t="n"/>
      <c r="U81" s="171" t="n"/>
      <c r="V81" s="171" t="n"/>
      <c r="W81" s="171" t="n"/>
      <c r="X81" s="171" t="n"/>
      <c r="Y81" s="171" t="n"/>
      <c r="Z81" s="171" t="n"/>
      <c r="AA81" s="171" t="n"/>
      <c r="AB81" s="171" t="n"/>
      <c r="AC81" s="171" t="n"/>
      <c r="AD81" s="171" t="n"/>
      <c r="AE81" s="171" t="n"/>
      <c r="AF81" s="171" t="n"/>
      <c r="AG81" s="171" t="n"/>
      <c r="AH81" s="171" t="n"/>
    </row>
    <row r="82">
      <c r="A82" s="171" t="n"/>
      <c r="B82" s="171" t="n"/>
      <c r="C82" s="171" t="n"/>
      <c r="D82" s="171" t="n"/>
      <c r="E82" s="171" t="n"/>
      <c r="F82" s="171" t="n"/>
      <c r="G82" s="171" t="n"/>
      <c r="H82" s="171" t="n"/>
      <c r="I82" s="171" t="n"/>
      <c r="J82" s="171" t="n"/>
      <c r="K82" s="171" t="n"/>
      <c r="L82" s="171" t="n"/>
      <c r="M82" s="171" t="n"/>
      <c r="N82" s="171" t="n"/>
      <c r="O82" s="171" t="n"/>
      <c r="P82" s="171" t="n"/>
      <c r="Q82" s="171" t="n"/>
      <c r="R82" s="171" t="n"/>
      <c r="S82" s="171" t="n"/>
      <c r="T82" s="171" t="n"/>
      <c r="U82" s="171" t="n"/>
      <c r="V82" s="171" t="n"/>
      <c r="W82" s="171" t="n"/>
      <c r="X82" s="171" t="n"/>
      <c r="Y82" s="171" t="n"/>
      <c r="Z82" s="171" t="n"/>
      <c r="AA82" s="171" t="n"/>
      <c r="AB82" s="171" t="n"/>
      <c r="AC82" s="171" t="n"/>
      <c r="AD82" s="171" t="n"/>
      <c r="AE82" s="171" t="n"/>
      <c r="AF82" s="171" t="n"/>
      <c r="AG82" s="171" t="n"/>
      <c r="AH82" s="171" t="n"/>
    </row>
    <row r="83">
      <c r="A83" s="171" t="n"/>
      <c r="B83" s="171" t="n"/>
      <c r="C83" s="171" t="n"/>
      <c r="D83" s="171" t="n"/>
      <c r="E83" s="171" t="n"/>
      <c r="F83" s="171" t="n"/>
      <c r="G83" s="171" t="n"/>
      <c r="H83" s="171" t="n"/>
      <c r="I83" s="171" t="n"/>
      <c r="J83" s="171" t="n"/>
      <c r="K83" s="171" t="n"/>
      <c r="L83" s="171" t="n"/>
      <c r="M83" s="171" t="n"/>
      <c r="N83" s="171" t="n"/>
      <c r="O83" s="171" t="n"/>
      <c r="P83" s="171" t="n"/>
      <c r="Q83" s="171" t="n"/>
      <c r="R83" s="171" t="n"/>
      <c r="S83" s="171" t="n"/>
      <c r="T83" s="171" t="n"/>
      <c r="U83" s="171" t="n"/>
      <c r="V83" s="171" t="n"/>
      <c r="W83" s="171" t="n"/>
      <c r="X83" s="171" t="n"/>
      <c r="Y83" s="171" t="n"/>
      <c r="Z83" s="171" t="n"/>
      <c r="AA83" s="171" t="n"/>
      <c r="AB83" s="171" t="n"/>
      <c r="AC83" s="171" t="n"/>
      <c r="AD83" s="171" t="n"/>
      <c r="AE83" s="171" t="n"/>
      <c r="AF83" s="171" t="n"/>
      <c r="AG83" s="171" t="n"/>
      <c r="AH83" s="171" t="n"/>
    </row>
    <row r="84">
      <c r="A84" s="171" t="n"/>
      <c r="B84" s="171" t="n"/>
      <c r="C84" s="171" t="n"/>
      <c r="D84" s="171" t="n"/>
      <c r="E84" s="171" t="n"/>
      <c r="F84" s="171" t="n"/>
      <c r="G84" s="171" t="n"/>
      <c r="H84" s="171" t="n"/>
      <c r="I84" s="171" t="n"/>
      <c r="J84" s="171" t="n"/>
      <c r="K84" s="171" t="n"/>
      <c r="L84" s="171" t="n"/>
      <c r="M84" s="171" t="n"/>
      <c r="N84" s="171" t="n"/>
      <c r="O84" s="171" t="n"/>
      <c r="P84" s="171" t="n"/>
      <c r="Q84" s="171" t="n"/>
      <c r="R84" s="171" t="n"/>
      <c r="S84" s="171" t="n"/>
      <c r="T84" s="171" t="n"/>
      <c r="U84" s="171" t="n"/>
      <c r="V84" s="171" t="n"/>
      <c r="W84" s="171" t="n"/>
      <c r="X84" s="171" t="n"/>
      <c r="Y84" s="171" t="n"/>
      <c r="Z84" s="171" t="n"/>
      <c r="AA84" s="171" t="n"/>
      <c r="AB84" s="171" t="n"/>
      <c r="AC84" s="171" t="n"/>
      <c r="AD84" s="171" t="n"/>
      <c r="AE84" s="171" t="n"/>
      <c r="AF84" s="171" t="n"/>
      <c r="AG84" s="171" t="n"/>
      <c r="AH84" s="171" t="n"/>
    </row>
    <row r="85">
      <c r="A85" s="171" t="n"/>
      <c r="B85" s="171" t="n"/>
      <c r="C85" s="171" t="n"/>
      <c r="D85" s="171" t="n"/>
      <c r="E85" s="171" t="n"/>
      <c r="F85" s="171" t="n"/>
      <c r="G85" s="171" t="n"/>
      <c r="H85" s="171" t="n"/>
      <c r="I85" s="171" t="n"/>
      <c r="J85" s="171" t="n"/>
      <c r="K85" s="171" t="n"/>
      <c r="L85" s="171" t="n"/>
      <c r="M85" s="171" t="n"/>
      <c r="N85" s="171" t="n"/>
      <c r="O85" s="171" t="n"/>
      <c r="P85" s="171" t="n"/>
      <c r="Q85" s="171" t="n"/>
      <c r="R85" s="171" t="n"/>
      <c r="S85" s="171" t="n"/>
      <c r="T85" s="171" t="n"/>
      <c r="U85" s="171" t="n"/>
      <c r="V85" s="171" t="n"/>
      <c r="W85" s="171" t="n"/>
      <c r="X85" s="171" t="n"/>
      <c r="Y85" s="171" t="n"/>
      <c r="Z85" s="171" t="n"/>
      <c r="AA85" s="171" t="n"/>
      <c r="AB85" s="171" t="n"/>
      <c r="AC85" s="171" t="n"/>
      <c r="AD85" s="171" t="n"/>
      <c r="AE85" s="171" t="n"/>
      <c r="AF85" s="171" t="n"/>
      <c r="AG85" s="171" t="n"/>
      <c r="AH85" s="171" t="n"/>
    </row>
    <row r="86">
      <c r="A86" s="171" t="n"/>
      <c r="B86" s="171" t="n"/>
      <c r="C86" s="171" t="n"/>
      <c r="D86" s="171" t="n"/>
      <c r="E86" s="171" t="n"/>
      <c r="F86" s="171" t="n"/>
      <c r="G86" s="171" t="n"/>
      <c r="H86" s="171" t="n"/>
      <c r="I86" s="171" t="n"/>
      <c r="J86" s="171" t="n"/>
      <c r="K86" s="171" t="n"/>
      <c r="L86" s="171" t="n"/>
      <c r="M86" s="171" t="n"/>
      <c r="N86" s="171" t="n"/>
      <c r="O86" s="171" t="n"/>
      <c r="P86" s="171" t="n"/>
      <c r="Q86" s="171" t="n"/>
      <c r="R86" s="171" t="n"/>
      <c r="S86" s="171" t="n"/>
      <c r="T86" s="171" t="n"/>
      <c r="U86" s="171" t="n"/>
      <c r="V86" s="171" t="n"/>
      <c r="W86" s="171" t="n"/>
      <c r="X86" s="171" t="n"/>
      <c r="Y86" s="171" t="n"/>
      <c r="Z86" s="171" t="n"/>
      <c r="AA86" s="171" t="n"/>
      <c r="AB86" s="171" t="n"/>
      <c r="AC86" s="171" t="n"/>
      <c r="AD86" s="171" t="n"/>
      <c r="AE86" s="171" t="n"/>
      <c r="AF86" s="171" t="n"/>
      <c r="AG86" s="171" t="n"/>
      <c r="AH86" s="171" t="n"/>
    </row>
    <row r="87">
      <c r="A87" s="171" t="n"/>
      <c r="B87" s="171" t="n"/>
      <c r="C87" s="171" t="n"/>
      <c r="D87" s="171" t="n"/>
      <c r="E87" s="171" t="n"/>
      <c r="F87" s="171" t="n"/>
      <c r="G87" s="171" t="n"/>
      <c r="H87" s="171" t="n"/>
      <c r="I87" s="171" t="n"/>
      <c r="J87" s="171" t="n"/>
      <c r="K87" s="171" t="n"/>
      <c r="L87" s="171" t="n"/>
      <c r="M87" s="171" t="n"/>
      <c r="N87" s="171" t="n"/>
      <c r="O87" s="171" t="n"/>
      <c r="P87" s="171" t="n"/>
      <c r="Q87" s="171" t="n"/>
      <c r="R87" s="171" t="n"/>
      <c r="S87" s="171" t="n"/>
      <c r="T87" s="171" t="n"/>
      <c r="U87" s="171" t="n"/>
      <c r="V87" s="171" t="n"/>
      <c r="W87" s="171" t="n"/>
      <c r="X87" s="171" t="n"/>
      <c r="Y87" s="171" t="n"/>
      <c r="Z87" s="171" t="n"/>
      <c r="AA87" s="171" t="n"/>
      <c r="AB87" s="171" t="n"/>
      <c r="AC87" s="171" t="n"/>
      <c r="AD87" s="171" t="n"/>
      <c r="AE87" s="171" t="n"/>
      <c r="AF87" s="171" t="n"/>
      <c r="AG87" s="171" t="n"/>
      <c r="AH87" s="171" t="n"/>
    </row>
    <row r="88">
      <c r="A88" s="171" t="n"/>
      <c r="B88" s="171" t="n"/>
      <c r="C88" s="171" t="n"/>
      <c r="D88" s="171" t="n"/>
      <c r="E88" s="171" t="n"/>
      <c r="F88" s="171" t="n"/>
      <c r="G88" s="171" t="n"/>
      <c r="H88" s="171" t="n"/>
      <c r="I88" s="171" t="n"/>
      <c r="J88" s="171" t="n"/>
      <c r="K88" s="171" t="n"/>
      <c r="L88" s="171" t="n"/>
      <c r="M88" s="171" t="n"/>
      <c r="N88" s="171" t="n"/>
      <c r="O88" s="171" t="n"/>
      <c r="P88" s="171" t="n"/>
      <c r="Q88" s="171" t="n"/>
      <c r="R88" s="171" t="n"/>
      <c r="S88" s="171" t="n"/>
      <c r="T88" s="171" t="n"/>
      <c r="U88" s="171" t="n"/>
      <c r="V88" s="171" t="n"/>
      <c r="W88" s="171" t="n"/>
      <c r="X88" s="171" t="n"/>
      <c r="Y88" s="171" t="n"/>
      <c r="Z88" s="171" t="n"/>
      <c r="AA88" s="171" t="n"/>
      <c r="AB88" s="171" t="n"/>
      <c r="AC88" s="171" t="n"/>
      <c r="AD88" s="171" t="n"/>
      <c r="AE88" s="171" t="n"/>
      <c r="AF88" s="171" t="n"/>
      <c r="AG88" s="171" t="n"/>
      <c r="AH88" s="171" t="n"/>
    </row>
    <row r="89">
      <c r="A89" s="171" t="n"/>
      <c r="B89" s="171" t="n"/>
      <c r="C89" s="171" t="n"/>
      <c r="D89" s="171" t="n"/>
      <c r="E89" s="171" t="n"/>
      <c r="F89" s="171" t="n"/>
      <c r="G89" s="171" t="n"/>
      <c r="H89" s="171" t="n"/>
      <c r="I89" s="171" t="n"/>
      <c r="J89" s="171" t="n"/>
      <c r="K89" s="171" t="n"/>
      <c r="L89" s="171" t="n"/>
      <c r="M89" s="171" t="n"/>
      <c r="N89" s="171" t="n"/>
      <c r="O89" s="171" t="n"/>
      <c r="P89" s="171" t="n"/>
      <c r="Q89" s="171" t="n"/>
      <c r="R89" s="171" t="n"/>
      <c r="S89" s="171" t="n"/>
      <c r="T89" s="171" t="n"/>
      <c r="U89" s="171" t="n"/>
      <c r="V89" s="171" t="n"/>
      <c r="W89" s="171" t="n"/>
      <c r="X89" s="171" t="n"/>
      <c r="Y89" s="171" t="n"/>
      <c r="Z89" s="171" t="n"/>
      <c r="AA89" s="171" t="n"/>
      <c r="AB89" s="171" t="n"/>
      <c r="AC89" s="171" t="n"/>
      <c r="AD89" s="171" t="n"/>
      <c r="AE89" s="171" t="n"/>
      <c r="AF89" s="171" t="n"/>
      <c r="AG89" s="171" t="n"/>
      <c r="AH89" s="171" t="n"/>
    </row>
    <row r="90">
      <c r="A90" s="171" t="n"/>
      <c r="B90" s="171" t="n"/>
      <c r="C90" s="171" t="n"/>
      <c r="D90" s="171" t="n"/>
      <c r="E90" s="171" t="n"/>
      <c r="F90" s="171" t="n"/>
      <c r="G90" s="171" t="n"/>
      <c r="H90" s="171" t="n"/>
      <c r="I90" s="171" t="n"/>
      <c r="J90" s="171" t="n"/>
      <c r="K90" s="171" t="n"/>
      <c r="L90" s="171" t="n"/>
      <c r="M90" s="171" t="n"/>
      <c r="N90" s="171" t="n"/>
      <c r="O90" s="171" t="n"/>
      <c r="P90" s="171" t="n"/>
      <c r="Q90" s="171" t="n"/>
      <c r="R90" s="171" t="n"/>
      <c r="S90" s="171" t="n"/>
      <c r="T90" s="171" t="n"/>
      <c r="U90" s="171" t="n"/>
      <c r="V90" s="171" t="n"/>
      <c r="W90" s="171" t="n"/>
      <c r="X90" s="171" t="n"/>
      <c r="Y90" s="171" t="n"/>
      <c r="Z90" s="171" t="n"/>
      <c r="AA90" s="171" t="n"/>
      <c r="AB90" s="171" t="n"/>
      <c r="AC90" s="171" t="n"/>
      <c r="AD90" s="171" t="n"/>
      <c r="AE90" s="171" t="n"/>
      <c r="AF90" s="171" t="n"/>
      <c r="AG90" s="171" t="n"/>
      <c r="AH90" s="171" t="n"/>
    </row>
    <row r="91">
      <c r="A91" s="171" t="n"/>
      <c r="B91" s="171" t="n"/>
      <c r="C91" s="171" t="n"/>
      <c r="D91" s="171" t="n"/>
      <c r="E91" s="171" t="n"/>
      <c r="F91" s="171" t="n"/>
      <c r="G91" s="171" t="n"/>
      <c r="H91" s="171" t="n"/>
      <c r="I91" s="171" t="n"/>
      <c r="J91" s="171" t="n"/>
      <c r="K91" s="171" t="n"/>
      <c r="L91" s="171" t="n"/>
      <c r="M91" s="171" t="n"/>
      <c r="N91" s="171" t="n"/>
      <c r="O91" s="171" t="n"/>
      <c r="P91" s="171" t="n"/>
      <c r="Q91" s="171" t="n"/>
      <c r="R91" s="171" t="n"/>
      <c r="S91" s="171" t="n"/>
      <c r="T91" s="171" t="n"/>
      <c r="U91" s="171" t="n"/>
      <c r="V91" s="171" t="n"/>
      <c r="W91" s="171" t="n"/>
      <c r="X91" s="171" t="n"/>
      <c r="Y91" s="171" t="n"/>
      <c r="Z91" s="171" t="n"/>
      <c r="AA91" s="171" t="n"/>
      <c r="AB91" s="171" t="n"/>
      <c r="AC91" s="171" t="n"/>
      <c r="AD91" s="171" t="n"/>
      <c r="AE91" s="171" t="n"/>
      <c r="AF91" s="171" t="n"/>
      <c r="AG91" s="171" t="n"/>
      <c r="AH91" s="171" t="n"/>
    </row>
    <row r="92">
      <c r="A92" s="171" t="n"/>
      <c r="B92" s="171" t="n"/>
      <c r="C92" s="171" t="n"/>
      <c r="D92" s="171" t="n"/>
      <c r="E92" s="171" t="n"/>
      <c r="F92" s="171" t="n"/>
      <c r="G92" s="171" t="n"/>
      <c r="H92" s="171" t="n"/>
      <c r="I92" s="171" t="n"/>
      <c r="J92" s="171" t="n"/>
      <c r="K92" s="171" t="n"/>
      <c r="L92" s="171" t="n"/>
      <c r="M92" s="171" t="n"/>
      <c r="N92" s="171" t="n"/>
      <c r="O92" s="171" t="n"/>
      <c r="P92" s="171" t="n"/>
      <c r="Q92" s="171" t="n"/>
      <c r="R92" s="171" t="n"/>
      <c r="S92" s="171" t="n"/>
      <c r="T92" s="171" t="n"/>
      <c r="U92" s="171" t="n"/>
      <c r="V92" s="171" t="n"/>
      <c r="W92" s="171" t="n"/>
      <c r="X92" s="171" t="n"/>
      <c r="Y92" s="171" t="n"/>
      <c r="Z92" s="171" t="n"/>
      <c r="AA92" s="171" t="n"/>
      <c r="AB92" s="171" t="n"/>
      <c r="AC92" s="171" t="n"/>
      <c r="AD92" s="171" t="n"/>
      <c r="AE92" s="171" t="n"/>
      <c r="AF92" s="171" t="n"/>
      <c r="AG92" s="171" t="n"/>
      <c r="AH92" s="171" t="n"/>
    </row>
    <row r="93">
      <c r="A93" s="171" t="n"/>
      <c r="B93" s="171" t="n"/>
      <c r="C93" s="171" t="n"/>
      <c r="D93" s="171" t="n"/>
      <c r="E93" s="171" t="n"/>
      <c r="F93" s="171" t="n"/>
      <c r="G93" s="171" t="n"/>
      <c r="H93" s="171" t="n"/>
      <c r="I93" s="171" t="n"/>
      <c r="J93" s="171" t="n"/>
      <c r="K93" s="171" t="n"/>
      <c r="L93" s="171" t="n"/>
      <c r="M93" s="171" t="n"/>
      <c r="N93" s="171" t="n"/>
      <c r="O93" s="171" t="n"/>
      <c r="P93" s="171" t="n"/>
      <c r="Q93" s="171" t="n"/>
      <c r="R93" s="171" t="n"/>
      <c r="S93" s="171" t="n"/>
      <c r="T93" s="171" t="n"/>
      <c r="U93" s="171" t="n"/>
      <c r="V93" s="171" t="n"/>
      <c r="W93" s="171" t="n"/>
      <c r="X93" s="171" t="n"/>
      <c r="Y93" s="171" t="n"/>
      <c r="Z93" s="171" t="n"/>
      <c r="AA93" s="171" t="n"/>
      <c r="AB93" s="171" t="n"/>
      <c r="AC93" s="171" t="n"/>
      <c r="AD93" s="171" t="n"/>
      <c r="AE93" s="171" t="n"/>
      <c r="AF93" s="171" t="n"/>
      <c r="AG93" s="171" t="n"/>
      <c r="AH93" s="171" t="n"/>
    </row>
    <row r="94">
      <c r="A94" s="171" t="n"/>
      <c r="B94" s="171" t="n"/>
      <c r="C94" s="171" t="n"/>
      <c r="D94" s="171" t="n"/>
      <c r="E94" s="171" t="n"/>
      <c r="F94" s="171" t="n"/>
      <c r="G94" s="171" t="n"/>
      <c r="H94" s="171" t="n"/>
      <c r="I94" s="171" t="n"/>
      <c r="J94" s="171" t="n"/>
      <c r="K94" s="171" t="n"/>
      <c r="L94" s="171" t="n"/>
      <c r="M94" s="171" t="n"/>
      <c r="N94" s="171" t="n"/>
      <c r="O94" s="171" t="n"/>
      <c r="P94" s="171" t="n"/>
      <c r="Q94" s="171" t="n"/>
      <c r="R94" s="171" t="n"/>
      <c r="S94" s="171" t="n"/>
      <c r="T94" s="171" t="n"/>
      <c r="U94" s="171" t="n"/>
      <c r="V94" s="171" t="n"/>
      <c r="W94" s="171" t="n"/>
      <c r="X94" s="171" t="n"/>
      <c r="Y94" s="171" t="n"/>
      <c r="Z94" s="171" t="n"/>
      <c r="AA94" s="171" t="n"/>
      <c r="AB94" s="171" t="n"/>
      <c r="AC94" s="171" t="n"/>
      <c r="AD94" s="171" t="n"/>
      <c r="AE94" s="171" t="n"/>
      <c r="AF94" s="171" t="n"/>
      <c r="AG94" s="171" t="n"/>
      <c r="AH94" s="171" t="n"/>
    </row>
    <row r="95">
      <c r="A95" s="171" t="n"/>
      <c r="B95" s="171" t="n"/>
      <c r="C95" s="171" t="n"/>
      <c r="D95" s="171" t="n"/>
      <c r="E95" s="171" t="n"/>
      <c r="F95" s="171" t="n"/>
      <c r="G95" s="171" t="n"/>
      <c r="H95" s="171" t="n"/>
      <c r="I95" s="171" t="n"/>
      <c r="J95" s="171" t="n"/>
      <c r="K95" s="171" t="n"/>
      <c r="L95" s="171" t="n"/>
      <c r="M95" s="171" t="n"/>
      <c r="N95" s="171" t="n"/>
      <c r="O95" s="171" t="n"/>
      <c r="P95" s="171" t="n"/>
      <c r="Q95" s="171" t="n"/>
      <c r="R95" s="171" t="n"/>
      <c r="S95" s="171" t="n"/>
      <c r="T95" s="171" t="n"/>
      <c r="U95" s="171" t="n"/>
      <c r="V95" s="171" t="n"/>
      <c r="W95" s="171" t="n"/>
      <c r="X95" s="171" t="n"/>
      <c r="Y95" s="171" t="n"/>
      <c r="Z95" s="171" t="n"/>
      <c r="AA95" s="171" t="n"/>
      <c r="AB95" s="171" t="n"/>
      <c r="AC95" s="171" t="n"/>
      <c r="AD95" s="171" t="n"/>
      <c r="AE95" s="171" t="n"/>
      <c r="AF95" s="171" t="n"/>
      <c r="AG95" s="171" t="n"/>
      <c r="AH95" s="171" t="n"/>
    </row>
    <row r="96">
      <c r="A96" s="171" t="n"/>
      <c r="B96" s="171" t="n"/>
      <c r="C96" s="171" t="n"/>
      <c r="D96" s="171" t="n"/>
      <c r="E96" s="171" t="n"/>
      <c r="F96" s="171" t="n"/>
      <c r="G96" s="171" t="n"/>
      <c r="H96" s="171" t="n"/>
      <c r="I96" s="171" t="n"/>
      <c r="J96" s="171" t="n"/>
      <c r="K96" s="171" t="n"/>
      <c r="L96" s="171" t="n"/>
      <c r="M96" s="171" t="n"/>
      <c r="N96" s="171" t="n"/>
      <c r="O96" s="171" t="n"/>
      <c r="P96" s="171" t="n"/>
      <c r="Q96" s="171" t="n"/>
      <c r="R96" s="171" t="n"/>
      <c r="S96" s="171" t="n"/>
      <c r="T96" s="171" t="n"/>
      <c r="U96" s="171" t="n"/>
      <c r="V96" s="171" t="n"/>
      <c r="W96" s="171" t="n"/>
      <c r="X96" s="171" t="n"/>
      <c r="Y96" s="171" t="n"/>
      <c r="Z96" s="171" t="n"/>
      <c r="AA96" s="171" t="n"/>
      <c r="AB96" s="171" t="n"/>
      <c r="AC96" s="171" t="n"/>
      <c r="AD96" s="171" t="n"/>
      <c r="AE96" s="171" t="n"/>
      <c r="AF96" s="171" t="n"/>
      <c r="AG96" s="171" t="n"/>
      <c r="AH96" s="171" t="n"/>
    </row>
    <row r="97">
      <c r="A97" s="171" t="n"/>
      <c r="B97" s="171" t="n"/>
      <c r="C97" s="171" t="n"/>
      <c r="D97" s="171" t="n"/>
      <c r="E97" s="171" t="n"/>
      <c r="F97" s="171" t="n"/>
      <c r="G97" s="171" t="n"/>
      <c r="H97" s="171" t="n"/>
      <c r="I97" s="171" t="n"/>
      <c r="J97" s="171" t="n"/>
      <c r="K97" s="171" t="n"/>
      <c r="L97" s="171" t="n"/>
      <c r="M97" s="171" t="n"/>
      <c r="N97" s="171" t="n"/>
      <c r="O97" s="171" t="n"/>
      <c r="P97" s="171" t="n"/>
      <c r="Q97" s="171" t="n"/>
      <c r="R97" s="171" t="n"/>
      <c r="S97" s="171" t="n"/>
      <c r="T97" s="171" t="n"/>
      <c r="U97" s="171" t="n"/>
      <c r="V97" s="171" t="n"/>
      <c r="W97" s="171" t="n"/>
      <c r="X97" s="171" t="n"/>
      <c r="Y97" s="171" t="n"/>
      <c r="Z97" s="171" t="n"/>
      <c r="AA97" s="171" t="n"/>
      <c r="AB97" s="171" t="n"/>
      <c r="AC97" s="171" t="n"/>
      <c r="AD97" s="171" t="n"/>
      <c r="AE97" s="171" t="n"/>
      <c r="AF97" s="171" t="n"/>
      <c r="AG97" s="171" t="n"/>
      <c r="AH97" s="171" t="n"/>
    </row>
    <row r="98">
      <c r="A98" s="171" t="n"/>
      <c r="B98" s="171" t="n"/>
      <c r="C98" s="171" t="n"/>
      <c r="D98" s="171" t="n"/>
      <c r="E98" s="171" t="n"/>
      <c r="F98" s="171" t="n"/>
      <c r="G98" s="171" t="n"/>
      <c r="H98" s="171" t="n"/>
      <c r="I98" s="171" t="n"/>
      <c r="J98" s="171" t="n"/>
      <c r="K98" s="171" t="n"/>
      <c r="L98" s="171" t="n"/>
      <c r="M98" s="171" t="n"/>
      <c r="N98" s="171" t="n"/>
      <c r="O98" s="171" t="n"/>
      <c r="P98" s="171" t="n"/>
      <c r="Q98" s="171" t="n"/>
      <c r="R98" s="171" t="n"/>
      <c r="S98" s="171" t="n"/>
      <c r="T98" s="171" t="n"/>
      <c r="U98" s="171" t="n"/>
      <c r="V98" s="171" t="n"/>
      <c r="W98" s="171" t="n"/>
      <c r="X98" s="171" t="n"/>
      <c r="Y98" s="171" t="n"/>
      <c r="Z98" s="171" t="n"/>
      <c r="AA98" s="171" t="n"/>
      <c r="AB98" s="171" t="n"/>
      <c r="AC98" s="171" t="n"/>
      <c r="AD98" s="171" t="n"/>
      <c r="AE98" s="171" t="n"/>
      <c r="AF98" s="171" t="n"/>
      <c r="AG98" s="171" t="n"/>
      <c r="AH98" s="171" t="n"/>
    </row>
    <row r="99">
      <c r="A99" s="171" t="n"/>
      <c r="B99" s="171" t="n"/>
      <c r="C99" s="171" t="n"/>
      <c r="D99" s="171" t="n"/>
      <c r="E99" s="171" t="n"/>
      <c r="F99" s="171" t="n"/>
      <c r="G99" s="171" t="n"/>
      <c r="H99" s="171" t="n"/>
      <c r="I99" s="171" t="n"/>
      <c r="J99" s="171" t="n"/>
      <c r="K99" s="171" t="n"/>
      <c r="L99" s="171" t="n"/>
      <c r="M99" s="171" t="n"/>
      <c r="N99" s="171" t="n"/>
      <c r="O99" s="171" t="n"/>
      <c r="P99" s="171" t="n"/>
      <c r="Q99" s="171" t="n"/>
      <c r="R99" s="171" t="n"/>
      <c r="S99" s="171" t="n"/>
      <c r="T99" s="171" t="n"/>
      <c r="U99" s="171" t="n"/>
      <c r="V99" s="171" t="n"/>
      <c r="W99" s="171" t="n"/>
      <c r="X99" s="171" t="n"/>
      <c r="Y99" s="171" t="n"/>
      <c r="Z99" s="171" t="n"/>
      <c r="AA99" s="171" t="n"/>
      <c r="AB99" s="171" t="n"/>
      <c r="AC99" s="171" t="n"/>
      <c r="AD99" s="171" t="n"/>
      <c r="AE99" s="171" t="n"/>
      <c r="AF99" s="171" t="n"/>
      <c r="AG99" s="171" t="n"/>
      <c r="AH99" s="171" t="n"/>
    </row>
    <row r="100">
      <c r="A100" s="171" t="n"/>
      <c r="B100" s="171" t="n"/>
      <c r="C100" s="171" t="n"/>
      <c r="D100" s="171" t="n"/>
      <c r="E100" s="171" t="n"/>
      <c r="F100" s="171" t="n"/>
      <c r="G100" s="171" t="n"/>
      <c r="H100" s="171" t="n"/>
      <c r="I100" s="171" t="n"/>
      <c r="J100" s="171" t="n"/>
      <c r="K100" s="171" t="n"/>
      <c r="L100" s="171" t="n"/>
      <c r="M100" s="171" t="n"/>
      <c r="N100" s="171" t="n"/>
      <c r="O100" s="171" t="n"/>
      <c r="P100" s="171" t="n"/>
      <c r="Q100" s="171" t="n"/>
      <c r="R100" s="171" t="n"/>
      <c r="S100" s="171" t="n"/>
      <c r="T100" s="171" t="n"/>
      <c r="U100" s="171" t="n"/>
      <c r="V100" s="171" t="n"/>
      <c r="W100" s="171" t="n"/>
      <c r="X100" s="171" t="n"/>
      <c r="Y100" s="171" t="n"/>
      <c r="Z100" s="171" t="n"/>
      <c r="AA100" s="171" t="n"/>
      <c r="AB100" s="171" t="n"/>
      <c r="AC100" s="171" t="n"/>
      <c r="AD100" s="171" t="n"/>
      <c r="AE100" s="171" t="n"/>
      <c r="AF100" s="171" t="n"/>
      <c r="AG100" s="171" t="n"/>
      <c r="AH100" s="171" t="n"/>
    </row>
    <row r="101">
      <c r="A101" s="171" t="n"/>
      <c r="B101" s="171" t="n"/>
      <c r="C101" s="171" t="n"/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171" t="n"/>
      <c r="N101" s="171" t="n"/>
      <c r="O101" s="171" t="n"/>
      <c r="P101" s="171" t="n"/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171" t="n"/>
      <c r="AA101" s="171" t="n"/>
      <c r="AB101" s="171" t="n"/>
      <c r="AC101" s="171" t="n"/>
      <c r="AD101" s="171" t="n"/>
      <c r="AE101" s="171" t="n"/>
      <c r="AF101" s="171" t="n"/>
      <c r="AG101" s="171" t="n"/>
      <c r="AH101" s="171" t="n"/>
    </row>
    <row r="102">
      <c r="A102" s="171" t="n"/>
      <c r="B102" s="171" t="n"/>
      <c r="C102" s="171" t="n"/>
      <c r="D102" s="171" t="n"/>
      <c r="E102" s="171" t="n"/>
      <c r="F102" s="171" t="n"/>
      <c r="G102" s="171" t="n"/>
      <c r="H102" s="171" t="n"/>
      <c r="I102" s="171" t="n"/>
      <c r="J102" s="171" t="n"/>
      <c r="K102" s="171" t="n"/>
      <c r="L102" s="171" t="n"/>
      <c r="M102" s="171" t="n"/>
      <c r="N102" s="171" t="n"/>
      <c r="O102" s="171" t="n"/>
      <c r="P102" s="171" t="n"/>
      <c r="Q102" s="171" t="n"/>
      <c r="R102" s="171" t="n"/>
      <c r="S102" s="171" t="n"/>
      <c r="T102" s="171" t="n"/>
      <c r="U102" s="171" t="n"/>
      <c r="V102" s="171" t="n"/>
      <c r="W102" s="171" t="n"/>
      <c r="X102" s="171" t="n"/>
      <c r="Y102" s="171" t="n"/>
      <c r="Z102" s="171" t="n"/>
      <c r="AA102" s="171" t="n"/>
      <c r="AB102" s="171" t="n"/>
      <c r="AC102" s="171" t="n"/>
      <c r="AD102" s="171" t="n"/>
      <c r="AE102" s="171" t="n"/>
      <c r="AF102" s="171" t="n"/>
      <c r="AG102" s="171" t="n"/>
      <c r="AH102" s="171" t="n"/>
    </row>
    <row r="103">
      <c r="A103" s="171" t="n"/>
      <c r="B103" s="171" t="n"/>
      <c r="C103" s="171" t="n"/>
      <c r="D103" s="171" t="n"/>
      <c r="E103" s="171" t="n"/>
      <c r="F103" s="171" t="n"/>
      <c r="G103" s="171" t="n"/>
      <c r="H103" s="171" t="n"/>
      <c r="I103" s="171" t="n"/>
      <c r="J103" s="171" t="n"/>
      <c r="K103" s="171" t="n"/>
      <c r="L103" s="171" t="n"/>
      <c r="M103" s="171" t="n"/>
      <c r="N103" s="171" t="n"/>
      <c r="O103" s="171" t="n"/>
      <c r="P103" s="171" t="n"/>
      <c r="Q103" s="171" t="n"/>
      <c r="R103" s="171" t="n"/>
      <c r="S103" s="171" t="n"/>
      <c r="T103" s="171" t="n"/>
      <c r="U103" s="171" t="n"/>
      <c r="V103" s="171" t="n"/>
      <c r="W103" s="171" t="n"/>
      <c r="X103" s="171" t="n"/>
      <c r="Y103" s="171" t="n"/>
      <c r="Z103" s="171" t="n"/>
      <c r="AA103" s="171" t="n"/>
      <c r="AB103" s="171" t="n"/>
      <c r="AC103" s="171" t="n"/>
      <c r="AD103" s="171" t="n"/>
      <c r="AE103" s="171" t="n"/>
      <c r="AF103" s="171" t="n"/>
      <c r="AG103" s="171" t="n"/>
      <c r="AH103" s="171" t="n"/>
    </row>
    <row r="104">
      <c r="A104" s="171" t="n"/>
      <c r="B104" s="171" t="n"/>
      <c r="C104" s="171" t="n"/>
      <c r="D104" s="171" t="n"/>
      <c r="E104" s="171" t="n"/>
      <c r="F104" s="171" t="n"/>
      <c r="G104" s="171" t="n"/>
      <c r="H104" s="171" t="n"/>
      <c r="I104" s="171" t="n"/>
      <c r="J104" s="171" t="n"/>
      <c r="K104" s="171" t="n"/>
      <c r="L104" s="171" t="n"/>
      <c r="M104" s="171" t="n"/>
      <c r="N104" s="171" t="n"/>
      <c r="O104" s="171" t="n"/>
      <c r="P104" s="171" t="n"/>
      <c r="Q104" s="171" t="n"/>
      <c r="R104" s="171" t="n"/>
      <c r="S104" s="171" t="n"/>
      <c r="T104" s="171" t="n"/>
      <c r="U104" s="171" t="n"/>
      <c r="V104" s="171" t="n"/>
      <c r="W104" s="171" t="n"/>
      <c r="X104" s="171" t="n"/>
      <c r="Y104" s="171" t="n"/>
      <c r="Z104" s="171" t="n"/>
      <c r="AA104" s="171" t="n"/>
      <c r="AB104" s="171" t="n"/>
      <c r="AC104" s="171" t="n"/>
      <c r="AD104" s="171" t="n"/>
      <c r="AE104" s="171" t="n"/>
      <c r="AF104" s="171" t="n"/>
      <c r="AG104" s="171" t="n"/>
      <c r="AH104" s="171" t="n"/>
    </row>
    <row r="105">
      <c r="A105" s="171" t="n"/>
      <c r="B105" s="171" t="n"/>
      <c r="C105" s="171" t="n"/>
      <c r="D105" s="171" t="n"/>
      <c r="E105" s="171" t="n"/>
      <c r="F105" s="171" t="n"/>
      <c r="G105" s="171" t="n"/>
      <c r="H105" s="171" t="n"/>
      <c r="I105" s="171" t="n"/>
      <c r="J105" s="171" t="n"/>
      <c r="K105" s="171" t="n"/>
      <c r="L105" s="171" t="n"/>
      <c r="M105" s="171" t="n"/>
      <c r="N105" s="171" t="n"/>
      <c r="O105" s="171" t="n"/>
      <c r="P105" s="171" t="n"/>
      <c r="Q105" s="171" t="n"/>
      <c r="R105" s="171" t="n"/>
      <c r="S105" s="171" t="n"/>
      <c r="T105" s="171" t="n"/>
      <c r="U105" s="171" t="n"/>
      <c r="V105" s="171" t="n"/>
      <c r="W105" s="171" t="n"/>
      <c r="X105" s="171" t="n"/>
      <c r="Y105" s="171" t="n"/>
      <c r="Z105" s="171" t="n"/>
      <c r="AA105" s="171" t="n"/>
      <c r="AB105" s="171" t="n"/>
      <c r="AC105" s="171" t="n"/>
      <c r="AD105" s="171" t="n"/>
      <c r="AE105" s="171" t="n"/>
      <c r="AF105" s="171" t="n"/>
      <c r="AG105" s="171" t="n"/>
      <c r="AH105" s="171" t="n"/>
    </row>
    <row r="106">
      <c r="A106" s="171" t="n"/>
      <c r="B106" s="171" t="n"/>
      <c r="C106" s="171" t="n"/>
      <c r="D106" s="171" t="n"/>
      <c r="E106" s="171" t="n"/>
      <c r="F106" s="171" t="n"/>
      <c r="G106" s="171" t="n"/>
      <c r="H106" s="171" t="n"/>
      <c r="I106" s="171" t="n"/>
      <c r="J106" s="171" t="n"/>
      <c r="K106" s="171" t="n"/>
      <c r="L106" s="171" t="n"/>
      <c r="M106" s="171" t="n"/>
      <c r="N106" s="171" t="n"/>
      <c r="O106" s="171" t="n"/>
      <c r="P106" s="171" t="n"/>
      <c r="Q106" s="171" t="n"/>
      <c r="R106" s="171" t="n"/>
      <c r="S106" s="171" t="n"/>
      <c r="T106" s="171" t="n"/>
      <c r="U106" s="171" t="n"/>
      <c r="V106" s="171" t="n"/>
      <c r="W106" s="171" t="n"/>
      <c r="X106" s="171" t="n"/>
      <c r="Y106" s="171" t="n"/>
      <c r="Z106" s="171" t="n"/>
      <c r="AA106" s="171" t="n"/>
      <c r="AB106" s="171" t="n"/>
      <c r="AC106" s="171" t="n"/>
      <c r="AD106" s="171" t="n"/>
      <c r="AE106" s="171" t="n"/>
      <c r="AF106" s="171" t="n"/>
      <c r="AG106" s="171" t="n"/>
      <c r="AH106" s="171" t="n"/>
    </row>
    <row r="107">
      <c r="A107" s="171" t="n"/>
      <c r="B107" s="171" t="n"/>
      <c r="C107" s="171" t="n"/>
      <c r="D107" s="171" t="n"/>
      <c r="E107" s="171" t="n"/>
      <c r="F107" s="171" t="n"/>
      <c r="G107" s="171" t="n"/>
      <c r="H107" s="171" t="n"/>
      <c r="I107" s="171" t="n"/>
      <c r="J107" s="171" t="n"/>
      <c r="K107" s="171" t="n"/>
      <c r="L107" s="171" t="n"/>
      <c r="M107" s="171" t="n"/>
      <c r="N107" s="171" t="n"/>
      <c r="O107" s="171" t="n"/>
      <c r="P107" s="171" t="n"/>
      <c r="Q107" s="171" t="n"/>
      <c r="R107" s="171" t="n"/>
      <c r="S107" s="171" t="n"/>
      <c r="T107" s="171" t="n"/>
      <c r="U107" s="171" t="n"/>
      <c r="V107" s="171" t="n"/>
      <c r="W107" s="171" t="n"/>
      <c r="X107" s="171" t="n"/>
      <c r="Y107" s="171" t="n"/>
      <c r="Z107" s="171" t="n"/>
      <c r="AA107" s="171" t="n"/>
      <c r="AB107" s="171" t="n"/>
      <c r="AC107" s="171" t="n"/>
      <c r="AD107" s="171" t="n"/>
      <c r="AE107" s="171" t="n"/>
      <c r="AF107" s="171" t="n"/>
      <c r="AG107" s="171" t="n"/>
      <c r="AH107" s="171" t="n"/>
    </row>
    <row r="108">
      <c r="A108" s="171" t="n"/>
      <c r="B108" s="171" t="n"/>
      <c r="C108" s="171" t="n"/>
      <c r="D108" s="171" t="n"/>
      <c r="E108" s="171" t="n"/>
      <c r="F108" s="171" t="n"/>
      <c r="G108" s="171" t="n"/>
      <c r="H108" s="171" t="n"/>
      <c r="I108" s="171" t="n"/>
      <c r="J108" s="171" t="n"/>
      <c r="K108" s="171" t="n"/>
      <c r="L108" s="171" t="n"/>
      <c r="M108" s="171" t="n"/>
      <c r="N108" s="171" t="n"/>
      <c r="O108" s="171" t="n"/>
      <c r="P108" s="171" t="n"/>
      <c r="Q108" s="171" t="n"/>
      <c r="R108" s="171" t="n"/>
      <c r="S108" s="171" t="n"/>
      <c r="T108" s="171" t="n"/>
      <c r="U108" s="171" t="n"/>
      <c r="V108" s="171" t="n"/>
      <c r="W108" s="171" t="n"/>
      <c r="X108" s="171" t="n"/>
      <c r="Y108" s="171" t="n"/>
      <c r="Z108" s="171" t="n"/>
      <c r="AA108" s="171" t="n"/>
      <c r="AB108" s="171" t="n"/>
      <c r="AC108" s="171" t="n"/>
      <c r="AD108" s="171" t="n"/>
      <c r="AE108" s="171" t="n"/>
      <c r="AF108" s="171" t="n"/>
      <c r="AG108" s="171" t="n"/>
      <c r="AH108" s="171" t="n"/>
    </row>
    <row r="109">
      <c r="A109" s="171" t="n"/>
      <c r="B109" s="171" t="n"/>
      <c r="C109" s="171" t="n"/>
      <c r="D109" s="171" t="n"/>
      <c r="E109" s="171" t="n"/>
      <c r="F109" s="171" t="n"/>
      <c r="G109" s="171" t="n"/>
      <c r="H109" s="171" t="n"/>
      <c r="I109" s="171" t="n"/>
      <c r="J109" s="171" t="n"/>
      <c r="K109" s="171" t="n"/>
      <c r="L109" s="171" t="n"/>
      <c r="M109" s="171" t="n"/>
      <c r="N109" s="171" t="n"/>
      <c r="O109" s="171" t="n"/>
      <c r="P109" s="171" t="n"/>
      <c r="Q109" s="171" t="n"/>
      <c r="R109" s="171" t="n"/>
      <c r="S109" s="171" t="n"/>
      <c r="T109" s="171" t="n"/>
      <c r="U109" s="171" t="n"/>
      <c r="V109" s="171" t="n"/>
      <c r="W109" s="171" t="n"/>
      <c r="X109" s="171" t="n"/>
      <c r="Y109" s="171" t="n"/>
      <c r="Z109" s="171" t="n"/>
      <c r="AA109" s="171" t="n"/>
      <c r="AB109" s="171" t="n"/>
      <c r="AC109" s="171" t="n"/>
      <c r="AD109" s="171" t="n"/>
      <c r="AE109" s="171" t="n"/>
      <c r="AF109" s="171" t="n"/>
      <c r="AG109" s="171" t="n"/>
      <c r="AH109" s="171" t="n"/>
    </row>
    <row r="110">
      <c r="A110" s="171" t="n"/>
      <c r="B110" s="171" t="n"/>
      <c r="C110" s="171" t="n"/>
      <c r="D110" s="171" t="n"/>
      <c r="E110" s="171" t="n"/>
      <c r="F110" s="171" t="n"/>
      <c r="G110" s="171" t="n"/>
      <c r="H110" s="171" t="n"/>
      <c r="I110" s="171" t="n"/>
      <c r="J110" s="171" t="n"/>
      <c r="K110" s="171" t="n"/>
      <c r="L110" s="171" t="n"/>
      <c r="M110" s="171" t="n"/>
      <c r="N110" s="171" t="n"/>
      <c r="O110" s="171" t="n"/>
      <c r="P110" s="171" t="n"/>
      <c r="Q110" s="171" t="n"/>
      <c r="R110" s="171" t="n"/>
      <c r="S110" s="171" t="n"/>
      <c r="T110" s="171" t="n"/>
      <c r="U110" s="171" t="n"/>
      <c r="V110" s="171" t="n"/>
      <c r="W110" s="171" t="n"/>
      <c r="X110" s="171" t="n"/>
      <c r="Y110" s="171" t="n"/>
      <c r="Z110" s="171" t="n"/>
      <c r="AA110" s="171" t="n"/>
      <c r="AB110" s="171" t="n"/>
      <c r="AC110" s="171" t="n"/>
      <c r="AD110" s="171" t="n"/>
      <c r="AE110" s="171" t="n"/>
      <c r="AF110" s="171" t="n"/>
      <c r="AG110" s="171" t="n"/>
      <c r="AH110" s="171" t="n"/>
    </row>
    <row r="111">
      <c r="A111" s="171" t="n"/>
      <c r="B111" s="171" t="n"/>
      <c r="C111" s="171" t="n"/>
      <c r="D111" s="171" t="n"/>
      <c r="E111" s="171" t="n"/>
      <c r="F111" s="171" t="n"/>
      <c r="G111" s="171" t="n"/>
      <c r="H111" s="171" t="n"/>
      <c r="I111" s="171" t="n"/>
      <c r="J111" s="171" t="n"/>
      <c r="K111" s="171" t="n"/>
      <c r="L111" s="171" t="n"/>
      <c r="M111" s="171" t="n"/>
      <c r="N111" s="171" t="n"/>
      <c r="O111" s="171" t="n"/>
      <c r="P111" s="171" t="n"/>
      <c r="Q111" s="171" t="n"/>
      <c r="R111" s="171" t="n"/>
      <c r="S111" s="171" t="n"/>
      <c r="T111" s="171" t="n"/>
      <c r="U111" s="171" t="n"/>
      <c r="V111" s="171" t="n"/>
      <c r="W111" s="171" t="n"/>
      <c r="X111" s="171" t="n"/>
      <c r="Y111" s="171" t="n"/>
      <c r="Z111" s="171" t="n"/>
      <c r="AA111" s="171" t="n"/>
      <c r="AB111" s="171" t="n"/>
      <c r="AC111" s="171" t="n"/>
      <c r="AD111" s="171" t="n"/>
      <c r="AE111" s="171" t="n"/>
      <c r="AF111" s="171" t="n"/>
      <c r="AG111" s="171" t="n"/>
      <c r="AH111" s="171" t="n"/>
    </row>
    <row r="112">
      <c r="A112" s="171" t="n"/>
      <c r="B112" s="171" t="n"/>
      <c r="C112" s="171" t="n"/>
      <c r="D112" s="171" t="n"/>
      <c r="E112" s="171" t="n"/>
      <c r="F112" s="171" t="n"/>
      <c r="G112" s="171" t="n"/>
      <c r="H112" s="171" t="n"/>
      <c r="I112" s="171" t="n"/>
      <c r="J112" s="171" t="n"/>
      <c r="K112" s="171" t="n"/>
      <c r="L112" s="171" t="n"/>
      <c r="M112" s="171" t="n"/>
      <c r="N112" s="171" t="n"/>
      <c r="O112" s="171" t="n"/>
      <c r="P112" s="171" t="n"/>
      <c r="Q112" s="171" t="n"/>
      <c r="R112" s="171" t="n"/>
      <c r="S112" s="171" t="n"/>
      <c r="T112" s="171" t="n"/>
      <c r="U112" s="171" t="n"/>
      <c r="V112" s="171" t="n"/>
      <c r="W112" s="171" t="n"/>
      <c r="X112" s="171" t="n"/>
      <c r="Y112" s="171" t="n"/>
      <c r="Z112" s="171" t="n"/>
      <c r="AA112" s="171" t="n"/>
      <c r="AB112" s="171" t="n"/>
      <c r="AC112" s="171" t="n"/>
      <c r="AD112" s="171" t="n"/>
      <c r="AE112" s="171" t="n"/>
      <c r="AF112" s="171" t="n"/>
      <c r="AG112" s="171" t="n"/>
      <c r="AH112" s="171" t="n"/>
    </row>
    <row r="113">
      <c r="A113" s="171" t="n"/>
      <c r="B113" s="171" t="n"/>
      <c r="C113" s="171" t="n"/>
      <c r="D113" s="171" t="n"/>
      <c r="E113" s="171" t="n"/>
      <c r="F113" s="171" t="n"/>
      <c r="G113" s="171" t="n"/>
      <c r="H113" s="171" t="n"/>
      <c r="I113" s="171" t="n"/>
      <c r="J113" s="171" t="n"/>
      <c r="K113" s="171" t="n"/>
      <c r="L113" s="171" t="n"/>
      <c r="M113" s="171" t="n"/>
      <c r="N113" s="171" t="n"/>
      <c r="O113" s="171" t="n"/>
      <c r="P113" s="171" t="n"/>
      <c r="Q113" s="171" t="n"/>
      <c r="R113" s="171" t="n"/>
      <c r="S113" s="171" t="n"/>
      <c r="T113" s="171" t="n"/>
      <c r="U113" s="171" t="n"/>
      <c r="V113" s="171" t="n"/>
      <c r="W113" s="171" t="n"/>
      <c r="X113" s="171" t="n"/>
      <c r="Y113" s="171" t="n"/>
      <c r="Z113" s="171" t="n"/>
      <c r="AA113" s="171" t="n"/>
      <c r="AB113" s="171" t="n"/>
      <c r="AC113" s="171" t="n"/>
      <c r="AD113" s="171" t="n"/>
      <c r="AE113" s="171" t="n"/>
      <c r="AF113" s="171" t="n"/>
      <c r="AG113" s="171" t="n"/>
      <c r="AH113" s="171" t="n"/>
    </row>
    <row r="114">
      <c r="A114" s="171" t="n"/>
      <c r="B114" s="171" t="n"/>
      <c r="C114" s="171" t="n"/>
      <c r="D114" s="171" t="n"/>
      <c r="E114" s="171" t="n"/>
      <c r="F114" s="171" t="n"/>
      <c r="G114" s="171" t="n"/>
      <c r="H114" s="171" t="n"/>
      <c r="I114" s="171" t="n"/>
      <c r="J114" s="171" t="n"/>
      <c r="K114" s="171" t="n"/>
      <c r="L114" s="171" t="n"/>
      <c r="M114" s="171" t="n"/>
      <c r="N114" s="171" t="n"/>
      <c r="O114" s="171" t="n"/>
      <c r="P114" s="171" t="n"/>
      <c r="Q114" s="171" t="n"/>
      <c r="R114" s="171" t="n"/>
      <c r="S114" s="171" t="n"/>
      <c r="T114" s="171" t="n"/>
      <c r="U114" s="171" t="n"/>
      <c r="V114" s="171" t="n"/>
      <c r="W114" s="171" t="n"/>
      <c r="X114" s="171" t="n"/>
      <c r="Y114" s="171" t="n"/>
      <c r="Z114" s="171" t="n"/>
      <c r="AA114" s="171" t="n"/>
      <c r="AB114" s="171" t="n"/>
      <c r="AC114" s="171" t="n"/>
      <c r="AD114" s="171" t="n"/>
      <c r="AE114" s="171" t="n"/>
      <c r="AF114" s="171" t="n"/>
      <c r="AG114" s="171" t="n"/>
      <c r="AH114" s="171" t="n"/>
    </row>
    <row r="115">
      <c r="A115" s="171" t="n"/>
      <c r="B115" s="171" t="n"/>
      <c r="C115" s="171" t="n"/>
      <c r="D115" s="171" t="n"/>
      <c r="E115" s="171" t="n"/>
      <c r="F115" s="171" t="n"/>
      <c r="G115" s="171" t="n"/>
      <c r="H115" s="171" t="n"/>
      <c r="I115" s="171" t="n"/>
      <c r="J115" s="171" t="n"/>
      <c r="K115" s="171" t="n"/>
      <c r="L115" s="171" t="n"/>
      <c r="M115" s="171" t="n"/>
      <c r="N115" s="171" t="n"/>
      <c r="O115" s="171" t="n"/>
      <c r="P115" s="171" t="n"/>
      <c r="Q115" s="171" t="n"/>
      <c r="R115" s="171" t="n"/>
      <c r="S115" s="171" t="n"/>
      <c r="T115" s="171" t="n"/>
      <c r="U115" s="171" t="n"/>
      <c r="V115" s="171" t="n"/>
      <c r="W115" s="171" t="n"/>
      <c r="X115" s="171" t="n"/>
      <c r="Y115" s="171" t="n"/>
      <c r="Z115" s="171" t="n"/>
      <c r="AA115" s="171" t="n"/>
      <c r="AB115" s="171" t="n"/>
      <c r="AC115" s="171" t="n"/>
      <c r="AD115" s="171" t="n"/>
      <c r="AE115" s="171" t="n"/>
      <c r="AF115" s="171" t="n"/>
      <c r="AG115" s="171" t="n"/>
      <c r="AH115" s="171" t="n"/>
    </row>
    <row r="116">
      <c r="A116" s="171" t="n"/>
      <c r="B116" s="171" t="n"/>
      <c r="C116" s="171" t="n"/>
      <c r="D116" s="171" t="n"/>
      <c r="E116" s="171" t="n"/>
      <c r="F116" s="171" t="n"/>
      <c r="G116" s="171" t="n"/>
      <c r="H116" s="171" t="n"/>
      <c r="I116" s="171" t="n"/>
      <c r="J116" s="171" t="n"/>
      <c r="K116" s="171" t="n"/>
      <c r="L116" s="171" t="n"/>
      <c r="M116" s="171" t="n"/>
      <c r="N116" s="171" t="n"/>
      <c r="O116" s="171" t="n"/>
      <c r="P116" s="171" t="n"/>
      <c r="Q116" s="171" t="n"/>
      <c r="R116" s="171" t="n"/>
      <c r="S116" s="171" t="n"/>
      <c r="T116" s="171" t="n"/>
      <c r="U116" s="171" t="n"/>
      <c r="V116" s="171" t="n"/>
      <c r="W116" s="171" t="n"/>
      <c r="X116" s="171" t="n"/>
      <c r="Y116" s="171" t="n"/>
      <c r="Z116" s="171" t="n"/>
      <c r="AA116" s="171" t="n"/>
      <c r="AB116" s="171" t="n"/>
      <c r="AC116" s="171" t="n"/>
      <c r="AD116" s="171" t="n"/>
      <c r="AE116" s="171" t="n"/>
      <c r="AF116" s="171" t="n"/>
      <c r="AG116" s="171" t="n"/>
      <c r="AH116" s="171" t="n"/>
    </row>
    <row r="117">
      <c r="A117" s="171" t="n"/>
      <c r="B117" s="171" t="n"/>
      <c r="C117" s="171" t="n"/>
      <c r="D117" s="171" t="n"/>
      <c r="E117" s="171" t="n"/>
      <c r="F117" s="171" t="n"/>
      <c r="G117" s="171" t="n"/>
      <c r="H117" s="171" t="n"/>
      <c r="I117" s="171" t="n"/>
      <c r="J117" s="171" t="n"/>
      <c r="K117" s="171" t="n"/>
      <c r="L117" s="171" t="n"/>
      <c r="M117" s="171" t="n"/>
      <c r="N117" s="171" t="n"/>
      <c r="O117" s="171" t="n"/>
      <c r="P117" s="171" t="n"/>
      <c r="Q117" s="171" t="n"/>
      <c r="R117" s="171" t="n"/>
      <c r="S117" s="171" t="n"/>
      <c r="T117" s="171" t="n"/>
      <c r="U117" s="171" t="n"/>
      <c r="V117" s="171" t="n"/>
      <c r="W117" s="171" t="n"/>
      <c r="X117" s="171" t="n"/>
      <c r="Y117" s="171" t="n"/>
      <c r="Z117" s="171" t="n"/>
      <c r="AA117" s="171" t="n"/>
      <c r="AB117" s="171" t="n"/>
      <c r="AC117" s="171" t="n"/>
      <c r="AD117" s="171" t="n"/>
      <c r="AE117" s="171" t="n"/>
      <c r="AF117" s="171" t="n"/>
      <c r="AG117" s="171" t="n"/>
      <c r="AH117" s="171" t="n"/>
    </row>
    <row r="118">
      <c r="A118" s="171" t="n"/>
      <c r="B118" s="171" t="n"/>
      <c r="C118" s="171" t="n"/>
      <c r="D118" s="171" t="n"/>
      <c r="E118" s="171" t="n"/>
      <c r="F118" s="171" t="n"/>
      <c r="G118" s="171" t="n"/>
      <c r="H118" s="171" t="n"/>
      <c r="I118" s="171" t="n"/>
      <c r="J118" s="171" t="n"/>
      <c r="K118" s="171" t="n"/>
      <c r="L118" s="171" t="n"/>
      <c r="M118" s="171" t="n"/>
      <c r="N118" s="171" t="n"/>
      <c r="O118" s="171" t="n"/>
      <c r="P118" s="171" t="n"/>
      <c r="Q118" s="171" t="n"/>
      <c r="R118" s="171" t="n"/>
      <c r="S118" s="171" t="n"/>
      <c r="T118" s="171" t="n"/>
      <c r="U118" s="171" t="n"/>
      <c r="V118" s="171" t="n"/>
      <c r="W118" s="171" t="n"/>
      <c r="X118" s="171" t="n"/>
      <c r="Y118" s="171" t="n"/>
      <c r="Z118" s="171" t="n"/>
      <c r="AA118" s="171" t="n"/>
      <c r="AB118" s="171" t="n"/>
      <c r="AC118" s="171" t="n"/>
      <c r="AD118" s="171" t="n"/>
      <c r="AE118" s="171" t="n"/>
      <c r="AF118" s="171" t="n"/>
      <c r="AG118" s="171" t="n"/>
      <c r="AH118" s="171" t="n"/>
    </row>
    <row r="119">
      <c r="A119" s="171" t="n"/>
      <c r="B119" s="171" t="n"/>
      <c r="C119" s="171" t="n"/>
      <c r="D119" s="171" t="n"/>
      <c r="E119" s="171" t="n"/>
      <c r="F119" s="171" t="n"/>
      <c r="G119" s="171" t="n"/>
      <c r="H119" s="171" t="n"/>
      <c r="I119" s="171" t="n"/>
      <c r="J119" s="171" t="n"/>
      <c r="K119" s="171" t="n"/>
      <c r="L119" s="171" t="n"/>
      <c r="M119" s="171" t="n"/>
      <c r="N119" s="171" t="n"/>
      <c r="O119" s="171" t="n"/>
      <c r="P119" s="171" t="n"/>
      <c r="Q119" s="171" t="n"/>
      <c r="R119" s="171" t="n"/>
      <c r="S119" s="171" t="n"/>
      <c r="T119" s="171" t="n"/>
      <c r="U119" s="171" t="n"/>
      <c r="V119" s="171" t="n"/>
      <c r="W119" s="171" t="n"/>
      <c r="X119" s="171" t="n"/>
      <c r="Y119" s="171" t="n"/>
      <c r="Z119" s="171" t="n"/>
      <c r="AA119" s="171" t="n"/>
      <c r="AB119" s="171" t="n"/>
      <c r="AC119" s="171" t="n"/>
      <c r="AD119" s="171" t="n"/>
      <c r="AE119" s="171" t="n"/>
      <c r="AF119" s="171" t="n"/>
      <c r="AG119" s="171" t="n"/>
      <c r="AH119" s="171" t="n"/>
    </row>
    <row r="120">
      <c r="A120" s="171" t="n"/>
      <c r="B120" s="171" t="n"/>
      <c r="C120" s="171" t="n"/>
      <c r="D120" s="171" t="n"/>
      <c r="E120" s="171" t="n"/>
      <c r="F120" s="171" t="n"/>
      <c r="G120" s="171" t="n"/>
      <c r="H120" s="171" t="n"/>
      <c r="I120" s="171" t="n"/>
      <c r="J120" s="171" t="n"/>
      <c r="K120" s="171" t="n"/>
      <c r="L120" s="171" t="n"/>
      <c r="M120" s="171" t="n"/>
      <c r="N120" s="171" t="n"/>
      <c r="O120" s="171" t="n"/>
      <c r="P120" s="171" t="n"/>
      <c r="Q120" s="171" t="n"/>
      <c r="R120" s="171" t="n"/>
      <c r="S120" s="171" t="n"/>
      <c r="T120" s="171" t="n"/>
      <c r="U120" s="171" t="n"/>
      <c r="V120" s="171" t="n"/>
      <c r="W120" s="171" t="n"/>
      <c r="X120" s="171" t="n"/>
      <c r="Y120" s="171" t="n"/>
      <c r="Z120" s="171" t="n"/>
      <c r="AA120" s="171" t="n"/>
      <c r="AB120" s="171" t="n"/>
      <c r="AC120" s="171" t="n"/>
      <c r="AD120" s="171" t="n"/>
      <c r="AE120" s="171" t="n"/>
      <c r="AF120" s="171" t="n"/>
      <c r="AG120" s="171" t="n"/>
      <c r="AH120" s="171" t="n"/>
    </row>
    <row r="121">
      <c r="A121" s="171" t="n"/>
      <c r="B121" s="171" t="n"/>
      <c r="C121" s="171" t="n"/>
      <c r="D121" s="171" t="n"/>
      <c r="E121" s="171" t="n"/>
      <c r="F121" s="171" t="n"/>
      <c r="G121" s="171" t="n"/>
      <c r="H121" s="171" t="n"/>
      <c r="I121" s="171" t="n"/>
      <c r="J121" s="171" t="n"/>
      <c r="K121" s="171" t="n"/>
      <c r="L121" s="171" t="n"/>
      <c r="M121" s="171" t="n"/>
      <c r="N121" s="171" t="n"/>
      <c r="O121" s="171" t="n"/>
      <c r="P121" s="171" t="n"/>
      <c r="Q121" s="171" t="n"/>
      <c r="R121" s="171" t="n"/>
      <c r="S121" s="171" t="n"/>
      <c r="T121" s="171" t="n"/>
      <c r="U121" s="171" t="n"/>
      <c r="V121" s="171" t="n"/>
      <c r="W121" s="171" t="n"/>
      <c r="X121" s="171" t="n"/>
      <c r="Y121" s="171" t="n"/>
      <c r="Z121" s="171" t="n"/>
      <c r="AA121" s="171" t="n"/>
      <c r="AB121" s="171" t="n"/>
      <c r="AC121" s="171" t="n"/>
      <c r="AD121" s="171" t="n"/>
      <c r="AE121" s="171" t="n"/>
      <c r="AF121" s="171" t="n"/>
      <c r="AG121" s="171" t="n"/>
      <c r="AH121" s="171" t="n"/>
    </row>
    <row r="122">
      <c r="A122" s="171" t="n"/>
      <c r="B122" s="171" t="n"/>
      <c r="C122" s="171" t="n"/>
      <c r="D122" s="171" t="n"/>
      <c r="E122" s="171" t="n"/>
      <c r="F122" s="171" t="n"/>
      <c r="G122" s="171" t="n"/>
      <c r="H122" s="171" t="n"/>
      <c r="I122" s="171" t="n"/>
      <c r="J122" s="171" t="n"/>
      <c r="K122" s="171" t="n"/>
      <c r="L122" s="171" t="n"/>
      <c r="M122" s="171" t="n"/>
      <c r="N122" s="171" t="n"/>
      <c r="O122" s="171" t="n"/>
      <c r="P122" s="171" t="n"/>
      <c r="Q122" s="171" t="n"/>
      <c r="R122" s="171" t="n"/>
      <c r="S122" s="171" t="n"/>
      <c r="T122" s="171" t="n"/>
      <c r="U122" s="171" t="n"/>
      <c r="V122" s="171" t="n"/>
      <c r="W122" s="171" t="n"/>
      <c r="X122" s="171" t="n"/>
      <c r="Y122" s="171" t="n"/>
      <c r="Z122" s="171" t="n"/>
      <c r="AA122" s="171" t="n"/>
      <c r="AB122" s="171" t="n"/>
      <c r="AC122" s="171" t="n"/>
      <c r="AD122" s="171" t="n"/>
      <c r="AE122" s="171" t="n"/>
      <c r="AF122" s="171" t="n"/>
      <c r="AG122" s="171" t="n"/>
      <c r="AH122" s="171" t="n"/>
    </row>
    <row r="123">
      <c r="A123" s="171" t="n"/>
      <c r="B123" s="171" t="n"/>
      <c r="C123" s="171" t="n"/>
      <c r="D123" s="171" t="n"/>
      <c r="E123" s="171" t="n"/>
      <c r="F123" s="171" t="n"/>
      <c r="G123" s="171" t="n"/>
      <c r="H123" s="171" t="n"/>
      <c r="I123" s="171" t="n"/>
      <c r="J123" s="171" t="n"/>
      <c r="K123" s="171" t="n"/>
      <c r="L123" s="171" t="n"/>
      <c r="M123" s="171" t="n"/>
      <c r="N123" s="171" t="n"/>
      <c r="O123" s="171" t="n"/>
      <c r="P123" s="171" t="n"/>
      <c r="Q123" s="171" t="n"/>
      <c r="R123" s="171" t="n"/>
      <c r="S123" s="171" t="n"/>
      <c r="T123" s="171" t="n"/>
      <c r="U123" s="171" t="n"/>
      <c r="V123" s="171" t="n"/>
      <c r="W123" s="171" t="n"/>
      <c r="X123" s="171" t="n"/>
      <c r="Y123" s="171" t="n"/>
      <c r="Z123" s="171" t="n"/>
      <c r="AA123" s="171" t="n"/>
      <c r="AB123" s="171" t="n"/>
      <c r="AC123" s="171" t="n"/>
      <c r="AD123" s="171" t="n"/>
      <c r="AE123" s="171" t="n"/>
      <c r="AF123" s="171" t="n"/>
      <c r="AG123" s="171" t="n"/>
      <c r="AH123" s="171" t="n"/>
    </row>
    <row r="124">
      <c r="A124" s="171" t="n"/>
      <c r="B124" s="171" t="n"/>
      <c r="C124" s="171" t="n"/>
      <c r="D124" s="171" t="n"/>
      <c r="E124" s="171" t="n"/>
      <c r="F124" s="171" t="n"/>
      <c r="G124" s="171" t="n"/>
      <c r="H124" s="171" t="n"/>
      <c r="I124" s="171" t="n"/>
      <c r="J124" s="171" t="n"/>
      <c r="K124" s="171" t="n"/>
      <c r="L124" s="171" t="n"/>
      <c r="M124" s="171" t="n"/>
      <c r="N124" s="171" t="n"/>
      <c r="O124" s="171" t="n"/>
      <c r="P124" s="171" t="n"/>
      <c r="Q124" s="171" t="n"/>
      <c r="R124" s="171" t="n"/>
      <c r="S124" s="171" t="n"/>
      <c r="T124" s="171" t="n"/>
      <c r="U124" s="171" t="n"/>
      <c r="V124" s="171" t="n"/>
      <c r="W124" s="171" t="n"/>
      <c r="X124" s="171" t="n"/>
      <c r="Y124" s="171" t="n"/>
      <c r="Z124" s="171" t="n"/>
      <c r="AA124" s="171" t="n"/>
      <c r="AB124" s="171" t="n"/>
      <c r="AC124" s="171" t="n"/>
      <c r="AD124" s="171" t="n"/>
      <c r="AE124" s="171" t="n"/>
      <c r="AF124" s="171" t="n"/>
      <c r="AG124" s="171" t="n"/>
      <c r="AH124" s="171" t="n"/>
    </row>
    <row r="125">
      <c r="A125" s="171" t="n"/>
      <c r="B125" s="171" t="n"/>
      <c r="C125" s="171" t="n"/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171" t="n"/>
      <c r="N125" s="171" t="n"/>
      <c r="O125" s="171" t="n"/>
      <c r="P125" s="171" t="n"/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171" t="n"/>
      <c r="AA125" s="171" t="n"/>
      <c r="AB125" s="171" t="n"/>
      <c r="AC125" s="171" t="n"/>
      <c r="AD125" s="171" t="n"/>
      <c r="AE125" s="171" t="n"/>
      <c r="AF125" s="171" t="n"/>
      <c r="AG125" s="171" t="n"/>
      <c r="AH125" s="171" t="n"/>
    </row>
    <row r="126">
      <c r="A126" s="171" t="n"/>
      <c r="B126" s="171" t="n"/>
      <c r="C126" s="171" t="n"/>
      <c r="D126" s="171" t="n"/>
      <c r="E126" s="171" t="n"/>
      <c r="F126" s="171" t="n"/>
      <c r="G126" s="171" t="n"/>
      <c r="H126" s="171" t="n"/>
      <c r="I126" s="171" t="n"/>
      <c r="J126" s="171" t="n"/>
      <c r="K126" s="171" t="n"/>
      <c r="L126" s="171" t="n"/>
      <c r="M126" s="171" t="n"/>
      <c r="N126" s="171" t="n"/>
      <c r="O126" s="171" t="n"/>
      <c r="P126" s="171" t="n"/>
      <c r="Q126" s="171" t="n"/>
      <c r="R126" s="171" t="n"/>
      <c r="S126" s="171" t="n"/>
      <c r="T126" s="171" t="n"/>
      <c r="U126" s="171" t="n"/>
      <c r="V126" s="171" t="n"/>
      <c r="W126" s="171" t="n"/>
      <c r="X126" s="171" t="n"/>
      <c r="Y126" s="171" t="n"/>
      <c r="Z126" s="171" t="n"/>
      <c r="AA126" s="171" t="n"/>
      <c r="AB126" s="171" t="n"/>
      <c r="AC126" s="171" t="n"/>
      <c r="AD126" s="171" t="n"/>
      <c r="AE126" s="171" t="n"/>
      <c r="AF126" s="171" t="n"/>
      <c r="AG126" s="171" t="n"/>
      <c r="AH126" s="171" t="n"/>
    </row>
    <row r="127">
      <c r="A127" s="171" t="n"/>
      <c r="B127" s="171" t="n"/>
      <c r="C127" s="171" t="n"/>
      <c r="D127" s="171" t="n"/>
      <c r="E127" s="171" t="n"/>
      <c r="F127" s="171" t="n"/>
      <c r="G127" s="171" t="n"/>
      <c r="H127" s="171" t="n"/>
      <c r="I127" s="171" t="n"/>
      <c r="J127" s="171" t="n"/>
      <c r="K127" s="171" t="n"/>
      <c r="L127" s="171" t="n"/>
      <c r="M127" s="171" t="n"/>
      <c r="N127" s="171" t="n"/>
      <c r="O127" s="171" t="n"/>
      <c r="P127" s="171" t="n"/>
      <c r="Q127" s="171" t="n"/>
      <c r="R127" s="171" t="n"/>
      <c r="S127" s="171" t="n"/>
      <c r="T127" s="171" t="n"/>
      <c r="U127" s="171" t="n"/>
      <c r="V127" s="171" t="n"/>
      <c r="W127" s="171" t="n"/>
      <c r="X127" s="171" t="n"/>
      <c r="Y127" s="171" t="n"/>
      <c r="Z127" s="171" t="n"/>
      <c r="AA127" s="171" t="n"/>
      <c r="AB127" s="171" t="n"/>
      <c r="AC127" s="171" t="n"/>
      <c r="AD127" s="171" t="n"/>
      <c r="AE127" s="171" t="n"/>
      <c r="AF127" s="171" t="n"/>
      <c r="AG127" s="171" t="n"/>
      <c r="AH127" s="171" t="n"/>
    </row>
    <row r="128">
      <c r="A128" s="171" t="n"/>
      <c r="B128" s="171" t="n"/>
      <c r="C128" s="171" t="n"/>
      <c r="D128" s="171" t="n"/>
      <c r="E128" s="171" t="n"/>
      <c r="F128" s="171" t="n"/>
      <c r="G128" s="171" t="n"/>
      <c r="H128" s="171" t="n"/>
      <c r="I128" s="171" t="n"/>
      <c r="J128" s="171" t="n"/>
      <c r="K128" s="171" t="n"/>
      <c r="L128" s="171" t="n"/>
      <c r="M128" s="171" t="n"/>
      <c r="N128" s="171" t="n"/>
      <c r="O128" s="171" t="n"/>
      <c r="P128" s="171" t="n"/>
      <c r="Q128" s="171" t="n"/>
      <c r="R128" s="171" t="n"/>
      <c r="S128" s="171" t="n"/>
      <c r="T128" s="171" t="n"/>
      <c r="U128" s="171" t="n"/>
      <c r="V128" s="171" t="n"/>
      <c r="W128" s="171" t="n"/>
      <c r="X128" s="171" t="n"/>
      <c r="Y128" s="171" t="n"/>
      <c r="Z128" s="171" t="n"/>
      <c r="AA128" s="171" t="n"/>
      <c r="AB128" s="171" t="n"/>
      <c r="AC128" s="171" t="n"/>
      <c r="AD128" s="171" t="n"/>
      <c r="AE128" s="171" t="n"/>
      <c r="AF128" s="171" t="n"/>
      <c r="AG128" s="171" t="n"/>
      <c r="AH128" s="171" t="n"/>
    </row>
    <row r="129">
      <c r="A129" s="171" t="n"/>
      <c r="B129" s="171" t="n"/>
      <c r="C129" s="171" t="n"/>
      <c r="D129" s="171" t="n"/>
      <c r="E129" s="171" t="n"/>
      <c r="F129" s="171" t="n"/>
      <c r="G129" s="171" t="n"/>
      <c r="H129" s="171" t="n"/>
      <c r="I129" s="171" t="n"/>
      <c r="J129" s="171" t="n"/>
      <c r="K129" s="171" t="n"/>
      <c r="L129" s="171" t="n"/>
      <c r="M129" s="171" t="n"/>
      <c r="N129" s="171" t="n"/>
      <c r="O129" s="171" t="n"/>
      <c r="P129" s="171" t="n"/>
      <c r="Q129" s="171" t="n"/>
      <c r="R129" s="171" t="n"/>
      <c r="S129" s="171" t="n"/>
      <c r="T129" s="171" t="n"/>
      <c r="U129" s="171" t="n"/>
      <c r="V129" s="171" t="n"/>
      <c r="W129" s="171" t="n"/>
      <c r="X129" s="171" t="n"/>
      <c r="Y129" s="171" t="n"/>
      <c r="Z129" s="171" t="n"/>
      <c r="AA129" s="171" t="n"/>
      <c r="AB129" s="171" t="n"/>
      <c r="AC129" s="171" t="n"/>
      <c r="AD129" s="171" t="n"/>
      <c r="AE129" s="171" t="n"/>
      <c r="AF129" s="171" t="n"/>
      <c r="AG129" s="171" t="n"/>
      <c r="AH129" s="171" t="n"/>
    </row>
    <row r="130">
      <c r="A130" s="171" t="n"/>
      <c r="B130" s="171" t="n"/>
      <c r="C130" s="171" t="n"/>
      <c r="D130" s="171" t="n"/>
      <c r="E130" s="171" t="n"/>
      <c r="F130" s="171" t="n"/>
      <c r="G130" s="171" t="n"/>
      <c r="H130" s="171" t="n"/>
      <c r="I130" s="171" t="n"/>
      <c r="J130" s="171" t="n"/>
      <c r="K130" s="171" t="n"/>
      <c r="L130" s="171" t="n"/>
      <c r="M130" s="171" t="n"/>
      <c r="N130" s="171" t="n"/>
      <c r="O130" s="171" t="n"/>
      <c r="P130" s="171" t="n"/>
      <c r="Q130" s="171" t="n"/>
      <c r="R130" s="171" t="n"/>
      <c r="S130" s="171" t="n"/>
      <c r="T130" s="171" t="n"/>
      <c r="U130" s="171" t="n"/>
      <c r="V130" s="171" t="n"/>
      <c r="W130" s="171" t="n"/>
      <c r="X130" s="171" t="n"/>
      <c r="Y130" s="171" t="n"/>
      <c r="Z130" s="171" t="n"/>
      <c r="AA130" s="171" t="n"/>
      <c r="AB130" s="171" t="n"/>
      <c r="AC130" s="171" t="n"/>
      <c r="AD130" s="171" t="n"/>
      <c r="AE130" s="171" t="n"/>
      <c r="AF130" s="171" t="n"/>
      <c r="AG130" s="171" t="n"/>
      <c r="AH130" s="171" t="n"/>
    </row>
    <row r="131">
      <c r="A131" s="171" t="n"/>
      <c r="B131" s="171" t="n"/>
      <c r="C131" s="171" t="n"/>
      <c r="D131" s="171" t="n"/>
      <c r="E131" s="171" t="n"/>
      <c r="F131" s="171" t="n"/>
      <c r="G131" s="171" t="n"/>
      <c r="H131" s="171" t="n"/>
      <c r="I131" s="171" t="n"/>
      <c r="J131" s="171" t="n"/>
      <c r="K131" s="171" t="n"/>
      <c r="L131" s="171" t="n"/>
      <c r="M131" s="171" t="n"/>
      <c r="N131" s="171" t="n"/>
      <c r="O131" s="171" t="n"/>
      <c r="P131" s="171" t="n"/>
      <c r="Q131" s="171" t="n"/>
      <c r="R131" s="171" t="n"/>
      <c r="S131" s="171" t="n"/>
      <c r="T131" s="171" t="n"/>
      <c r="U131" s="171" t="n"/>
      <c r="V131" s="171" t="n"/>
      <c r="W131" s="171" t="n"/>
      <c r="X131" s="171" t="n"/>
      <c r="Y131" s="171" t="n"/>
      <c r="Z131" s="171" t="n"/>
      <c r="AA131" s="171" t="n"/>
      <c r="AB131" s="171" t="n"/>
      <c r="AC131" s="171" t="n"/>
      <c r="AD131" s="171" t="n"/>
      <c r="AE131" s="171" t="n"/>
      <c r="AF131" s="171" t="n"/>
      <c r="AG131" s="171" t="n"/>
      <c r="AH131" s="171" t="n"/>
    </row>
    <row r="132">
      <c r="A132" s="171" t="n"/>
      <c r="B132" s="171" t="n"/>
      <c r="C132" s="171" t="n"/>
      <c r="D132" s="171" t="n"/>
      <c r="E132" s="171" t="n"/>
      <c r="F132" s="171" t="n"/>
      <c r="G132" s="171" t="n"/>
      <c r="H132" s="171" t="n"/>
      <c r="I132" s="171" t="n"/>
      <c r="J132" s="171" t="n"/>
      <c r="K132" s="171" t="n"/>
      <c r="L132" s="171" t="n"/>
      <c r="M132" s="171" t="n"/>
      <c r="N132" s="171" t="n"/>
      <c r="O132" s="171" t="n"/>
      <c r="P132" s="171" t="n"/>
      <c r="Q132" s="171" t="n"/>
      <c r="R132" s="171" t="n"/>
      <c r="S132" s="171" t="n"/>
      <c r="T132" s="171" t="n"/>
      <c r="U132" s="171" t="n"/>
      <c r="V132" s="171" t="n"/>
      <c r="W132" s="171" t="n"/>
      <c r="X132" s="171" t="n"/>
      <c r="Y132" s="171" t="n"/>
      <c r="Z132" s="171" t="n"/>
      <c r="AA132" s="171" t="n"/>
      <c r="AB132" s="171" t="n"/>
      <c r="AC132" s="171" t="n"/>
      <c r="AD132" s="171" t="n"/>
      <c r="AE132" s="171" t="n"/>
      <c r="AF132" s="171" t="n"/>
      <c r="AG132" s="171" t="n"/>
      <c r="AH132" s="171" t="n"/>
    </row>
    <row r="133">
      <c r="A133" s="171" t="n"/>
      <c r="B133" s="171" t="n"/>
      <c r="C133" s="171" t="n"/>
      <c r="D133" s="171" t="n"/>
      <c r="E133" s="171" t="n"/>
      <c r="F133" s="171" t="n"/>
      <c r="G133" s="171" t="n"/>
      <c r="H133" s="171" t="n"/>
      <c r="I133" s="171" t="n"/>
      <c r="J133" s="171" t="n"/>
      <c r="K133" s="171" t="n"/>
      <c r="L133" s="171" t="n"/>
      <c r="M133" s="171" t="n"/>
      <c r="N133" s="171" t="n"/>
      <c r="O133" s="171" t="n"/>
      <c r="P133" s="171" t="n"/>
      <c r="Q133" s="171" t="n"/>
      <c r="R133" s="171" t="n"/>
      <c r="S133" s="171" t="n"/>
      <c r="T133" s="171" t="n"/>
      <c r="U133" s="171" t="n"/>
      <c r="V133" s="171" t="n"/>
      <c r="W133" s="171" t="n"/>
      <c r="X133" s="171" t="n"/>
      <c r="Y133" s="171" t="n"/>
      <c r="Z133" s="171" t="n"/>
      <c r="AA133" s="171" t="n"/>
      <c r="AB133" s="171" t="n"/>
      <c r="AC133" s="171" t="n"/>
      <c r="AD133" s="171" t="n"/>
      <c r="AE133" s="171" t="n"/>
      <c r="AF133" s="171" t="n"/>
      <c r="AG133" s="171" t="n"/>
      <c r="AH133" s="171" t="n"/>
    </row>
    <row r="134">
      <c r="A134" s="171" t="n"/>
      <c r="B134" s="171" t="n"/>
      <c r="C134" s="171" t="n"/>
      <c r="D134" s="171" t="n"/>
      <c r="E134" s="171" t="n"/>
      <c r="F134" s="171" t="n"/>
      <c r="G134" s="171" t="n"/>
      <c r="H134" s="171" t="n"/>
      <c r="I134" s="171" t="n"/>
      <c r="J134" s="171" t="n"/>
      <c r="K134" s="171" t="n"/>
      <c r="L134" s="171" t="n"/>
      <c r="M134" s="171" t="n"/>
      <c r="N134" s="171" t="n"/>
      <c r="O134" s="171" t="n"/>
      <c r="P134" s="171" t="n"/>
      <c r="Q134" s="171" t="n"/>
      <c r="R134" s="171" t="n"/>
      <c r="S134" s="171" t="n"/>
      <c r="T134" s="171" t="n"/>
      <c r="U134" s="171" t="n"/>
      <c r="V134" s="171" t="n"/>
      <c r="W134" s="171" t="n"/>
      <c r="X134" s="171" t="n"/>
      <c r="Y134" s="171" t="n"/>
      <c r="Z134" s="171" t="n"/>
      <c r="AA134" s="171" t="n"/>
      <c r="AB134" s="171" t="n"/>
      <c r="AC134" s="171" t="n"/>
      <c r="AD134" s="171" t="n"/>
      <c r="AE134" s="171" t="n"/>
      <c r="AF134" s="171" t="n"/>
      <c r="AG134" s="171" t="n"/>
      <c r="AH134" s="171" t="n"/>
    </row>
    <row r="135">
      <c r="A135" s="171" t="n"/>
      <c r="B135" s="171" t="n"/>
      <c r="C135" s="171" t="n"/>
      <c r="D135" s="171" t="n"/>
      <c r="E135" s="171" t="n"/>
      <c r="F135" s="171" t="n"/>
      <c r="G135" s="171" t="n"/>
      <c r="H135" s="171" t="n"/>
      <c r="I135" s="171" t="n"/>
      <c r="J135" s="171" t="n"/>
      <c r="K135" s="171" t="n"/>
      <c r="L135" s="171" t="n"/>
      <c r="M135" s="171" t="n"/>
      <c r="N135" s="171" t="n"/>
      <c r="O135" s="171" t="n"/>
      <c r="P135" s="171" t="n"/>
      <c r="Q135" s="171" t="n"/>
      <c r="R135" s="171" t="n"/>
      <c r="S135" s="171" t="n"/>
      <c r="T135" s="171" t="n"/>
      <c r="U135" s="171" t="n"/>
      <c r="V135" s="171" t="n"/>
      <c r="W135" s="171" t="n"/>
      <c r="X135" s="171" t="n"/>
      <c r="Y135" s="171" t="n"/>
      <c r="Z135" s="171" t="n"/>
      <c r="AA135" s="171" t="n"/>
      <c r="AB135" s="171" t="n"/>
      <c r="AC135" s="171" t="n"/>
      <c r="AD135" s="171" t="n"/>
      <c r="AE135" s="171" t="n"/>
      <c r="AF135" s="171" t="n"/>
      <c r="AG135" s="171" t="n"/>
      <c r="AH135" s="171" t="n"/>
    </row>
    <row r="136">
      <c r="A136" s="171" t="n"/>
      <c r="B136" s="171" t="n"/>
      <c r="C136" s="171" t="n"/>
      <c r="D136" s="171" t="n"/>
      <c r="E136" s="171" t="n"/>
      <c r="F136" s="171" t="n"/>
      <c r="G136" s="171" t="n"/>
      <c r="H136" s="171" t="n"/>
      <c r="I136" s="171" t="n"/>
      <c r="J136" s="171" t="n"/>
      <c r="K136" s="171" t="n"/>
      <c r="L136" s="171" t="n"/>
      <c r="M136" s="171" t="n"/>
      <c r="N136" s="171" t="n"/>
      <c r="O136" s="171" t="n"/>
      <c r="P136" s="171" t="n"/>
      <c r="Q136" s="171" t="n"/>
      <c r="R136" s="171" t="n"/>
      <c r="S136" s="171" t="n"/>
      <c r="T136" s="171" t="n"/>
      <c r="U136" s="171" t="n"/>
      <c r="V136" s="171" t="n"/>
      <c r="W136" s="171" t="n"/>
      <c r="X136" s="171" t="n"/>
      <c r="Y136" s="171" t="n"/>
      <c r="Z136" s="171" t="n"/>
      <c r="AA136" s="171" t="n"/>
      <c r="AB136" s="171" t="n"/>
      <c r="AC136" s="171" t="n"/>
      <c r="AD136" s="171" t="n"/>
      <c r="AE136" s="171" t="n"/>
      <c r="AF136" s="171" t="n"/>
      <c r="AG136" s="171" t="n"/>
      <c r="AH136" s="171" t="n"/>
    </row>
    <row r="137">
      <c r="A137" s="171" t="n"/>
      <c r="B137" s="171" t="n"/>
      <c r="C137" s="171" t="n"/>
      <c r="D137" s="171" t="n"/>
      <c r="E137" s="171" t="n"/>
      <c r="F137" s="171" t="n"/>
      <c r="G137" s="171" t="n"/>
      <c r="H137" s="171" t="n"/>
      <c r="I137" s="171" t="n"/>
      <c r="J137" s="171" t="n"/>
      <c r="K137" s="171" t="n"/>
      <c r="L137" s="171" t="n"/>
      <c r="M137" s="171" t="n"/>
      <c r="N137" s="171" t="n"/>
      <c r="O137" s="171" t="n"/>
      <c r="P137" s="171" t="n"/>
      <c r="Q137" s="171" t="n"/>
      <c r="R137" s="171" t="n"/>
      <c r="S137" s="171" t="n"/>
      <c r="T137" s="171" t="n"/>
      <c r="U137" s="171" t="n"/>
      <c r="V137" s="171" t="n"/>
      <c r="W137" s="171" t="n"/>
      <c r="X137" s="171" t="n"/>
      <c r="Y137" s="171" t="n"/>
      <c r="Z137" s="171" t="n"/>
      <c r="AA137" s="171" t="n"/>
      <c r="AB137" s="171" t="n"/>
      <c r="AC137" s="171" t="n"/>
      <c r="AD137" s="171" t="n"/>
      <c r="AE137" s="171" t="n"/>
      <c r="AF137" s="171" t="n"/>
      <c r="AG137" s="171" t="n"/>
      <c r="AH137" s="171" t="n"/>
    </row>
    <row r="138">
      <c r="A138" s="171" t="n"/>
      <c r="B138" s="171" t="n"/>
      <c r="C138" s="171" t="n"/>
      <c r="D138" s="171" t="n"/>
      <c r="E138" s="171" t="n"/>
      <c r="F138" s="171" t="n"/>
      <c r="G138" s="171" t="n"/>
      <c r="H138" s="171" t="n"/>
      <c r="I138" s="171" t="n"/>
      <c r="J138" s="171" t="n"/>
      <c r="K138" s="171" t="n"/>
      <c r="L138" s="171" t="n"/>
      <c r="M138" s="171" t="n"/>
      <c r="N138" s="171" t="n"/>
      <c r="O138" s="171" t="n"/>
      <c r="P138" s="171" t="n"/>
      <c r="Q138" s="171" t="n"/>
      <c r="R138" s="171" t="n"/>
      <c r="S138" s="171" t="n"/>
      <c r="T138" s="171" t="n"/>
      <c r="U138" s="171" t="n"/>
      <c r="V138" s="171" t="n"/>
      <c r="W138" s="171" t="n"/>
      <c r="X138" s="171" t="n"/>
      <c r="Y138" s="171" t="n"/>
      <c r="Z138" s="171" t="n"/>
      <c r="AA138" s="171" t="n"/>
      <c r="AB138" s="171" t="n"/>
      <c r="AC138" s="171" t="n"/>
      <c r="AD138" s="171" t="n"/>
      <c r="AE138" s="171" t="n"/>
      <c r="AF138" s="171" t="n"/>
      <c r="AG138" s="171" t="n"/>
      <c r="AH138" s="171" t="n"/>
    </row>
    <row r="139">
      <c r="A139" s="171" t="n"/>
      <c r="B139" s="171" t="n"/>
      <c r="C139" s="171" t="n"/>
      <c r="D139" s="171" t="n"/>
      <c r="E139" s="171" t="n"/>
      <c r="F139" s="171" t="n"/>
      <c r="G139" s="171" t="n"/>
      <c r="H139" s="171" t="n"/>
      <c r="I139" s="171" t="n"/>
      <c r="J139" s="171" t="n"/>
      <c r="K139" s="171" t="n"/>
      <c r="L139" s="171" t="n"/>
      <c r="M139" s="171" t="n"/>
      <c r="N139" s="171" t="n"/>
      <c r="O139" s="171" t="n"/>
      <c r="P139" s="171" t="n"/>
      <c r="Q139" s="171" t="n"/>
      <c r="R139" s="171" t="n"/>
      <c r="S139" s="171" t="n"/>
      <c r="T139" s="171" t="n"/>
      <c r="U139" s="171" t="n"/>
      <c r="V139" s="171" t="n"/>
      <c r="W139" s="171" t="n"/>
      <c r="X139" s="171" t="n"/>
      <c r="Y139" s="171" t="n"/>
      <c r="Z139" s="171" t="n"/>
      <c r="AA139" s="171" t="n"/>
      <c r="AB139" s="171" t="n"/>
      <c r="AC139" s="171" t="n"/>
      <c r="AD139" s="171" t="n"/>
      <c r="AE139" s="171" t="n"/>
      <c r="AF139" s="171" t="n"/>
      <c r="AG139" s="171" t="n"/>
      <c r="AH139" s="171" t="n"/>
    </row>
    <row r="140">
      <c r="A140" s="171" t="n"/>
      <c r="B140" s="171" t="n"/>
      <c r="C140" s="171" t="n"/>
      <c r="D140" s="171" t="n"/>
      <c r="E140" s="171" t="n"/>
      <c r="F140" s="171" t="n"/>
      <c r="G140" s="171" t="n"/>
      <c r="H140" s="171" t="n"/>
      <c r="I140" s="171" t="n"/>
      <c r="J140" s="171" t="n"/>
      <c r="K140" s="171" t="n"/>
      <c r="L140" s="171" t="n"/>
      <c r="M140" s="171" t="n"/>
      <c r="N140" s="171" t="n"/>
      <c r="O140" s="171" t="n"/>
      <c r="P140" s="171" t="n"/>
      <c r="Q140" s="171" t="n"/>
      <c r="R140" s="171" t="n"/>
      <c r="S140" s="171" t="n"/>
      <c r="T140" s="171" t="n"/>
      <c r="U140" s="171" t="n"/>
      <c r="V140" s="171" t="n"/>
      <c r="W140" s="171" t="n"/>
      <c r="X140" s="171" t="n"/>
      <c r="Y140" s="171" t="n"/>
      <c r="Z140" s="171" t="n"/>
      <c r="AA140" s="171" t="n"/>
      <c r="AB140" s="171" t="n"/>
      <c r="AC140" s="171" t="n"/>
      <c r="AD140" s="171" t="n"/>
      <c r="AE140" s="171" t="n"/>
      <c r="AF140" s="171" t="n"/>
      <c r="AG140" s="171" t="n"/>
      <c r="AH140" s="171" t="n"/>
    </row>
    <row r="141">
      <c r="A141" s="171" t="n"/>
      <c r="B141" s="171" t="n"/>
      <c r="C141" s="171" t="n"/>
      <c r="D141" s="171" t="n"/>
      <c r="E141" s="171" t="n"/>
      <c r="F141" s="171" t="n"/>
      <c r="G141" s="171" t="n"/>
      <c r="H141" s="171" t="n"/>
      <c r="I141" s="171" t="n"/>
      <c r="J141" s="171" t="n"/>
      <c r="K141" s="171" t="n"/>
      <c r="L141" s="171" t="n"/>
      <c r="M141" s="171" t="n"/>
      <c r="N141" s="171" t="n"/>
      <c r="O141" s="171" t="n"/>
      <c r="P141" s="171" t="n"/>
      <c r="Q141" s="171" t="n"/>
      <c r="R141" s="171" t="n"/>
      <c r="S141" s="171" t="n"/>
      <c r="T141" s="171" t="n"/>
      <c r="U141" s="171" t="n"/>
      <c r="V141" s="171" t="n"/>
      <c r="W141" s="171" t="n"/>
      <c r="X141" s="171" t="n"/>
      <c r="Y141" s="171" t="n"/>
      <c r="Z141" s="171" t="n"/>
      <c r="AA141" s="171" t="n"/>
      <c r="AB141" s="171" t="n"/>
      <c r="AC141" s="171" t="n"/>
      <c r="AD141" s="171" t="n"/>
      <c r="AE141" s="171" t="n"/>
      <c r="AF141" s="171" t="n"/>
      <c r="AG141" s="171" t="n"/>
      <c r="AH141" s="171" t="n"/>
    </row>
    <row r="142">
      <c r="A142" s="171" t="n"/>
      <c r="B142" s="171" t="n"/>
      <c r="C142" s="171" t="n"/>
      <c r="D142" s="171" t="n"/>
      <c r="E142" s="171" t="n"/>
      <c r="F142" s="171" t="n"/>
      <c r="G142" s="171" t="n"/>
      <c r="H142" s="171" t="n"/>
      <c r="I142" s="171" t="n"/>
      <c r="J142" s="171" t="n"/>
      <c r="K142" s="171" t="n"/>
      <c r="L142" s="171" t="n"/>
      <c r="M142" s="171" t="n"/>
      <c r="N142" s="171" t="n"/>
      <c r="O142" s="171" t="n"/>
      <c r="P142" s="171" t="n"/>
      <c r="Q142" s="171" t="n"/>
      <c r="R142" s="171" t="n"/>
      <c r="S142" s="171" t="n"/>
      <c r="T142" s="171" t="n"/>
      <c r="U142" s="171" t="n"/>
      <c r="V142" s="171" t="n"/>
      <c r="W142" s="171" t="n"/>
      <c r="X142" s="171" t="n"/>
      <c r="Y142" s="171" t="n"/>
      <c r="Z142" s="171" t="n"/>
      <c r="AA142" s="171" t="n"/>
      <c r="AB142" s="171" t="n"/>
      <c r="AC142" s="171" t="n"/>
      <c r="AD142" s="171" t="n"/>
      <c r="AE142" s="171" t="n"/>
      <c r="AF142" s="171" t="n"/>
      <c r="AG142" s="171" t="n"/>
      <c r="AH142" s="171" t="n"/>
    </row>
    <row r="143">
      <c r="A143" s="171" t="n"/>
      <c r="B143" s="171" t="n"/>
      <c r="C143" s="171" t="n"/>
      <c r="D143" s="171" t="n"/>
      <c r="E143" s="171" t="n"/>
      <c r="F143" s="171" t="n"/>
      <c r="G143" s="171" t="n"/>
      <c r="H143" s="171" t="n"/>
      <c r="I143" s="171" t="n"/>
      <c r="J143" s="171" t="n"/>
      <c r="K143" s="171" t="n"/>
      <c r="L143" s="171" t="n"/>
      <c r="M143" s="171" t="n"/>
      <c r="N143" s="171" t="n"/>
      <c r="O143" s="171" t="n"/>
      <c r="P143" s="171" t="n"/>
      <c r="Q143" s="171" t="n"/>
      <c r="R143" s="171" t="n"/>
      <c r="S143" s="171" t="n"/>
      <c r="T143" s="171" t="n"/>
      <c r="U143" s="171" t="n"/>
      <c r="V143" s="171" t="n"/>
      <c r="W143" s="171" t="n"/>
      <c r="X143" s="171" t="n"/>
      <c r="Y143" s="171" t="n"/>
      <c r="Z143" s="171" t="n"/>
      <c r="AA143" s="171" t="n"/>
      <c r="AB143" s="171" t="n"/>
      <c r="AC143" s="171" t="n"/>
      <c r="AD143" s="171" t="n"/>
      <c r="AE143" s="171" t="n"/>
      <c r="AF143" s="171" t="n"/>
      <c r="AG143" s="171" t="n"/>
      <c r="AH143" s="171" t="n"/>
    </row>
    <row r="144">
      <c r="A144" s="171" t="n"/>
      <c r="B144" s="171" t="n"/>
      <c r="C144" s="171" t="n"/>
      <c r="D144" s="171" t="n"/>
      <c r="E144" s="171" t="n"/>
      <c r="F144" s="171" t="n"/>
      <c r="G144" s="171" t="n"/>
      <c r="H144" s="171" t="n"/>
      <c r="I144" s="171" t="n"/>
      <c r="J144" s="171" t="n"/>
      <c r="K144" s="171" t="n"/>
      <c r="L144" s="171" t="n"/>
      <c r="M144" s="171" t="n"/>
      <c r="N144" s="171" t="n"/>
      <c r="O144" s="171" t="n"/>
      <c r="P144" s="171" t="n"/>
      <c r="Q144" s="171" t="n"/>
      <c r="R144" s="171" t="n"/>
      <c r="S144" s="171" t="n"/>
      <c r="T144" s="171" t="n"/>
      <c r="U144" s="171" t="n"/>
      <c r="V144" s="171" t="n"/>
      <c r="W144" s="171" t="n"/>
      <c r="X144" s="171" t="n"/>
      <c r="Y144" s="171" t="n"/>
      <c r="Z144" s="171" t="n"/>
      <c r="AA144" s="171" t="n"/>
      <c r="AB144" s="171" t="n"/>
      <c r="AC144" s="171" t="n"/>
      <c r="AD144" s="171" t="n"/>
      <c r="AE144" s="171" t="n"/>
      <c r="AF144" s="171" t="n"/>
      <c r="AG144" s="171" t="n"/>
      <c r="AH144" s="171" t="n"/>
    </row>
    <row r="145">
      <c r="A145" s="171" t="n"/>
      <c r="B145" s="171" t="n"/>
      <c r="C145" s="171" t="n"/>
      <c r="D145" s="171" t="n"/>
      <c r="E145" s="171" t="n"/>
      <c r="F145" s="171" t="n"/>
      <c r="G145" s="171" t="n"/>
      <c r="H145" s="171" t="n"/>
      <c r="I145" s="171" t="n"/>
      <c r="J145" s="171" t="n"/>
      <c r="K145" s="171" t="n"/>
      <c r="L145" s="171" t="n"/>
      <c r="M145" s="171" t="n"/>
      <c r="N145" s="171" t="n"/>
      <c r="O145" s="171" t="n"/>
      <c r="P145" s="171" t="n"/>
      <c r="Q145" s="171" t="n"/>
      <c r="R145" s="171" t="n"/>
      <c r="S145" s="171" t="n"/>
      <c r="T145" s="171" t="n"/>
      <c r="U145" s="171" t="n"/>
      <c r="V145" s="171" t="n"/>
      <c r="W145" s="171" t="n"/>
      <c r="X145" s="171" t="n"/>
      <c r="Y145" s="171" t="n"/>
      <c r="Z145" s="171" t="n"/>
      <c r="AA145" s="171" t="n"/>
      <c r="AB145" s="171" t="n"/>
      <c r="AC145" s="171" t="n"/>
      <c r="AD145" s="171" t="n"/>
      <c r="AE145" s="171" t="n"/>
      <c r="AF145" s="171" t="n"/>
      <c r="AG145" s="171" t="n"/>
      <c r="AH145" s="171" t="n"/>
    </row>
    <row r="146">
      <c r="A146" s="171" t="n"/>
      <c r="B146" s="171" t="n"/>
      <c r="C146" s="171" t="n"/>
      <c r="D146" s="171" t="n"/>
      <c r="E146" s="171" t="n"/>
      <c r="F146" s="171" t="n"/>
      <c r="G146" s="171" t="n"/>
      <c r="H146" s="171" t="n"/>
      <c r="I146" s="171" t="n"/>
      <c r="J146" s="171" t="n"/>
      <c r="K146" s="171" t="n"/>
      <c r="L146" s="171" t="n"/>
      <c r="M146" s="171" t="n"/>
      <c r="N146" s="171" t="n"/>
      <c r="O146" s="171" t="n"/>
      <c r="P146" s="171" t="n"/>
      <c r="Q146" s="171" t="n"/>
      <c r="R146" s="171" t="n"/>
      <c r="S146" s="171" t="n"/>
      <c r="T146" s="171" t="n"/>
      <c r="U146" s="171" t="n"/>
      <c r="V146" s="171" t="n"/>
      <c r="W146" s="171" t="n"/>
      <c r="X146" s="171" t="n"/>
      <c r="Y146" s="171" t="n"/>
      <c r="Z146" s="171" t="n"/>
      <c r="AA146" s="171" t="n"/>
      <c r="AB146" s="171" t="n"/>
      <c r="AC146" s="171" t="n"/>
      <c r="AD146" s="171" t="n"/>
      <c r="AE146" s="171" t="n"/>
      <c r="AF146" s="171" t="n"/>
      <c r="AG146" s="171" t="n"/>
      <c r="AH146" s="171" t="n"/>
    </row>
    <row r="147">
      <c r="A147" s="171" t="n"/>
      <c r="B147" s="171" t="n"/>
      <c r="C147" s="171" t="n"/>
      <c r="D147" s="171" t="n"/>
      <c r="E147" s="171" t="n"/>
      <c r="F147" s="171" t="n"/>
      <c r="G147" s="171" t="n"/>
      <c r="H147" s="171" t="n"/>
      <c r="I147" s="171" t="n"/>
      <c r="J147" s="171" t="n"/>
      <c r="K147" s="171" t="n"/>
      <c r="L147" s="171" t="n"/>
      <c r="M147" s="171" t="n"/>
      <c r="N147" s="171" t="n"/>
      <c r="O147" s="171" t="n"/>
      <c r="P147" s="171" t="n"/>
      <c r="Q147" s="171" t="n"/>
      <c r="R147" s="171" t="n"/>
      <c r="S147" s="171" t="n"/>
      <c r="T147" s="171" t="n"/>
      <c r="U147" s="171" t="n"/>
      <c r="V147" s="171" t="n"/>
      <c r="W147" s="171" t="n"/>
      <c r="X147" s="171" t="n"/>
      <c r="Y147" s="171" t="n"/>
      <c r="Z147" s="171" t="n"/>
      <c r="AA147" s="171" t="n"/>
      <c r="AB147" s="171" t="n"/>
      <c r="AC147" s="171" t="n"/>
      <c r="AD147" s="171" t="n"/>
      <c r="AE147" s="171" t="n"/>
      <c r="AF147" s="171" t="n"/>
      <c r="AG147" s="171" t="n"/>
      <c r="AH147" s="171" t="n"/>
    </row>
    <row r="148">
      <c r="A148" s="171" t="n"/>
      <c r="B148" s="171" t="n"/>
      <c r="C148" s="171" t="n"/>
      <c r="D148" s="171" t="n"/>
      <c r="E148" s="171" t="n"/>
      <c r="F148" s="171" t="n"/>
      <c r="G148" s="171" t="n"/>
      <c r="H148" s="171" t="n"/>
      <c r="I148" s="171" t="n"/>
      <c r="J148" s="171" t="n"/>
      <c r="K148" s="171" t="n"/>
      <c r="L148" s="171" t="n"/>
      <c r="M148" s="171" t="n"/>
      <c r="N148" s="171" t="n"/>
      <c r="O148" s="171" t="n"/>
      <c r="P148" s="171" t="n"/>
      <c r="Q148" s="171" t="n"/>
      <c r="R148" s="171" t="n"/>
      <c r="S148" s="171" t="n"/>
      <c r="T148" s="171" t="n"/>
      <c r="U148" s="171" t="n"/>
      <c r="V148" s="171" t="n"/>
      <c r="W148" s="171" t="n"/>
      <c r="X148" s="171" t="n"/>
      <c r="Y148" s="171" t="n"/>
      <c r="Z148" s="171" t="n"/>
      <c r="AA148" s="171" t="n"/>
      <c r="AB148" s="171" t="n"/>
      <c r="AC148" s="171" t="n"/>
      <c r="AD148" s="171" t="n"/>
      <c r="AE148" s="171" t="n"/>
      <c r="AF148" s="171" t="n"/>
      <c r="AG148" s="171" t="n"/>
      <c r="AH148" s="171" t="n"/>
    </row>
    <row r="149">
      <c r="A149" s="171" t="n"/>
      <c r="B149" s="171" t="n"/>
      <c r="C149" s="171" t="n"/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171" t="n"/>
      <c r="N149" s="171" t="n"/>
      <c r="O149" s="171" t="n"/>
      <c r="P149" s="171" t="n"/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171" t="n"/>
      <c r="AA149" s="171" t="n"/>
      <c r="AB149" s="171" t="n"/>
      <c r="AC149" s="171" t="n"/>
      <c r="AD149" s="171" t="n"/>
      <c r="AE149" s="171" t="n"/>
      <c r="AF149" s="171" t="n"/>
      <c r="AG149" s="171" t="n"/>
      <c r="AH149" s="171" t="n"/>
    </row>
    <row r="150">
      <c r="A150" s="171" t="n"/>
      <c r="B150" s="171" t="n"/>
      <c r="C150" s="171" t="n"/>
      <c r="D150" s="171" t="n"/>
      <c r="E150" s="171" t="n"/>
      <c r="F150" s="171" t="n"/>
      <c r="G150" s="171" t="n"/>
      <c r="H150" s="171" t="n"/>
      <c r="I150" s="171" t="n"/>
      <c r="J150" s="171" t="n"/>
      <c r="K150" s="171" t="n"/>
      <c r="L150" s="171" t="n"/>
      <c r="M150" s="171" t="n"/>
      <c r="N150" s="171" t="n"/>
      <c r="O150" s="171" t="n"/>
      <c r="P150" s="171" t="n"/>
      <c r="Q150" s="171" t="n"/>
      <c r="R150" s="171" t="n"/>
      <c r="S150" s="171" t="n"/>
      <c r="T150" s="171" t="n"/>
      <c r="U150" s="171" t="n"/>
      <c r="V150" s="171" t="n"/>
      <c r="W150" s="171" t="n"/>
      <c r="X150" s="171" t="n"/>
      <c r="Y150" s="171" t="n"/>
      <c r="Z150" s="171" t="n"/>
      <c r="AA150" s="171" t="n"/>
      <c r="AB150" s="171" t="n"/>
      <c r="AC150" s="171" t="n"/>
      <c r="AD150" s="171" t="n"/>
      <c r="AE150" s="171" t="n"/>
      <c r="AF150" s="171" t="n"/>
      <c r="AG150" s="171" t="n"/>
      <c r="AH150" s="171" t="n"/>
    </row>
    <row r="151">
      <c r="A151" s="171" t="n"/>
      <c r="B151" s="171" t="n"/>
      <c r="C151" s="171" t="n"/>
      <c r="D151" s="171" t="n"/>
      <c r="E151" s="171" t="n"/>
      <c r="F151" s="171" t="n"/>
      <c r="G151" s="171" t="n"/>
      <c r="H151" s="171" t="n"/>
      <c r="I151" s="171" t="n"/>
      <c r="J151" s="171" t="n"/>
      <c r="K151" s="171" t="n"/>
      <c r="L151" s="171" t="n"/>
      <c r="M151" s="171" t="n"/>
      <c r="N151" s="171" t="n"/>
      <c r="O151" s="171" t="n"/>
      <c r="P151" s="171" t="n"/>
      <c r="Q151" s="171" t="n"/>
      <c r="R151" s="171" t="n"/>
      <c r="S151" s="171" t="n"/>
      <c r="T151" s="171" t="n"/>
      <c r="U151" s="171" t="n"/>
      <c r="V151" s="171" t="n"/>
      <c r="W151" s="171" t="n"/>
      <c r="X151" s="171" t="n"/>
      <c r="Y151" s="171" t="n"/>
      <c r="Z151" s="171" t="n"/>
      <c r="AA151" s="171" t="n"/>
      <c r="AB151" s="171" t="n"/>
      <c r="AC151" s="171" t="n"/>
      <c r="AD151" s="171" t="n"/>
      <c r="AE151" s="171" t="n"/>
      <c r="AF151" s="171" t="n"/>
      <c r="AG151" s="171" t="n"/>
      <c r="AH151" s="171" t="n"/>
    </row>
    <row r="152">
      <c r="A152" s="171" t="n"/>
      <c r="B152" s="171" t="n"/>
      <c r="C152" s="171" t="n"/>
      <c r="D152" s="171" t="n"/>
      <c r="E152" s="171" t="n"/>
      <c r="F152" s="171" t="n"/>
      <c r="G152" s="171" t="n"/>
      <c r="H152" s="171" t="n"/>
      <c r="I152" s="171" t="n"/>
      <c r="J152" s="171" t="n"/>
      <c r="K152" s="171" t="n"/>
      <c r="L152" s="171" t="n"/>
      <c r="M152" s="171" t="n"/>
      <c r="N152" s="171" t="n"/>
      <c r="O152" s="171" t="n"/>
      <c r="P152" s="171" t="n"/>
      <c r="Q152" s="171" t="n"/>
      <c r="R152" s="171" t="n"/>
      <c r="S152" s="171" t="n"/>
      <c r="T152" s="171" t="n"/>
      <c r="U152" s="171" t="n"/>
      <c r="V152" s="171" t="n"/>
      <c r="W152" s="171" t="n"/>
      <c r="X152" s="171" t="n"/>
      <c r="Y152" s="171" t="n"/>
      <c r="Z152" s="171" t="n"/>
      <c r="AA152" s="171" t="n"/>
      <c r="AB152" s="171" t="n"/>
      <c r="AC152" s="171" t="n"/>
      <c r="AD152" s="171" t="n"/>
      <c r="AE152" s="171" t="n"/>
      <c r="AF152" s="171" t="n"/>
      <c r="AG152" s="171" t="n"/>
      <c r="AH152" s="171" t="n"/>
    </row>
    <row r="153">
      <c r="A153" s="171" t="n"/>
      <c r="B153" s="171" t="n"/>
      <c r="C153" s="171" t="n"/>
      <c r="D153" s="171" t="n"/>
      <c r="E153" s="171" t="n"/>
      <c r="F153" s="171" t="n"/>
      <c r="G153" s="171" t="n"/>
      <c r="H153" s="171" t="n"/>
      <c r="I153" s="171" t="n"/>
      <c r="J153" s="171" t="n"/>
      <c r="K153" s="171" t="n"/>
      <c r="L153" s="171" t="n"/>
      <c r="M153" s="171" t="n"/>
      <c r="N153" s="171" t="n"/>
      <c r="O153" s="171" t="n"/>
      <c r="P153" s="171" t="n"/>
      <c r="Q153" s="171" t="n"/>
      <c r="R153" s="171" t="n"/>
      <c r="S153" s="171" t="n"/>
      <c r="T153" s="171" t="n"/>
      <c r="U153" s="171" t="n"/>
      <c r="V153" s="171" t="n"/>
      <c r="W153" s="171" t="n"/>
      <c r="X153" s="171" t="n"/>
      <c r="Y153" s="171" t="n"/>
      <c r="Z153" s="171" t="n"/>
      <c r="AA153" s="171" t="n"/>
      <c r="AB153" s="171" t="n"/>
      <c r="AC153" s="171" t="n"/>
      <c r="AD153" s="171" t="n"/>
      <c r="AE153" s="171" t="n"/>
      <c r="AF153" s="171" t="n"/>
      <c r="AG153" s="171" t="n"/>
      <c r="AH153" s="171" t="n"/>
    </row>
    <row r="154">
      <c r="A154" s="171" t="n"/>
      <c r="B154" s="171" t="n"/>
      <c r="C154" s="171" t="n"/>
      <c r="D154" s="171" t="n"/>
      <c r="E154" s="171" t="n"/>
      <c r="F154" s="171" t="n"/>
      <c r="G154" s="171" t="n"/>
      <c r="H154" s="171" t="n"/>
      <c r="I154" s="171" t="n"/>
      <c r="J154" s="171" t="n"/>
      <c r="K154" s="171" t="n"/>
      <c r="L154" s="171" t="n"/>
      <c r="M154" s="171" t="n"/>
      <c r="N154" s="171" t="n"/>
      <c r="O154" s="171" t="n"/>
      <c r="P154" s="171" t="n"/>
      <c r="Q154" s="171" t="n"/>
      <c r="R154" s="171" t="n"/>
      <c r="S154" s="171" t="n"/>
      <c r="T154" s="171" t="n"/>
      <c r="U154" s="171" t="n"/>
      <c r="V154" s="171" t="n"/>
      <c r="W154" s="171" t="n"/>
      <c r="X154" s="171" t="n"/>
      <c r="Y154" s="171" t="n"/>
      <c r="Z154" s="171" t="n"/>
      <c r="AA154" s="171" t="n"/>
      <c r="AB154" s="171" t="n"/>
      <c r="AC154" s="171" t="n"/>
      <c r="AD154" s="171" t="n"/>
      <c r="AE154" s="171" t="n"/>
      <c r="AF154" s="171" t="n"/>
      <c r="AG154" s="171" t="n"/>
      <c r="AH154" s="171" t="n"/>
    </row>
    <row r="155">
      <c r="A155" s="171" t="n"/>
      <c r="B155" s="171" t="n"/>
      <c r="C155" s="171" t="n"/>
      <c r="D155" s="171" t="n"/>
      <c r="E155" s="171" t="n"/>
      <c r="F155" s="171" t="n"/>
      <c r="G155" s="171" t="n"/>
      <c r="H155" s="171" t="n"/>
      <c r="I155" s="171" t="n"/>
      <c r="J155" s="171" t="n"/>
      <c r="K155" s="171" t="n"/>
      <c r="L155" s="171" t="n"/>
      <c r="M155" s="171" t="n"/>
      <c r="N155" s="171" t="n"/>
      <c r="O155" s="171" t="n"/>
      <c r="P155" s="171" t="n"/>
      <c r="Q155" s="171" t="n"/>
      <c r="R155" s="171" t="n"/>
      <c r="S155" s="171" t="n"/>
      <c r="T155" s="171" t="n"/>
      <c r="U155" s="171" t="n"/>
      <c r="V155" s="171" t="n"/>
      <c r="W155" s="171" t="n"/>
      <c r="X155" s="171" t="n"/>
      <c r="Y155" s="171" t="n"/>
      <c r="Z155" s="171" t="n"/>
      <c r="AA155" s="171" t="n"/>
      <c r="AB155" s="171" t="n"/>
      <c r="AC155" s="171" t="n"/>
      <c r="AD155" s="171" t="n"/>
      <c r="AE155" s="171" t="n"/>
      <c r="AF155" s="171" t="n"/>
      <c r="AG155" s="171" t="n"/>
      <c r="AH155" s="171" t="n"/>
    </row>
    <row r="156">
      <c r="A156" s="171" t="n"/>
      <c r="B156" s="171" t="n"/>
      <c r="C156" s="171" t="n"/>
      <c r="D156" s="171" t="n"/>
      <c r="E156" s="171" t="n"/>
      <c r="F156" s="171" t="n"/>
      <c r="G156" s="171" t="n"/>
      <c r="H156" s="171" t="n"/>
      <c r="I156" s="171" t="n"/>
      <c r="J156" s="171" t="n"/>
      <c r="K156" s="171" t="n"/>
      <c r="L156" s="171" t="n"/>
      <c r="M156" s="171" t="n"/>
      <c r="N156" s="171" t="n"/>
      <c r="O156" s="171" t="n"/>
      <c r="P156" s="171" t="n"/>
      <c r="Q156" s="171" t="n"/>
      <c r="R156" s="171" t="n"/>
      <c r="S156" s="171" t="n"/>
      <c r="T156" s="171" t="n"/>
      <c r="U156" s="171" t="n"/>
      <c r="V156" s="171" t="n"/>
      <c r="W156" s="171" t="n"/>
      <c r="X156" s="171" t="n"/>
      <c r="Y156" s="171" t="n"/>
      <c r="Z156" s="171" t="n"/>
      <c r="AA156" s="171" t="n"/>
      <c r="AB156" s="171" t="n"/>
      <c r="AC156" s="171" t="n"/>
      <c r="AD156" s="171" t="n"/>
      <c r="AE156" s="171" t="n"/>
      <c r="AF156" s="171" t="n"/>
      <c r="AG156" s="171" t="n"/>
      <c r="AH156" s="171" t="n"/>
    </row>
    <row r="157">
      <c r="A157" s="171" t="n"/>
      <c r="B157" s="171" t="n"/>
      <c r="C157" s="171" t="n"/>
      <c r="D157" s="171" t="n"/>
      <c r="E157" s="171" t="n"/>
      <c r="F157" s="171" t="n"/>
      <c r="G157" s="171" t="n"/>
      <c r="H157" s="171" t="n"/>
      <c r="I157" s="171" t="n"/>
      <c r="J157" s="171" t="n"/>
      <c r="K157" s="171" t="n"/>
      <c r="L157" s="171" t="n"/>
      <c r="M157" s="171" t="n"/>
      <c r="N157" s="171" t="n"/>
      <c r="O157" s="171" t="n"/>
      <c r="P157" s="171" t="n"/>
      <c r="Q157" s="171" t="n"/>
      <c r="R157" s="171" t="n"/>
      <c r="S157" s="171" t="n"/>
      <c r="T157" s="171" t="n"/>
      <c r="U157" s="171" t="n"/>
      <c r="V157" s="171" t="n"/>
      <c r="W157" s="171" t="n"/>
      <c r="X157" s="171" t="n"/>
      <c r="Y157" s="171" t="n"/>
      <c r="Z157" s="171" t="n"/>
      <c r="AA157" s="171" t="n"/>
      <c r="AB157" s="171" t="n"/>
      <c r="AC157" s="171" t="n"/>
      <c r="AD157" s="171" t="n"/>
      <c r="AE157" s="171" t="n"/>
      <c r="AF157" s="171" t="n"/>
      <c r="AG157" s="171" t="n"/>
      <c r="AH157" s="171" t="n"/>
    </row>
    <row r="158">
      <c r="A158" s="171" t="n"/>
      <c r="B158" s="171" t="n"/>
      <c r="C158" s="171" t="n"/>
      <c r="D158" s="171" t="n"/>
      <c r="E158" s="171" t="n"/>
      <c r="F158" s="171" t="n"/>
      <c r="G158" s="171" t="n"/>
      <c r="H158" s="171" t="n"/>
      <c r="I158" s="171" t="n"/>
      <c r="J158" s="171" t="n"/>
      <c r="K158" s="171" t="n"/>
      <c r="L158" s="171" t="n"/>
      <c r="M158" s="171" t="n"/>
      <c r="N158" s="171" t="n"/>
      <c r="O158" s="171" t="n"/>
      <c r="P158" s="171" t="n"/>
      <c r="Q158" s="171" t="n"/>
      <c r="R158" s="171" t="n"/>
      <c r="S158" s="171" t="n"/>
      <c r="T158" s="171" t="n"/>
      <c r="U158" s="171" t="n"/>
      <c r="V158" s="171" t="n"/>
      <c r="W158" s="171" t="n"/>
      <c r="X158" s="171" t="n"/>
      <c r="Y158" s="171" t="n"/>
      <c r="Z158" s="171" t="n"/>
      <c r="AA158" s="171" t="n"/>
      <c r="AB158" s="171" t="n"/>
      <c r="AC158" s="171" t="n"/>
      <c r="AD158" s="171" t="n"/>
      <c r="AE158" s="171" t="n"/>
      <c r="AF158" s="171" t="n"/>
      <c r="AG158" s="171" t="n"/>
      <c r="AH158" s="171" t="n"/>
    </row>
    <row r="159">
      <c r="A159" s="171" t="n"/>
      <c r="B159" s="171" t="n"/>
      <c r="C159" s="171" t="n"/>
      <c r="D159" s="171" t="n"/>
      <c r="E159" s="171" t="n"/>
      <c r="F159" s="171" t="n"/>
      <c r="G159" s="171" t="n"/>
      <c r="H159" s="171" t="n"/>
      <c r="I159" s="171" t="n"/>
      <c r="J159" s="171" t="n"/>
      <c r="K159" s="171" t="n"/>
      <c r="L159" s="171" t="n"/>
      <c r="M159" s="171" t="n"/>
      <c r="N159" s="171" t="n"/>
      <c r="O159" s="171" t="n"/>
      <c r="P159" s="171" t="n"/>
      <c r="Q159" s="171" t="n"/>
      <c r="R159" s="171" t="n"/>
      <c r="S159" s="171" t="n"/>
      <c r="T159" s="171" t="n"/>
      <c r="U159" s="171" t="n"/>
      <c r="V159" s="171" t="n"/>
      <c r="W159" s="171" t="n"/>
      <c r="X159" s="171" t="n"/>
      <c r="Y159" s="171" t="n"/>
      <c r="Z159" s="171" t="n"/>
      <c r="AA159" s="171" t="n"/>
      <c r="AB159" s="171" t="n"/>
      <c r="AC159" s="171" t="n"/>
      <c r="AD159" s="171" t="n"/>
      <c r="AE159" s="171" t="n"/>
      <c r="AF159" s="171" t="n"/>
      <c r="AG159" s="171" t="n"/>
      <c r="AH159" s="171" t="n"/>
    </row>
    <row r="160">
      <c r="A160" s="171" t="n"/>
      <c r="B160" s="171" t="n"/>
      <c r="C160" s="171" t="n"/>
      <c r="D160" s="171" t="n"/>
      <c r="E160" s="171" t="n"/>
      <c r="F160" s="171" t="n"/>
      <c r="G160" s="171" t="n"/>
      <c r="H160" s="171" t="n"/>
      <c r="I160" s="171" t="n"/>
      <c r="J160" s="171" t="n"/>
      <c r="K160" s="171" t="n"/>
      <c r="L160" s="171" t="n"/>
      <c r="M160" s="171" t="n"/>
      <c r="N160" s="171" t="n"/>
      <c r="O160" s="171" t="n"/>
      <c r="P160" s="171" t="n"/>
      <c r="Q160" s="171" t="n"/>
      <c r="R160" s="171" t="n"/>
      <c r="S160" s="171" t="n"/>
      <c r="T160" s="171" t="n"/>
      <c r="U160" s="171" t="n"/>
      <c r="V160" s="171" t="n"/>
      <c r="W160" s="171" t="n"/>
      <c r="X160" s="171" t="n"/>
      <c r="Y160" s="171" t="n"/>
      <c r="Z160" s="171" t="n"/>
      <c r="AA160" s="171" t="n"/>
      <c r="AB160" s="171" t="n"/>
      <c r="AC160" s="171" t="n"/>
      <c r="AD160" s="171" t="n"/>
      <c r="AE160" s="171" t="n"/>
      <c r="AF160" s="171" t="n"/>
      <c r="AG160" s="171" t="n"/>
      <c r="AH160" s="171" t="n"/>
    </row>
    <row r="161">
      <c r="A161" s="171" t="n"/>
      <c r="B161" s="171" t="n"/>
      <c r="C161" s="171" t="n"/>
      <c r="D161" s="171" t="n"/>
      <c r="E161" s="171" t="n"/>
      <c r="F161" s="171" t="n"/>
      <c r="G161" s="171" t="n"/>
      <c r="H161" s="171" t="n"/>
      <c r="I161" s="171" t="n"/>
      <c r="J161" s="171" t="n"/>
      <c r="K161" s="171" t="n"/>
      <c r="L161" s="171" t="n"/>
      <c r="M161" s="171" t="n"/>
      <c r="N161" s="171" t="n"/>
      <c r="O161" s="171" t="n"/>
      <c r="P161" s="171" t="n"/>
      <c r="Q161" s="171" t="n"/>
      <c r="R161" s="171" t="n"/>
      <c r="S161" s="171" t="n"/>
      <c r="T161" s="171" t="n"/>
      <c r="U161" s="171" t="n"/>
      <c r="V161" s="171" t="n"/>
      <c r="W161" s="171" t="n"/>
      <c r="X161" s="171" t="n"/>
      <c r="Y161" s="171" t="n"/>
      <c r="Z161" s="171" t="n"/>
      <c r="AA161" s="171" t="n"/>
      <c r="AB161" s="171" t="n"/>
      <c r="AC161" s="171" t="n"/>
      <c r="AD161" s="171" t="n"/>
      <c r="AE161" s="171" t="n"/>
      <c r="AF161" s="171" t="n"/>
      <c r="AG161" s="171" t="n"/>
      <c r="AH161" s="171" t="n"/>
    </row>
    <row r="162">
      <c r="A162" s="171" t="n"/>
      <c r="B162" s="171" t="n"/>
      <c r="C162" s="171" t="n"/>
      <c r="D162" s="171" t="n"/>
      <c r="E162" s="171" t="n"/>
      <c r="F162" s="171" t="n"/>
      <c r="G162" s="171" t="n"/>
      <c r="H162" s="171" t="n"/>
      <c r="I162" s="171" t="n"/>
      <c r="J162" s="171" t="n"/>
      <c r="K162" s="171" t="n"/>
      <c r="L162" s="171" t="n"/>
      <c r="M162" s="171" t="n"/>
      <c r="N162" s="171" t="n"/>
      <c r="O162" s="171" t="n"/>
      <c r="P162" s="171" t="n"/>
      <c r="Q162" s="171" t="n"/>
      <c r="R162" s="171" t="n"/>
      <c r="S162" s="171" t="n"/>
      <c r="T162" s="171" t="n"/>
      <c r="U162" s="171" t="n"/>
      <c r="V162" s="171" t="n"/>
      <c r="W162" s="171" t="n"/>
      <c r="X162" s="171" t="n"/>
      <c r="Y162" s="171" t="n"/>
      <c r="Z162" s="171" t="n"/>
      <c r="AA162" s="171" t="n"/>
      <c r="AB162" s="171" t="n"/>
      <c r="AC162" s="171" t="n"/>
      <c r="AD162" s="171" t="n"/>
      <c r="AE162" s="171" t="n"/>
      <c r="AF162" s="171" t="n"/>
      <c r="AG162" s="171" t="n"/>
      <c r="AH162" s="171" t="n"/>
    </row>
    <row r="163">
      <c r="A163" s="171" t="n"/>
      <c r="B163" s="171" t="n"/>
      <c r="C163" s="171" t="n"/>
      <c r="D163" s="171" t="n"/>
      <c r="E163" s="171" t="n"/>
      <c r="F163" s="171" t="n"/>
      <c r="G163" s="171" t="n"/>
      <c r="H163" s="171" t="n"/>
      <c r="I163" s="171" t="n"/>
      <c r="J163" s="171" t="n"/>
      <c r="K163" s="171" t="n"/>
      <c r="L163" s="171" t="n"/>
      <c r="M163" s="171" t="n"/>
      <c r="N163" s="171" t="n"/>
      <c r="O163" s="171" t="n"/>
      <c r="P163" s="171" t="n"/>
      <c r="Q163" s="171" t="n"/>
      <c r="R163" s="171" t="n"/>
      <c r="S163" s="171" t="n"/>
      <c r="T163" s="171" t="n"/>
      <c r="U163" s="171" t="n"/>
      <c r="V163" s="171" t="n"/>
      <c r="W163" s="171" t="n"/>
      <c r="X163" s="171" t="n"/>
      <c r="Y163" s="171" t="n"/>
      <c r="Z163" s="171" t="n"/>
      <c r="AA163" s="171" t="n"/>
      <c r="AB163" s="171" t="n"/>
      <c r="AC163" s="171" t="n"/>
      <c r="AD163" s="171" t="n"/>
      <c r="AE163" s="171" t="n"/>
      <c r="AF163" s="171" t="n"/>
      <c r="AG163" s="171" t="n"/>
      <c r="AH163" s="171" t="n"/>
    </row>
    <row r="164">
      <c r="A164" s="171" t="n"/>
      <c r="B164" s="171" t="n"/>
      <c r="C164" s="171" t="n"/>
      <c r="D164" s="171" t="n"/>
      <c r="E164" s="171" t="n"/>
      <c r="F164" s="171" t="n"/>
      <c r="G164" s="171" t="n"/>
      <c r="H164" s="171" t="n"/>
      <c r="I164" s="171" t="n"/>
      <c r="J164" s="171" t="n"/>
      <c r="K164" s="171" t="n"/>
      <c r="L164" s="171" t="n"/>
      <c r="M164" s="171" t="n"/>
      <c r="N164" s="171" t="n"/>
      <c r="O164" s="171" t="n"/>
      <c r="P164" s="171" t="n"/>
      <c r="Q164" s="171" t="n"/>
      <c r="R164" s="171" t="n"/>
      <c r="S164" s="171" t="n"/>
      <c r="T164" s="171" t="n"/>
      <c r="U164" s="171" t="n"/>
      <c r="V164" s="171" t="n"/>
      <c r="W164" s="171" t="n"/>
      <c r="X164" s="171" t="n"/>
      <c r="Y164" s="171" t="n"/>
      <c r="Z164" s="171" t="n"/>
      <c r="AA164" s="171" t="n"/>
      <c r="AB164" s="171" t="n"/>
      <c r="AC164" s="171" t="n"/>
      <c r="AD164" s="171" t="n"/>
      <c r="AE164" s="171" t="n"/>
      <c r="AF164" s="171" t="n"/>
      <c r="AG164" s="171" t="n"/>
      <c r="AH164" s="171" t="n"/>
    </row>
    <row r="165">
      <c r="A165" s="171" t="n"/>
      <c r="B165" s="171" t="n"/>
      <c r="C165" s="171" t="n"/>
      <c r="D165" s="171" t="n"/>
      <c r="E165" s="171" t="n"/>
      <c r="F165" s="171" t="n"/>
      <c r="G165" s="171" t="n"/>
      <c r="H165" s="171" t="n"/>
      <c r="I165" s="171" t="n"/>
      <c r="J165" s="171" t="n"/>
      <c r="K165" s="171" t="n"/>
      <c r="L165" s="171" t="n"/>
      <c r="M165" s="171" t="n"/>
      <c r="N165" s="171" t="n"/>
      <c r="O165" s="171" t="n"/>
      <c r="P165" s="171" t="n"/>
      <c r="Q165" s="171" t="n"/>
      <c r="R165" s="171" t="n"/>
      <c r="S165" s="171" t="n"/>
      <c r="T165" s="171" t="n"/>
      <c r="U165" s="171" t="n"/>
      <c r="V165" s="171" t="n"/>
      <c r="W165" s="171" t="n"/>
      <c r="X165" s="171" t="n"/>
      <c r="Y165" s="171" t="n"/>
      <c r="Z165" s="171" t="n"/>
      <c r="AA165" s="171" t="n"/>
      <c r="AB165" s="171" t="n"/>
      <c r="AC165" s="171" t="n"/>
      <c r="AD165" s="171" t="n"/>
      <c r="AE165" s="171" t="n"/>
      <c r="AF165" s="171" t="n"/>
      <c r="AG165" s="171" t="n"/>
      <c r="AH165" s="171" t="n"/>
    </row>
    <row r="166">
      <c r="A166" s="171" t="n"/>
      <c r="B166" s="171" t="n"/>
      <c r="C166" s="171" t="n"/>
      <c r="D166" s="171" t="n"/>
      <c r="E166" s="171" t="n"/>
      <c r="F166" s="171" t="n"/>
      <c r="G166" s="171" t="n"/>
      <c r="H166" s="171" t="n"/>
      <c r="I166" s="171" t="n"/>
      <c r="J166" s="171" t="n"/>
      <c r="K166" s="171" t="n"/>
      <c r="L166" s="171" t="n"/>
      <c r="M166" s="171" t="n"/>
      <c r="N166" s="171" t="n"/>
      <c r="O166" s="171" t="n"/>
      <c r="P166" s="171" t="n"/>
      <c r="Q166" s="171" t="n"/>
      <c r="R166" s="171" t="n"/>
      <c r="S166" s="171" t="n"/>
      <c r="T166" s="171" t="n"/>
      <c r="U166" s="171" t="n"/>
      <c r="V166" s="171" t="n"/>
      <c r="W166" s="171" t="n"/>
      <c r="X166" s="171" t="n"/>
      <c r="Y166" s="171" t="n"/>
      <c r="Z166" s="171" t="n"/>
      <c r="AA166" s="171" t="n"/>
      <c r="AB166" s="171" t="n"/>
      <c r="AC166" s="171" t="n"/>
      <c r="AD166" s="171" t="n"/>
      <c r="AE166" s="171" t="n"/>
      <c r="AF166" s="171" t="n"/>
      <c r="AG166" s="171" t="n"/>
      <c r="AH166" s="171" t="n"/>
    </row>
    <row r="167">
      <c r="A167" s="171" t="n"/>
      <c r="B167" s="171" t="n"/>
      <c r="C167" s="171" t="n"/>
      <c r="D167" s="171" t="n"/>
      <c r="E167" s="171" t="n"/>
      <c r="F167" s="171" t="n"/>
      <c r="G167" s="171" t="n"/>
      <c r="H167" s="171" t="n"/>
      <c r="I167" s="171" t="n"/>
      <c r="J167" s="171" t="n"/>
      <c r="K167" s="171" t="n"/>
      <c r="L167" s="171" t="n"/>
      <c r="M167" s="171" t="n"/>
      <c r="N167" s="171" t="n"/>
      <c r="O167" s="171" t="n"/>
      <c r="P167" s="171" t="n"/>
      <c r="Q167" s="171" t="n"/>
      <c r="R167" s="171" t="n"/>
      <c r="S167" s="171" t="n"/>
      <c r="T167" s="171" t="n"/>
      <c r="U167" s="171" t="n"/>
      <c r="V167" s="171" t="n"/>
      <c r="W167" s="171" t="n"/>
      <c r="X167" s="171" t="n"/>
      <c r="Y167" s="171" t="n"/>
      <c r="Z167" s="171" t="n"/>
      <c r="AA167" s="171" t="n"/>
      <c r="AB167" s="171" t="n"/>
      <c r="AC167" s="171" t="n"/>
      <c r="AD167" s="171" t="n"/>
      <c r="AE167" s="171" t="n"/>
      <c r="AF167" s="171" t="n"/>
      <c r="AG167" s="171" t="n"/>
      <c r="AH167" s="171" t="n"/>
    </row>
    <row r="168">
      <c r="A168" s="171" t="n"/>
      <c r="B168" s="171" t="n"/>
      <c r="C168" s="171" t="n"/>
      <c r="D168" s="171" t="n"/>
      <c r="E168" s="171" t="n"/>
      <c r="F168" s="171" t="n"/>
      <c r="G168" s="171" t="n"/>
      <c r="H168" s="171" t="n"/>
      <c r="I168" s="171" t="n"/>
      <c r="J168" s="171" t="n"/>
      <c r="K168" s="171" t="n"/>
      <c r="L168" s="171" t="n"/>
      <c r="M168" s="171" t="n"/>
      <c r="N168" s="171" t="n"/>
      <c r="O168" s="171" t="n"/>
      <c r="P168" s="171" t="n"/>
      <c r="Q168" s="171" t="n"/>
      <c r="R168" s="171" t="n"/>
      <c r="S168" s="171" t="n"/>
      <c r="T168" s="171" t="n"/>
      <c r="U168" s="171" t="n"/>
      <c r="V168" s="171" t="n"/>
      <c r="W168" s="171" t="n"/>
      <c r="X168" s="171" t="n"/>
      <c r="Y168" s="171" t="n"/>
      <c r="Z168" s="171" t="n"/>
      <c r="AA168" s="171" t="n"/>
      <c r="AB168" s="171" t="n"/>
      <c r="AC168" s="171" t="n"/>
      <c r="AD168" s="171" t="n"/>
      <c r="AE168" s="171" t="n"/>
      <c r="AF168" s="171" t="n"/>
      <c r="AG168" s="171" t="n"/>
      <c r="AH168" s="171" t="n"/>
    </row>
    <row r="169">
      <c r="A169" s="171" t="n"/>
      <c r="B169" s="171" t="n"/>
      <c r="C169" s="171" t="n"/>
      <c r="D169" s="171" t="n"/>
      <c r="E169" s="171" t="n"/>
      <c r="F169" s="171" t="n"/>
      <c r="G169" s="171" t="n"/>
      <c r="H169" s="171" t="n"/>
      <c r="I169" s="171" t="n"/>
      <c r="J169" s="171" t="n"/>
      <c r="K169" s="171" t="n"/>
      <c r="L169" s="171" t="n"/>
      <c r="M169" s="171" t="n"/>
      <c r="N169" s="171" t="n"/>
      <c r="O169" s="171" t="n"/>
      <c r="P169" s="171" t="n"/>
      <c r="Q169" s="171" t="n"/>
      <c r="R169" s="171" t="n"/>
      <c r="S169" s="171" t="n"/>
      <c r="T169" s="171" t="n"/>
      <c r="U169" s="171" t="n"/>
      <c r="V169" s="171" t="n"/>
      <c r="W169" s="171" t="n"/>
      <c r="X169" s="171" t="n"/>
      <c r="Y169" s="171" t="n"/>
      <c r="Z169" s="171" t="n"/>
      <c r="AA169" s="171" t="n"/>
      <c r="AB169" s="171" t="n"/>
      <c r="AC169" s="171" t="n"/>
      <c r="AD169" s="171" t="n"/>
      <c r="AE169" s="171" t="n"/>
      <c r="AF169" s="171" t="n"/>
      <c r="AG169" s="171" t="n"/>
      <c r="AH169" s="171" t="n"/>
    </row>
    <row r="170">
      <c r="A170" s="171" t="n"/>
      <c r="B170" s="171" t="n"/>
      <c r="C170" s="171" t="n"/>
      <c r="D170" s="171" t="n"/>
      <c r="E170" s="171" t="n"/>
      <c r="F170" s="171" t="n"/>
      <c r="G170" s="171" t="n"/>
      <c r="H170" s="171" t="n"/>
      <c r="I170" s="171" t="n"/>
      <c r="J170" s="171" t="n"/>
      <c r="K170" s="171" t="n"/>
      <c r="L170" s="171" t="n"/>
      <c r="M170" s="171" t="n"/>
      <c r="N170" s="171" t="n"/>
      <c r="O170" s="171" t="n"/>
      <c r="P170" s="171" t="n"/>
      <c r="Q170" s="171" t="n"/>
      <c r="R170" s="171" t="n"/>
      <c r="S170" s="171" t="n"/>
      <c r="T170" s="171" t="n"/>
      <c r="U170" s="171" t="n"/>
      <c r="V170" s="171" t="n"/>
      <c r="W170" s="171" t="n"/>
      <c r="X170" s="171" t="n"/>
      <c r="Y170" s="171" t="n"/>
      <c r="Z170" s="171" t="n"/>
      <c r="AA170" s="171" t="n"/>
      <c r="AB170" s="171" t="n"/>
      <c r="AC170" s="171" t="n"/>
      <c r="AD170" s="171" t="n"/>
      <c r="AE170" s="171" t="n"/>
      <c r="AF170" s="171" t="n"/>
      <c r="AG170" s="171" t="n"/>
      <c r="AH170" s="171" t="n"/>
    </row>
    <row r="171">
      <c r="A171" s="171" t="n"/>
      <c r="B171" s="171" t="n"/>
      <c r="C171" s="171" t="n"/>
      <c r="D171" s="171" t="n"/>
      <c r="E171" s="171" t="n"/>
      <c r="F171" s="171" t="n"/>
      <c r="G171" s="171" t="n"/>
      <c r="H171" s="171" t="n"/>
      <c r="I171" s="171" t="n"/>
      <c r="J171" s="171" t="n"/>
      <c r="K171" s="171" t="n"/>
      <c r="L171" s="171" t="n"/>
      <c r="M171" s="171" t="n"/>
      <c r="N171" s="171" t="n"/>
      <c r="O171" s="171" t="n"/>
      <c r="P171" s="171" t="n"/>
      <c r="Q171" s="171" t="n"/>
      <c r="R171" s="171" t="n"/>
      <c r="S171" s="171" t="n"/>
      <c r="T171" s="171" t="n"/>
      <c r="U171" s="171" t="n"/>
      <c r="V171" s="171" t="n"/>
      <c r="W171" s="171" t="n"/>
      <c r="X171" s="171" t="n"/>
      <c r="Y171" s="171" t="n"/>
      <c r="Z171" s="171" t="n"/>
      <c r="AA171" s="171" t="n"/>
      <c r="AB171" s="171" t="n"/>
      <c r="AC171" s="171" t="n"/>
      <c r="AD171" s="171" t="n"/>
      <c r="AE171" s="171" t="n"/>
      <c r="AF171" s="171" t="n"/>
      <c r="AG171" s="171" t="n"/>
      <c r="AH171" s="171" t="n"/>
    </row>
    <row r="172">
      <c r="A172" s="171" t="n"/>
      <c r="B172" s="171" t="n"/>
      <c r="C172" s="171" t="n"/>
      <c r="D172" s="171" t="n"/>
      <c r="E172" s="171" t="n"/>
      <c r="F172" s="171" t="n"/>
      <c r="G172" s="171" t="n"/>
      <c r="H172" s="171" t="n"/>
      <c r="I172" s="171" t="n"/>
      <c r="J172" s="171" t="n"/>
      <c r="K172" s="171" t="n"/>
      <c r="L172" s="171" t="n"/>
      <c r="M172" s="171" t="n"/>
      <c r="N172" s="171" t="n"/>
      <c r="O172" s="171" t="n"/>
      <c r="P172" s="171" t="n"/>
      <c r="Q172" s="171" t="n"/>
      <c r="R172" s="171" t="n"/>
      <c r="S172" s="171" t="n"/>
      <c r="T172" s="171" t="n"/>
      <c r="U172" s="171" t="n"/>
      <c r="V172" s="171" t="n"/>
      <c r="W172" s="171" t="n"/>
      <c r="X172" s="171" t="n"/>
      <c r="Y172" s="171" t="n"/>
      <c r="Z172" s="171" t="n"/>
      <c r="AA172" s="171" t="n"/>
      <c r="AB172" s="171" t="n"/>
      <c r="AC172" s="171" t="n"/>
      <c r="AD172" s="171" t="n"/>
      <c r="AE172" s="171" t="n"/>
      <c r="AF172" s="171" t="n"/>
      <c r="AG172" s="171" t="n"/>
      <c r="AH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</row>
    <row r="181">
      <c r="A181" s="171" t="n"/>
      <c r="B181" s="171" t="n"/>
      <c r="C181" s="171" t="n"/>
      <c r="D181" s="171" t="n"/>
      <c r="E181" s="171" t="n"/>
      <c r="F181" s="171" t="n"/>
      <c r="G181" s="171" t="n"/>
      <c r="H181" s="171" t="n"/>
      <c r="I181" s="171" t="n"/>
      <c r="J181" s="171" t="n"/>
      <c r="K181" s="171" t="n"/>
      <c r="L181" s="171" t="n"/>
      <c r="M181" s="171" t="n"/>
      <c r="N181" s="171" t="n"/>
      <c r="O181" s="171" t="n"/>
      <c r="P181" s="171" t="n"/>
      <c r="Q181" s="171" t="n"/>
      <c r="R181" s="171" t="n"/>
      <c r="S181" s="171" t="n"/>
      <c r="T181" s="171" t="n"/>
      <c r="U181" s="171" t="n"/>
      <c r="V181" s="171" t="n"/>
      <c r="W181" s="171" t="n"/>
      <c r="X181" s="171" t="n"/>
      <c r="Y181" s="171" t="n"/>
      <c r="Z181" s="171" t="n"/>
      <c r="AA181" s="171" t="n"/>
      <c r="AB181" s="171" t="n"/>
      <c r="AC181" s="171" t="n"/>
      <c r="AD181" s="171" t="n"/>
      <c r="AE181" s="171" t="n"/>
      <c r="AF181" s="171" t="n"/>
      <c r="AG181" s="171" t="n"/>
      <c r="AH181" s="171" t="n"/>
    </row>
    <row r="182">
      <c r="A182" s="171" t="n"/>
      <c r="B182" s="171" t="n"/>
      <c r="C182" s="171" t="n"/>
      <c r="D182" s="171" t="n"/>
      <c r="E182" s="171" t="n"/>
      <c r="F182" s="171" t="n"/>
      <c r="G182" s="171" t="n"/>
      <c r="H182" s="171" t="n"/>
      <c r="I182" s="171" t="n"/>
      <c r="J182" s="171" t="n"/>
      <c r="K182" s="171" t="n"/>
      <c r="L182" s="171" t="n"/>
      <c r="M182" s="171" t="n"/>
      <c r="N182" s="171" t="n"/>
      <c r="O182" s="171" t="n"/>
      <c r="P182" s="171" t="n"/>
      <c r="Q182" s="171" t="n"/>
      <c r="R182" s="171" t="n"/>
      <c r="S182" s="171" t="n"/>
      <c r="T182" s="171" t="n"/>
      <c r="U182" s="171" t="n"/>
      <c r="V182" s="171" t="n"/>
      <c r="W182" s="171" t="n"/>
      <c r="X182" s="171" t="n"/>
      <c r="Y182" s="171" t="n"/>
      <c r="Z182" s="171" t="n"/>
      <c r="AA182" s="171" t="n"/>
      <c r="AB182" s="171" t="n"/>
      <c r="AC182" s="171" t="n"/>
      <c r="AD182" s="171" t="n"/>
      <c r="AE182" s="171" t="n"/>
      <c r="AF182" s="171" t="n"/>
      <c r="AG182" s="171" t="n"/>
      <c r="AH182" s="171" t="n"/>
    </row>
    <row r="183">
      <c r="A183" s="171" t="n"/>
      <c r="B183" s="171" t="n"/>
      <c r="C183" s="171" t="n"/>
      <c r="D183" s="171" t="n"/>
      <c r="E183" s="171" t="n"/>
      <c r="F183" s="171" t="n"/>
      <c r="G183" s="171" t="n"/>
      <c r="H183" s="171" t="n"/>
      <c r="I183" s="171" t="n"/>
      <c r="J183" s="171" t="n"/>
      <c r="K183" s="171" t="n"/>
      <c r="L183" s="171" t="n"/>
      <c r="M183" s="171" t="n"/>
      <c r="N183" s="171" t="n"/>
      <c r="O183" s="171" t="n"/>
      <c r="P183" s="171" t="n"/>
      <c r="Q183" s="171" t="n"/>
      <c r="R183" s="171" t="n"/>
      <c r="S183" s="171" t="n"/>
      <c r="T183" s="171" t="n"/>
      <c r="U183" s="171" t="n"/>
      <c r="V183" s="171" t="n"/>
      <c r="W183" s="171" t="n"/>
      <c r="X183" s="171" t="n"/>
      <c r="Y183" s="171" t="n"/>
      <c r="Z183" s="171" t="n"/>
      <c r="AA183" s="171" t="n"/>
      <c r="AB183" s="171" t="n"/>
      <c r="AC183" s="171" t="n"/>
      <c r="AD183" s="171" t="n"/>
      <c r="AE183" s="171" t="n"/>
      <c r="AF183" s="171" t="n"/>
      <c r="AG183" s="171" t="n"/>
      <c r="AH183" s="171" t="n"/>
    </row>
    <row r="184">
      <c r="A184" s="171" t="n"/>
      <c r="B184" s="171" t="n"/>
      <c r="C184" s="171" t="n"/>
      <c r="D184" s="171" t="n"/>
      <c r="E184" s="171" t="n"/>
      <c r="F184" s="171" t="n"/>
      <c r="G184" s="171" t="n"/>
      <c r="H184" s="171" t="n"/>
      <c r="I184" s="171" t="n"/>
      <c r="J184" s="171" t="n"/>
      <c r="K184" s="171" t="n"/>
      <c r="L184" s="171" t="n"/>
      <c r="M184" s="171" t="n"/>
      <c r="N184" s="171" t="n"/>
      <c r="O184" s="171" t="n"/>
      <c r="P184" s="171" t="n"/>
      <c r="Q184" s="171" t="n"/>
      <c r="R184" s="171" t="n"/>
      <c r="S184" s="171" t="n"/>
      <c r="T184" s="171" t="n"/>
      <c r="U184" s="171" t="n"/>
      <c r="V184" s="171" t="n"/>
      <c r="W184" s="171" t="n"/>
      <c r="X184" s="171" t="n"/>
      <c r="Y184" s="171" t="n"/>
      <c r="Z184" s="171" t="n"/>
      <c r="AA184" s="171" t="n"/>
      <c r="AB184" s="171" t="n"/>
      <c r="AC184" s="171" t="n"/>
      <c r="AD184" s="171" t="n"/>
      <c r="AE184" s="171" t="n"/>
      <c r="AF184" s="171" t="n"/>
      <c r="AG184" s="171" t="n"/>
      <c r="AH184" s="171" t="n"/>
    </row>
    <row r="185">
      <c r="A185" s="171" t="n"/>
      <c r="B185" s="171" t="n"/>
      <c r="C185" s="171" t="n"/>
      <c r="D185" s="171" t="n"/>
      <c r="E185" s="171" t="n"/>
      <c r="F185" s="171" t="n"/>
      <c r="G185" s="171" t="n"/>
      <c r="H185" s="171" t="n"/>
      <c r="I185" s="171" t="n"/>
      <c r="J185" s="171" t="n"/>
      <c r="K185" s="171" t="n"/>
      <c r="L185" s="171" t="n"/>
      <c r="M185" s="171" t="n"/>
      <c r="N185" s="171" t="n"/>
      <c r="O185" s="171" t="n"/>
      <c r="P185" s="171" t="n"/>
      <c r="Q185" s="171" t="n"/>
      <c r="R185" s="171" t="n"/>
      <c r="S185" s="171" t="n"/>
      <c r="T185" s="171" t="n"/>
      <c r="U185" s="171" t="n"/>
      <c r="V185" s="171" t="n"/>
      <c r="W185" s="171" t="n"/>
      <c r="X185" s="171" t="n"/>
      <c r="Y185" s="171" t="n"/>
      <c r="Z185" s="171" t="n"/>
      <c r="AA185" s="171" t="n"/>
      <c r="AB185" s="171" t="n"/>
      <c r="AC185" s="171" t="n"/>
      <c r="AD185" s="171" t="n"/>
      <c r="AE185" s="171" t="n"/>
      <c r="AF185" s="171" t="n"/>
      <c r="AG185" s="171" t="n"/>
      <c r="AH185" s="171" t="n"/>
    </row>
    <row r="186">
      <c r="A186" s="171" t="n"/>
      <c r="B186" s="171" t="n"/>
      <c r="C186" s="171" t="n"/>
      <c r="D186" s="171" t="n"/>
      <c r="E186" s="171" t="n"/>
      <c r="F186" s="171" t="n"/>
      <c r="G186" s="171" t="n"/>
      <c r="H186" s="171" t="n"/>
      <c r="I186" s="171" t="n"/>
      <c r="J186" s="171" t="n"/>
      <c r="K186" s="171" t="n"/>
      <c r="L186" s="171" t="n"/>
      <c r="M186" s="171" t="n"/>
      <c r="N186" s="171" t="n"/>
      <c r="O186" s="171" t="n"/>
      <c r="P186" s="171" t="n"/>
      <c r="Q186" s="171" t="n"/>
      <c r="R186" s="171" t="n"/>
      <c r="S186" s="171" t="n"/>
      <c r="T186" s="171" t="n"/>
      <c r="U186" s="171" t="n"/>
      <c r="V186" s="171" t="n"/>
      <c r="W186" s="171" t="n"/>
      <c r="X186" s="171" t="n"/>
      <c r="Y186" s="171" t="n"/>
      <c r="Z186" s="171" t="n"/>
      <c r="AA186" s="171" t="n"/>
      <c r="AB186" s="171" t="n"/>
      <c r="AC186" s="171" t="n"/>
      <c r="AD186" s="171" t="n"/>
      <c r="AE186" s="171" t="n"/>
      <c r="AF186" s="171" t="n"/>
      <c r="AG186" s="171" t="n"/>
      <c r="AH186" s="171" t="n"/>
    </row>
    <row r="187">
      <c r="A187" s="171" t="n"/>
      <c r="B187" s="171" t="n"/>
      <c r="C187" s="171" t="n"/>
      <c r="D187" s="171" t="n"/>
      <c r="E187" s="171" t="n"/>
      <c r="F187" s="171" t="n"/>
      <c r="G187" s="171" t="n"/>
      <c r="H187" s="171" t="n"/>
      <c r="I187" s="171" t="n"/>
      <c r="J187" s="171" t="n"/>
      <c r="K187" s="171" t="n"/>
      <c r="L187" s="171" t="n"/>
      <c r="M187" s="171" t="n"/>
      <c r="N187" s="171" t="n"/>
      <c r="O187" s="171" t="n"/>
      <c r="P187" s="171" t="n"/>
      <c r="Q187" s="171" t="n"/>
      <c r="R187" s="171" t="n"/>
      <c r="S187" s="171" t="n"/>
      <c r="T187" s="171" t="n"/>
      <c r="U187" s="171" t="n"/>
      <c r="V187" s="171" t="n"/>
      <c r="W187" s="171" t="n"/>
      <c r="X187" s="171" t="n"/>
      <c r="Y187" s="171" t="n"/>
      <c r="Z187" s="171" t="n"/>
      <c r="AA187" s="171" t="n"/>
      <c r="AB187" s="171" t="n"/>
      <c r="AC187" s="171" t="n"/>
      <c r="AD187" s="171" t="n"/>
      <c r="AE187" s="171" t="n"/>
      <c r="AF187" s="171" t="n"/>
      <c r="AG187" s="171" t="n"/>
      <c r="AH187" s="171" t="n"/>
    </row>
    <row r="188">
      <c r="A188" s="171" t="n"/>
      <c r="B188" s="171" t="n"/>
      <c r="C188" s="171" t="n"/>
      <c r="D188" s="171" t="n"/>
      <c r="E188" s="171" t="n"/>
      <c r="F188" s="171" t="n"/>
      <c r="G188" s="171" t="n"/>
      <c r="H188" s="171" t="n"/>
      <c r="I188" s="171" t="n"/>
      <c r="J188" s="171" t="n"/>
      <c r="K188" s="171" t="n"/>
      <c r="L188" s="171" t="n"/>
      <c r="M188" s="171" t="n"/>
      <c r="N188" s="171" t="n"/>
      <c r="O188" s="171" t="n"/>
      <c r="P188" s="171" t="n"/>
      <c r="Q188" s="171" t="n"/>
      <c r="R188" s="171" t="n"/>
      <c r="S188" s="171" t="n"/>
      <c r="T188" s="171" t="n"/>
      <c r="U188" s="171" t="n"/>
      <c r="V188" s="171" t="n"/>
      <c r="W188" s="171" t="n"/>
      <c r="X188" s="171" t="n"/>
      <c r="Y188" s="171" t="n"/>
      <c r="Z188" s="171" t="n"/>
      <c r="AA188" s="171" t="n"/>
      <c r="AB188" s="171" t="n"/>
      <c r="AC188" s="171" t="n"/>
      <c r="AD188" s="171" t="n"/>
      <c r="AE188" s="171" t="n"/>
      <c r="AF188" s="171" t="n"/>
      <c r="AG188" s="171" t="n"/>
      <c r="AH188" s="171" t="n"/>
    </row>
    <row r="189">
      <c r="A189" s="171" t="n"/>
      <c r="B189" s="171" t="n"/>
      <c r="C189" s="171" t="n"/>
      <c r="D189" s="171" t="n"/>
      <c r="E189" s="171" t="n"/>
      <c r="F189" s="171" t="n"/>
      <c r="G189" s="171" t="n"/>
      <c r="H189" s="171" t="n"/>
      <c r="I189" s="171" t="n"/>
      <c r="J189" s="171" t="n"/>
      <c r="K189" s="171" t="n"/>
      <c r="L189" s="171" t="n"/>
      <c r="M189" s="171" t="n"/>
      <c r="N189" s="171" t="n"/>
      <c r="O189" s="171" t="n"/>
      <c r="P189" s="171" t="n"/>
      <c r="Q189" s="171" t="n"/>
      <c r="R189" s="171" t="n"/>
      <c r="S189" s="171" t="n"/>
      <c r="T189" s="171" t="n"/>
      <c r="U189" s="171" t="n"/>
      <c r="V189" s="171" t="n"/>
      <c r="W189" s="171" t="n"/>
      <c r="X189" s="171" t="n"/>
      <c r="Y189" s="171" t="n"/>
      <c r="Z189" s="171" t="n"/>
      <c r="AA189" s="171" t="n"/>
      <c r="AB189" s="171" t="n"/>
      <c r="AC189" s="171" t="n"/>
      <c r="AD189" s="171" t="n"/>
      <c r="AE189" s="171" t="n"/>
      <c r="AF189" s="171" t="n"/>
      <c r="AG189" s="171" t="n"/>
      <c r="AH189" s="171" t="n"/>
    </row>
    <row r="190">
      <c r="A190" s="171" t="n"/>
      <c r="B190" s="171" t="n"/>
      <c r="C190" s="171" t="n"/>
      <c r="D190" s="171" t="n"/>
      <c r="E190" s="171" t="n"/>
      <c r="F190" s="171" t="n"/>
      <c r="G190" s="171" t="n"/>
      <c r="H190" s="171" t="n"/>
      <c r="I190" s="171" t="n"/>
      <c r="J190" s="171" t="n"/>
      <c r="K190" s="171" t="n"/>
      <c r="L190" s="171" t="n"/>
      <c r="M190" s="171" t="n"/>
      <c r="N190" s="171" t="n"/>
      <c r="O190" s="171" t="n"/>
      <c r="P190" s="171" t="n"/>
      <c r="Q190" s="171" t="n"/>
      <c r="R190" s="171" t="n"/>
      <c r="S190" s="171" t="n"/>
      <c r="T190" s="171" t="n"/>
      <c r="U190" s="171" t="n"/>
      <c r="V190" s="171" t="n"/>
      <c r="W190" s="171" t="n"/>
      <c r="X190" s="171" t="n"/>
      <c r="Y190" s="171" t="n"/>
      <c r="Z190" s="171" t="n"/>
      <c r="AA190" s="171" t="n"/>
      <c r="AB190" s="171" t="n"/>
      <c r="AC190" s="171" t="n"/>
      <c r="AD190" s="171" t="n"/>
      <c r="AE190" s="171" t="n"/>
      <c r="AF190" s="171" t="n"/>
      <c r="AG190" s="171" t="n"/>
      <c r="AH190" s="171" t="n"/>
    </row>
    <row r="191">
      <c r="A191" s="171" t="n"/>
      <c r="B191" s="171" t="n"/>
      <c r="C191" s="171" t="n"/>
      <c r="D191" s="171" t="n"/>
      <c r="E191" s="171" t="n"/>
      <c r="F191" s="171" t="n"/>
      <c r="G191" s="171" t="n"/>
      <c r="H191" s="171" t="n"/>
      <c r="I191" s="171" t="n"/>
      <c r="J191" s="171" t="n"/>
      <c r="K191" s="171" t="n"/>
      <c r="L191" s="171" t="n"/>
      <c r="M191" s="171" t="n"/>
      <c r="N191" s="171" t="n"/>
      <c r="O191" s="171" t="n"/>
      <c r="P191" s="171" t="n"/>
      <c r="Q191" s="171" t="n"/>
      <c r="R191" s="171" t="n"/>
      <c r="S191" s="171" t="n"/>
      <c r="T191" s="171" t="n"/>
      <c r="U191" s="171" t="n"/>
      <c r="V191" s="171" t="n"/>
      <c r="W191" s="171" t="n"/>
      <c r="X191" s="171" t="n"/>
      <c r="Y191" s="171" t="n"/>
      <c r="Z191" s="171" t="n"/>
      <c r="AA191" s="171" t="n"/>
      <c r="AB191" s="171" t="n"/>
      <c r="AC191" s="171" t="n"/>
      <c r="AD191" s="171" t="n"/>
      <c r="AE191" s="171" t="n"/>
      <c r="AF191" s="171" t="n"/>
      <c r="AG191" s="171" t="n"/>
      <c r="AH191" s="171" t="n"/>
    </row>
    <row r="192">
      <c r="A192" s="171" t="n"/>
      <c r="B192" s="171" t="n"/>
      <c r="C192" s="171" t="n"/>
      <c r="D192" s="171" t="n"/>
      <c r="E192" s="171" t="n"/>
      <c r="F192" s="171" t="n"/>
      <c r="G192" s="171" t="n"/>
      <c r="H192" s="171" t="n"/>
      <c r="I192" s="171" t="n"/>
      <c r="J192" s="171" t="n"/>
      <c r="K192" s="171" t="n"/>
      <c r="L192" s="171" t="n"/>
      <c r="M192" s="171" t="n"/>
      <c r="N192" s="171" t="n"/>
      <c r="O192" s="171" t="n"/>
      <c r="P192" s="171" t="n"/>
      <c r="Q192" s="171" t="n"/>
      <c r="R192" s="171" t="n"/>
      <c r="S192" s="171" t="n"/>
      <c r="T192" s="171" t="n"/>
      <c r="U192" s="171" t="n"/>
      <c r="V192" s="171" t="n"/>
      <c r="W192" s="171" t="n"/>
      <c r="X192" s="171" t="n"/>
      <c r="Y192" s="171" t="n"/>
      <c r="Z192" s="171" t="n"/>
      <c r="AA192" s="171" t="n"/>
      <c r="AB192" s="171" t="n"/>
      <c r="AC192" s="171" t="n"/>
      <c r="AD192" s="171" t="n"/>
      <c r="AE192" s="171" t="n"/>
      <c r="AF192" s="171" t="n"/>
      <c r="AG192" s="171" t="n"/>
      <c r="AH192" s="171" t="n"/>
    </row>
    <row r="193">
      <c r="A193" s="171" t="n"/>
      <c r="B193" s="171" t="n"/>
      <c r="C193" s="171" t="n"/>
      <c r="D193" s="171" t="n"/>
      <c r="E193" s="171" t="n"/>
      <c r="F193" s="171" t="n"/>
      <c r="G193" s="171" t="n"/>
      <c r="H193" s="171" t="n"/>
      <c r="I193" s="171" t="n"/>
      <c r="J193" s="171" t="n"/>
      <c r="K193" s="171" t="n"/>
      <c r="L193" s="171" t="n"/>
      <c r="M193" s="171" t="n"/>
      <c r="N193" s="171" t="n"/>
      <c r="O193" s="171" t="n"/>
      <c r="P193" s="171" t="n"/>
      <c r="Q193" s="171" t="n"/>
      <c r="R193" s="171" t="n"/>
      <c r="S193" s="171" t="n"/>
      <c r="T193" s="171" t="n"/>
      <c r="U193" s="171" t="n"/>
      <c r="V193" s="171" t="n"/>
      <c r="W193" s="171" t="n"/>
      <c r="X193" s="171" t="n"/>
      <c r="Y193" s="171" t="n"/>
      <c r="Z193" s="171" t="n"/>
      <c r="AA193" s="171" t="n"/>
      <c r="AB193" s="171" t="n"/>
      <c r="AC193" s="171" t="n"/>
      <c r="AD193" s="171" t="n"/>
      <c r="AE193" s="171" t="n"/>
      <c r="AF193" s="171" t="n"/>
      <c r="AG193" s="171" t="n"/>
      <c r="AH193" s="171" t="n"/>
    </row>
    <row r="194">
      <c r="A194" s="171" t="n"/>
      <c r="B194" s="171" t="n"/>
      <c r="C194" s="171" t="n"/>
      <c r="D194" s="171" t="n"/>
      <c r="E194" s="171" t="n"/>
      <c r="F194" s="171" t="n"/>
      <c r="G194" s="171" t="n"/>
      <c r="H194" s="171" t="n"/>
      <c r="I194" s="171" t="n"/>
      <c r="J194" s="171" t="n"/>
      <c r="K194" s="171" t="n"/>
      <c r="L194" s="171" t="n"/>
      <c r="M194" s="171" t="n"/>
      <c r="N194" s="171" t="n"/>
      <c r="O194" s="171" t="n"/>
      <c r="P194" s="171" t="n"/>
      <c r="Q194" s="171" t="n"/>
      <c r="R194" s="171" t="n"/>
      <c r="S194" s="171" t="n"/>
      <c r="T194" s="171" t="n"/>
      <c r="U194" s="171" t="n"/>
      <c r="V194" s="171" t="n"/>
      <c r="W194" s="171" t="n"/>
      <c r="X194" s="171" t="n"/>
      <c r="Y194" s="171" t="n"/>
      <c r="Z194" s="171" t="n"/>
      <c r="AA194" s="171" t="n"/>
      <c r="AB194" s="171" t="n"/>
      <c r="AC194" s="171" t="n"/>
      <c r="AD194" s="171" t="n"/>
      <c r="AE194" s="171" t="n"/>
      <c r="AF194" s="171" t="n"/>
      <c r="AG194" s="171" t="n"/>
      <c r="AH194" s="171" t="n"/>
    </row>
    <row r="195">
      <c r="A195" s="171" t="n"/>
      <c r="B195" s="171" t="n"/>
      <c r="C195" s="171" t="n"/>
      <c r="D195" s="171" t="n"/>
      <c r="E195" s="171" t="n"/>
      <c r="F195" s="171" t="n"/>
      <c r="G195" s="171" t="n"/>
      <c r="H195" s="171" t="n"/>
      <c r="I195" s="171" t="n"/>
      <c r="J195" s="171" t="n"/>
      <c r="K195" s="171" t="n"/>
      <c r="L195" s="171" t="n"/>
      <c r="M195" s="171" t="n"/>
      <c r="N195" s="171" t="n"/>
      <c r="O195" s="171" t="n"/>
      <c r="P195" s="171" t="n"/>
      <c r="Q195" s="171" t="n"/>
      <c r="R195" s="171" t="n"/>
      <c r="S195" s="171" t="n"/>
      <c r="T195" s="171" t="n"/>
      <c r="U195" s="171" t="n"/>
      <c r="V195" s="171" t="n"/>
      <c r="W195" s="171" t="n"/>
      <c r="X195" s="171" t="n"/>
      <c r="Y195" s="171" t="n"/>
      <c r="Z195" s="171" t="n"/>
      <c r="AA195" s="171" t="n"/>
      <c r="AB195" s="171" t="n"/>
      <c r="AC195" s="171" t="n"/>
      <c r="AD195" s="171" t="n"/>
      <c r="AE195" s="171" t="n"/>
      <c r="AF195" s="171" t="n"/>
      <c r="AG195" s="171" t="n"/>
      <c r="AH195" s="171" t="n"/>
    </row>
    <row r="196">
      <c r="A196" s="171" t="n"/>
      <c r="B196" s="171" t="n"/>
      <c r="C196" s="171" t="n"/>
      <c r="D196" s="171" t="n"/>
      <c r="E196" s="171" t="n"/>
      <c r="F196" s="171" t="n"/>
      <c r="G196" s="171" t="n"/>
      <c r="H196" s="171" t="n"/>
      <c r="I196" s="171" t="n"/>
      <c r="J196" s="171" t="n"/>
      <c r="K196" s="171" t="n"/>
      <c r="L196" s="171" t="n"/>
      <c r="M196" s="171" t="n"/>
      <c r="N196" s="171" t="n"/>
      <c r="O196" s="171" t="n"/>
      <c r="P196" s="171" t="n"/>
      <c r="Q196" s="171" t="n"/>
      <c r="R196" s="171" t="n"/>
      <c r="S196" s="171" t="n"/>
      <c r="T196" s="171" t="n"/>
      <c r="U196" s="171" t="n"/>
      <c r="V196" s="171" t="n"/>
      <c r="W196" s="171" t="n"/>
      <c r="X196" s="171" t="n"/>
      <c r="Y196" s="171" t="n"/>
      <c r="Z196" s="171" t="n"/>
      <c r="AA196" s="171" t="n"/>
      <c r="AB196" s="171" t="n"/>
      <c r="AC196" s="171" t="n"/>
      <c r="AD196" s="171" t="n"/>
      <c r="AE196" s="171" t="n"/>
      <c r="AF196" s="171" t="n"/>
      <c r="AG196" s="171" t="n"/>
      <c r="AH196" s="171" t="n"/>
    </row>
    <row r="197">
      <c r="A197" s="171" t="n"/>
      <c r="B197" s="171" t="n"/>
      <c r="C197" s="171" t="n"/>
      <c r="D197" s="171" t="n"/>
      <c r="E197" s="171" t="n"/>
      <c r="F197" s="171" t="n"/>
      <c r="G197" s="171" t="n"/>
      <c r="H197" s="171" t="n"/>
      <c r="I197" s="171" t="n"/>
      <c r="J197" s="171" t="n"/>
      <c r="K197" s="171" t="n"/>
      <c r="L197" s="171" t="n"/>
      <c r="M197" s="171" t="n"/>
      <c r="N197" s="171" t="n"/>
      <c r="O197" s="171" t="n"/>
      <c r="P197" s="171" t="n"/>
      <c r="Q197" s="171" t="n"/>
      <c r="R197" s="171" t="n"/>
      <c r="S197" s="171" t="n"/>
      <c r="T197" s="171" t="n"/>
      <c r="U197" s="171" t="n"/>
      <c r="V197" s="171" t="n"/>
      <c r="W197" s="171" t="n"/>
      <c r="X197" s="171" t="n"/>
      <c r="Y197" s="171" t="n"/>
      <c r="Z197" s="171" t="n"/>
      <c r="AA197" s="171" t="n"/>
      <c r="AB197" s="171" t="n"/>
      <c r="AC197" s="171" t="n"/>
      <c r="AD197" s="171" t="n"/>
      <c r="AE197" s="171" t="n"/>
      <c r="AF197" s="171" t="n"/>
      <c r="AG197" s="171" t="n"/>
      <c r="AH197" s="171" t="n"/>
    </row>
    <row r="198">
      <c r="A198" s="171" t="n"/>
      <c r="B198" s="171" t="n"/>
      <c r="C198" s="171" t="n"/>
      <c r="D198" s="171" t="n"/>
      <c r="E198" s="171" t="n"/>
      <c r="F198" s="171" t="n"/>
      <c r="G198" s="171" t="n"/>
      <c r="H198" s="171" t="n"/>
      <c r="I198" s="171" t="n"/>
      <c r="J198" s="171" t="n"/>
      <c r="K198" s="171" t="n"/>
      <c r="L198" s="171" t="n"/>
      <c r="M198" s="171" t="n"/>
      <c r="N198" s="171" t="n"/>
      <c r="O198" s="171" t="n"/>
      <c r="P198" s="171" t="n"/>
      <c r="Q198" s="171" t="n"/>
      <c r="R198" s="171" t="n"/>
      <c r="S198" s="171" t="n"/>
      <c r="T198" s="171" t="n"/>
      <c r="U198" s="171" t="n"/>
      <c r="V198" s="171" t="n"/>
      <c r="W198" s="171" t="n"/>
      <c r="X198" s="171" t="n"/>
      <c r="Y198" s="171" t="n"/>
      <c r="Z198" s="171" t="n"/>
      <c r="AA198" s="171" t="n"/>
      <c r="AB198" s="171" t="n"/>
      <c r="AC198" s="171" t="n"/>
      <c r="AD198" s="171" t="n"/>
      <c r="AE198" s="171" t="n"/>
      <c r="AF198" s="171" t="n"/>
      <c r="AG198" s="171" t="n"/>
      <c r="AH198" s="171" t="n"/>
    </row>
    <row r="199">
      <c r="A199" s="171" t="n"/>
      <c r="B199" s="171" t="n"/>
      <c r="C199" s="171" t="n"/>
      <c r="D199" s="171" t="n"/>
      <c r="E199" s="171" t="n"/>
      <c r="F199" s="171" t="n"/>
      <c r="G199" s="171" t="n"/>
      <c r="H199" s="171" t="n"/>
      <c r="I199" s="171" t="n"/>
      <c r="J199" s="171" t="n"/>
      <c r="K199" s="171" t="n"/>
      <c r="L199" s="171" t="n"/>
      <c r="M199" s="171" t="n"/>
      <c r="N199" s="171" t="n"/>
      <c r="O199" s="171" t="n"/>
      <c r="P199" s="171" t="n"/>
      <c r="Q199" s="171" t="n"/>
      <c r="R199" s="171" t="n"/>
      <c r="S199" s="171" t="n"/>
      <c r="T199" s="171" t="n"/>
      <c r="U199" s="171" t="n"/>
      <c r="V199" s="171" t="n"/>
      <c r="W199" s="171" t="n"/>
      <c r="X199" s="171" t="n"/>
      <c r="Y199" s="171" t="n"/>
      <c r="Z199" s="171" t="n"/>
      <c r="AA199" s="171" t="n"/>
      <c r="AB199" s="171" t="n"/>
      <c r="AC199" s="171" t="n"/>
      <c r="AD199" s="171" t="n"/>
      <c r="AE199" s="171" t="n"/>
      <c r="AF199" s="171" t="n"/>
      <c r="AG199" s="171" t="n"/>
      <c r="AH199" s="171" t="n"/>
    </row>
    <row r="200">
      <c r="A200" s="171" t="n"/>
      <c r="B200" s="171" t="n"/>
      <c r="C200" s="171" t="n"/>
      <c r="D200" s="171" t="n"/>
      <c r="E200" s="171" t="n"/>
      <c r="F200" s="171" t="n"/>
      <c r="G200" s="171" t="n"/>
      <c r="H200" s="171" t="n"/>
      <c r="I200" s="171" t="n"/>
      <c r="J200" s="171" t="n"/>
      <c r="K200" s="171" t="n"/>
      <c r="L200" s="171" t="n"/>
      <c r="M200" s="171" t="n"/>
      <c r="N200" s="171" t="n"/>
      <c r="O200" s="171" t="n"/>
      <c r="P200" s="171" t="n"/>
      <c r="Q200" s="171" t="n"/>
      <c r="R200" s="171" t="n"/>
      <c r="S200" s="171" t="n"/>
      <c r="T200" s="171" t="n"/>
      <c r="U200" s="171" t="n"/>
      <c r="V200" s="171" t="n"/>
      <c r="W200" s="171" t="n"/>
      <c r="X200" s="171" t="n"/>
      <c r="Y200" s="171" t="n"/>
      <c r="Z200" s="171" t="n"/>
      <c r="AA200" s="171" t="n"/>
      <c r="AB200" s="171" t="n"/>
      <c r="AC200" s="171" t="n"/>
      <c r="AD200" s="171" t="n"/>
      <c r="AE200" s="171" t="n"/>
      <c r="AF200" s="171" t="n"/>
      <c r="AG200" s="171" t="n"/>
      <c r="AH200" s="171" t="n"/>
    </row>
    <row r="201">
      <c r="A201" s="171" t="n"/>
      <c r="B201" s="171" t="n"/>
      <c r="C201" s="171" t="n"/>
      <c r="D201" s="171" t="n"/>
      <c r="E201" s="171" t="n"/>
      <c r="F201" s="171" t="n"/>
      <c r="G201" s="171" t="n"/>
      <c r="H201" s="171" t="n"/>
      <c r="I201" s="171" t="n"/>
      <c r="J201" s="171" t="n"/>
      <c r="K201" s="171" t="n"/>
      <c r="L201" s="171" t="n"/>
      <c r="M201" s="171" t="n"/>
      <c r="N201" s="171" t="n"/>
      <c r="O201" s="171" t="n"/>
      <c r="P201" s="171" t="n"/>
      <c r="Q201" s="171" t="n"/>
      <c r="R201" s="171" t="n"/>
      <c r="S201" s="171" t="n"/>
      <c r="T201" s="171" t="n"/>
      <c r="U201" s="171" t="n"/>
      <c r="V201" s="171" t="n"/>
      <c r="W201" s="171" t="n"/>
      <c r="X201" s="171" t="n"/>
      <c r="Y201" s="171" t="n"/>
      <c r="Z201" s="171" t="n"/>
      <c r="AA201" s="171" t="n"/>
      <c r="AB201" s="171" t="n"/>
      <c r="AC201" s="171" t="n"/>
      <c r="AD201" s="171" t="n"/>
      <c r="AE201" s="171" t="n"/>
      <c r="AF201" s="171" t="n"/>
      <c r="AG201" s="171" t="n"/>
      <c r="AH201" s="171" t="n"/>
    </row>
    <row r="202">
      <c r="A202" s="171" t="n"/>
      <c r="B202" s="171" t="n"/>
      <c r="C202" s="171" t="n"/>
      <c r="D202" s="171" t="n"/>
      <c r="E202" s="171" t="n"/>
      <c r="F202" s="171" t="n"/>
      <c r="G202" s="171" t="n"/>
      <c r="H202" s="171" t="n"/>
      <c r="I202" s="171" t="n"/>
      <c r="J202" s="171" t="n"/>
      <c r="K202" s="171" t="n"/>
      <c r="L202" s="171" t="n"/>
      <c r="M202" s="171" t="n"/>
      <c r="N202" s="171" t="n"/>
      <c r="O202" s="171" t="n"/>
      <c r="P202" s="171" t="n"/>
      <c r="Q202" s="171" t="n"/>
      <c r="R202" s="171" t="n"/>
      <c r="S202" s="171" t="n"/>
      <c r="T202" s="171" t="n"/>
      <c r="U202" s="171" t="n"/>
      <c r="V202" s="171" t="n"/>
      <c r="W202" s="171" t="n"/>
      <c r="X202" s="171" t="n"/>
      <c r="Y202" s="171" t="n"/>
      <c r="Z202" s="171" t="n"/>
      <c r="AA202" s="171" t="n"/>
      <c r="AB202" s="171" t="n"/>
      <c r="AC202" s="171" t="n"/>
      <c r="AD202" s="171" t="n"/>
      <c r="AE202" s="171" t="n"/>
      <c r="AF202" s="171" t="n"/>
      <c r="AG202" s="171" t="n"/>
      <c r="AH202" s="171" t="n"/>
    </row>
    <row r="203">
      <c r="A203" s="171" t="n"/>
      <c r="B203" s="171" t="n"/>
      <c r="C203" s="171" t="n"/>
      <c r="D203" s="171" t="n"/>
      <c r="E203" s="171" t="n"/>
      <c r="F203" s="171" t="n"/>
      <c r="G203" s="171" t="n"/>
      <c r="H203" s="171" t="n"/>
      <c r="I203" s="171" t="n"/>
      <c r="J203" s="171" t="n"/>
      <c r="K203" s="171" t="n"/>
      <c r="L203" s="171" t="n"/>
      <c r="M203" s="171" t="n"/>
      <c r="N203" s="171" t="n"/>
      <c r="O203" s="171" t="n"/>
      <c r="P203" s="171" t="n"/>
      <c r="Q203" s="171" t="n"/>
      <c r="R203" s="171" t="n"/>
      <c r="S203" s="171" t="n"/>
      <c r="T203" s="171" t="n"/>
      <c r="U203" s="171" t="n"/>
      <c r="V203" s="171" t="n"/>
      <c r="W203" s="171" t="n"/>
      <c r="X203" s="171" t="n"/>
      <c r="Y203" s="171" t="n"/>
      <c r="Z203" s="171" t="n"/>
      <c r="AA203" s="171" t="n"/>
      <c r="AB203" s="171" t="n"/>
      <c r="AC203" s="171" t="n"/>
      <c r="AD203" s="171" t="n"/>
      <c r="AE203" s="171" t="n"/>
      <c r="AF203" s="171" t="n"/>
      <c r="AG203" s="171" t="n"/>
      <c r="AH203" s="171" t="n"/>
    </row>
    <row r="204">
      <c r="A204" s="171" t="n"/>
      <c r="B204" s="171" t="n"/>
      <c r="C204" s="171" t="n"/>
      <c r="D204" s="171" t="n"/>
      <c r="E204" s="171" t="n"/>
      <c r="F204" s="171" t="n"/>
      <c r="G204" s="171" t="n"/>
      <c r="H204" s="171" t="n"/>
      <c r="I204" s="171" t="n"/>
      <c r="J204" s="171" t="n"/>
      <c r="K204" s="171" t="n"/>
      <c r="L204" s="171" t="n"/>
      <c r="M204" s="171" t="n"/>
      <c r="N204" s="171" t="n"/>
      <c r="O204" s="171" t="n"/>
      <c r="P204" s="171" t="n"/>
      <c r="Q204" s="171" t="n"/>
      <c r="R204" s="171" t="n"/>
      <c r="S204" s="171" t="n"/>
      <c r="T204" s="171" t="n"/>
      <c r="U204" s="171" t="n"/>
      <c r="V204" s="171" t="n"/>
      <c r="W204" s="171" t="n"/>
      <c r="X204" s="171" t="n"/>
      <c r="Y204" s="171" t="n"/>
      <c r="Z204" s="171" t="n"/>
      <c r="AA204" s="171" t="n"/>
      <c r="AB204" s="171" t="n"/>
      <c r="AC204" s="171" t="n"/>
      <c r="AD204" s="171" t="n"/>
      <c r="AE204" s="171" t="n"/>
      <c r="AF204" s="171" t="n"/>
      <c r="AG204" s="171" t="n"/>
      <c r="AH204" s="171" t="n"/>
    </row>
    <row r="205">
      <c r="A205" s="171" t="n"/>
      <c r="B205" s="171" t="n"/>
      <c r="C205" s="171" t="n"/>
      <c r="D205" s="171" t="n"/>
      <c r="E205" s="171" t="n"/>
      <c r="F205" s="171" t="n"/>
      <c r="G205" s="171" t="n"/>
      <c r="H205" s="171" t="n"/>
      <c r="I205" s="171" t="n"/>
      <c r="J205" s="171" t="n"/>
      <c r="K205" s="171" t="n"/>
      <c r="L205" s="171" t="n"/>
      <c r="M205" s="171" t="n"/>
      <c r="N205" s="171" t="n"/>
      <c r="O205" s="171" t="n"/>
      <c r="P205" s="171" t="n"/>
      <c r="Q205" s="171" t="n"/>
      <c r="R205" s="171" t="n"/>
      <c r="S205" s="171" t="n"/>
      <c r="T205" s="171" t="n"/>
      <c r="U205" s="171" t="n"/>
      <c r="V205" s="171" t="n"/>
      <c r="W205" s="171" t="n"/>
      <c r="X205" s="171" t="n"/>
      <c r="Y205" s="171" t="n"/>
      <c r="Z205" s="171" t="n"/>
      <c r="AA205" s="171" t="n"/>
      <c r="AB205" s="171" t="n"/>
      <c r="AC205" s="171" t="n"/>
      <c r="AD205" s="171" t="n"/>
      <c r="AE205" s="171" t="n"/>
      <c r="AF205" s="171" t="n"/>
      <c r="AG205" s="171" t="n"/>
      <c r="AH205" s="171" t="n"/>
    </row>
    <row r="206">
      <c r="A206" s="171" t="n"/>
      <c r="B206" s="171" t="n"/>
      <c r="C206" s="171" t="n"/>
      <c r="D206" s="171" t="n"/>
      <c r="E206" s="171" t="n"/>
      <c r="F206" s="171" t="n"/>
      <c r="G206" s="171" t="n"/>
      <c r="H206" s="171" t="n"/>
      <c r="I206" s="171" t="n"/>
      <c r="J206" s="171" t="n"/>
      <c r="K206" s="171" t="n"/>
      <c r="L206" s="171" t="n"/>
      <c r="M206" s="171" t="n"/>
      <c r="N206" s="171" t="n"/>
      <c r="O206" s="171" t="n"/>
      <c r="P206" s="171" t="n"/>
      <c r="Q206" s="171" t="n"/>
      <c r="R206" s="171" t="n"/>
      <c r="S206" s="171" t="n"/>
      <c r="T206" s="171" t="n"/>
      <c r="U206" s="171" t="n"/>
      <c r="V206" s="171" t="n"/>
      <c r="W206" s="171" t="n"/>
      <c r="X206" s="171" t="n"/>
      <c r="Y206" s="171" t="n"/>
      <c r="Z206" s="171" t="n"/>
      <c r="AA206" s="171" t="n"/>
      <c r="AB206" s="171" t="n"/>
      <c r="AC206" s="171" t="n"/>
      <c r="AD206" s="171" t="n"/>
      <c r="AE206" s="171" t="n"/>
      <c r="AF206" s="171" t="n"/>
      <c r="AG206" s="171" t="n"/>
      <c r="AH206" s="171" t="n"/>
    </row>
    <row r="207">
      <c r="A207" s="171" t="n"/>
      <c r="B207" s="171" t="n"/>
      <c r="C207" s="171" t="n"/>
      <c r="D207" s="171" t="n"/>
      <c r="E207" s="171" t="n"/>
      <c r="F207" s="171" t="n"/>
      <c r="G207" s="171" t="n"/>
      <c r="H207" s="171" t="n"/>
      <c r="I207" s="171" t="n"/>
      <c r="J207" s="171" t="n"/>
      <c r="K207" s="171" t="n"/>
      <c r="L207" s="171" t="n"/>
      <c r="M207" s="171" t="n"/>
      <c r="N207" s="171" t="n"/>
      <c r="O207" s="171" t="n"/>
      <c r="P207" s="171" t="n"/>
      <c r="Q207" s="171" t="n"/>
      <c r="R207" s="171" t="n"/>
      <c r="S207" s="171" t="n"/>
      <c r="T207" s="171" t="n"/>
      <c r="U207" s="171" t="n"/>
      <c r="V207" s="171" t="n"/>
      <c r="W207" s="171" t="n"/>
      <c r="X207" s="171" t="n"/>
      <c r="Y207" s="171" t="n"/>
      <c r="Z207" s="171" t="n"/>
      <c r="AA207" s="171" t="n"/>
      <c r="AB207" s="171" t="n"/>
      <c r="AC207" s="171" t="n"/>
      <c r="AD207" s="171" t="n"/>
      <c r="AE207" s="171" t="n"/>
      <c r="AF207" s="171" t="n"/>
      <c r="AG207" s="171" t="n"/>
      <c r="AH207" s="171" t="n"/>
    </row>
    <row r="208">
      <c r="A208" s="171" t="n"/>
      <c r="B208" s="171" t="n"/>
      <c r="C208" s="171" t="n"/>
      <c r="D208" s="171" t="n"/>
      <c r="E208" s="171" t="n"/>
      <c r="F208" s="171" t="n"/>
      <c r="G208" s="171" t="n"/>
      <c r="H208" s="171" t="n"/>
      <c r="I208" s="171" t="n"/>
      <c r="J208" s="171" t="n"/>
      <c r="K208" s="171" t="n"/>
      <c r="L208" s="171" t="n"/>
      <c r="M208" s="171" t="n"/>
      <c r="N208" s="171" t="n"/>
      <c r="O208" s="171" t="n"/>
      <c r="P208" s="171" t="n"/>
      <c r="Q208" s="171" t="n"/>
      <c r="R208" s="171" t="n"/>
      <c r="S208" s="171" t="n"/>
      <c r="T208" s="171" t="n"/>
      <c r="U208" s="171" t="n"/>
      <c r="V208" s="171" t="n"/>
      <c r="W208" s="171" t="n"/>
      <c r="X208" s="171" t="n"/>
      <c r="Y208" s="171" t="n"/>
      <c r="Z208" s="171" t="n"/>
      <c r="AA208" s="171" t="n"/>
      <c r="AB208" s="171" t="n"/>
      <c r="AC208" s="171" t="n"/>
      <c r="AD208" s="171" t="n"/>
      <c r="AE208" s="171" t="n"/>
      <c r="AF208" s="171" t="n"/>
      <c r="AG208" s="171" t="n"/>
      <c r="AH208" s="171" t="n"/>
    </row>
    <row r="209">
      <c r="A209" s="171" t="n"/>
      <c r="B209" s="171" t="n"/>
      <c r="C209" s="171" t="n"/>
      <c r="D209" s="171" t="n"/>
      <c r="E209" s="171" t="n"/>
      <c r="F209" s="171" t="n"/>
      <c r="G209" s="171" t="n"/>
      <c r="H209" s="171" t="n"/>
      <c r="I209" s="171" t="n"/>
      <c r="J209" s="171" t="n"/>
      <c r="K209" s="171" t="n"/>
      <c r="L209" s="171" t="n"/>
      <c r="M209" s="171" t="n"/>
      <c r="N209" s="171" t="n"/>
      <c r="O209" s="171" t="n"/>
      <c r="P209" s="171" t="n"/>
      <c r="Q209" s="171" t="n"/>
      <c r="R209" s="171" t="n"/>
      <c r="S209" s="171" t="n"/>
      <c r="T209" s="171" t="n"/>
      <c r="U209" s="171" t="n"/>
      <c r="V209" s="171" t="n"/>
      <c r="W209" s="171" t="n"/>
      <c r="X209" s="171" t="n"/>
      <c r="Y209" s="171" t="n"/>
      <c r="Z209" s="171" t="n"/>
      <c r="AA209" s="171" t="n"/>
      <c r="AB209" s="171" t="n"/>
      <c r="AC209" s="171" t="n"/>
      <c r="AD209" s="171" t="n"/>
      <c r="AE209" s="171" t="n"/>
      <c r="AF209" s="171" t="n"/>
      <c r="AG209" s="171" t="n"/>
      <c r="AH209" s="171" t="n"/>
    </row>
    <row r="210">
      <c r="A210" s="171" t="n"/>
      <c r="B210" s="171" t="n"/>
      <c r="C210" s="171" t="n"/>
      <c r="D210" s="171" t="n"/>
      <c r="E210" s="171" t="n"/>
      <c r="F210" s="171" t="n"/>
      <c r="G210" s="171" t="n"/>
      <c r="H210" s="171" t="n"/>
      <c r="I210" s="171" t="n"/>
      <c r="J210" s="171" t="n"/>
      <c r="K210" s="171" t="n"/>
      <c r="L210" s="171" t="n"/>
      <c r="M210" s="171" t="n"/>
      <c r="N210" s="171" t="n"/>
      <c r="O210" s="171" t="n"/>
      <c r="P210" s="171" t="n"/>
      <c r="Q210" s="171" t="n"/>
      <c r="R210" s="171" t="n"/>
      <c r="S210" s="171" t="n"/>
      <c r="T210" s="171" t="n"/>
      <c r="U210" s="171" t="n"/>
      <c r="V210" s="171" t="n"/>
      <c r="W210" s="171" t="n"/>
      <c r="X210" s="171" t="n"/>
      <c r="Y210" s="171" t="n"/>
      <c r="Z210" s="171" t="n"/>
      <c r="AA210" s="171" t="n"/>
      <c r="AB210" s="171" t="n"/>
      <c r="AC210" s="171" t="n"/>
      <c r="AD210" s="171" t="n"/>
      <c r="AE210" s="171" t="n"/>
      <c r="AF210" s="171" t="n"/>
      <c r="AG210" s="171" t="n"/>
      <c r="AH210" s="171" t="n"/>
    </row>
    <row r="211">
      <c r="A211" s="171" t="n"/>
      <c r="B211" s="171" t="n"/>
      <c r="C211" s="171" t="n"/>
      <c r="D211" s="171" t="n"/>
      <c r="E211" s="171" t="n"/>
      <c r="F211" s="171" t="n"/>
      <c r="G211" s="171" t="n"/>
      <c r="H211" s="171" t="n"/>
      <c r="I211" s="171" t="n"/>
      <c r="J211" s="171" t="n"/>
      <c r="K211" s="171" t="n"/>
      <c r="L211" s="171" t="n"/>
      <c r="M211" s="171" t="n"/>
      <c r="N211" s="171" t="n"/>
      <c r="O211" s="171" t="n"/>
      <c r="P211" s="171" t="n"/>
      <c r="Q211" s="171" t="n"/>
      <c r="R211" s="171" t="n"/>
      <c r="S211" s="171" t="n"/>
      <c r="T211" s="171" t="n"/>
      <c r="U211" s="171" t="n"/>
      <c r="V211" s="171" t="n"/>
      <c r="W211" s="171" t="n"/>
      <c r="X211" s="171" t="n"/>
      <c r="Y211" s="171" t="n"/>
      <c r="Z211" s="171" t="n"/>
      <c r="AA211" s="171" t="n"/>
      <c r="AB211" s="171" t="n"/>
      <c r="AC211" s="171" t="n"/>
      <c r="AD211" s="171" t="n"/>
      <c r="AE211" s="171" t="n"/>
      <c r="AF211" s="171" t="n"/>
      <c r="AG211" s="171" t="n"/>
      <c r="AH211" s="171" t="n"/>
    </row>
    <row r="212">
      <c r="A212" s="171" t="n"/>
      <c r="B212" s="171" t="n"/>
      <c r="C212" s="171" t="n"/>
      <c r="D212" s="171" t="n"/>
      <c r="E212" s="171" t="n"/>
      <c r="F212" s="171" t="n"/>
      <c r="G212" s="171" t="n"/>
      <c r="H212" s="171" t="n"/>
      <c r="I212" s="171" t="n"/>
      <c r="J212" s="171" t="n"/>
      <c r="K212" s="171" t="n"/>
      <c r="L212" s="171" t="n"/>
      <c r="M212" s="171" t="n"/>
      <c r="N212" s="171" t="n"/>
      <c r="O212" s="171" t="n"/>
      <c r="P212" s="171" t="n"/>
      <c r="Q212" s="171" t="n"/>
      <c r="R212" s="171" t="n"/>
      <c r="S212" s="171" t="n"/>
      <c r="T212" s="171" t="n"/>
      <c r="U212" s="171" t="n"/>
      <c r="V212" s="171" t="n"/>
      <c r="W212" s="171" t="n"/>
      <c r="X212" s="171" t="n"/>
      <c r="Y212" s="171" t="n"/>
      <c r="Z212" s="171" t="n"/>
      <c r="AA212" s="171" t="n"/>
      <c r="AB212" s="171" t="n"/>
      <c r="AC212" s="171" t="n"/>
      <c r="AD212" s="171" t="n"/>
      <c r="AE212" s="171" t="n"/>
      <c r="AF212" s="171" t="n"/>
      <c r="AG212" s="171" t="n"/>
      <c r="AH212" s="171" t="n"/>
    </row>
    <row r="213">
      <c r="A213" s="171" t="n"/>
      <c r="B213" s="171" t="n"/>
      <c r="C213" s="171" t="n"/>
      <c r="D213" s="171" t="n"/>
      <c r="E213" s="171" t="n"/>
      <c r="F213" s="171" t="n"/>
      <c r="G213" s="171" t="n"/>
      <c r="H213" s="171" t="n"/>
      <c r="I213" s="171" t="n"/>
      <c r="J213" s="171" t="n"/>
      <c r="K213" s="171" t="n"/>
      <c r="L213" s="171" t="n"/>
      <c r="M213" s="171" t="n"/>
      <c r="N213" s="171" t="n"/>
      <c r="O213" s="171" t="n"/>
      <c r="P213" s="171" t="n"/>
      <c r="Q213" s="171" t="n"/>
      <c r="R213" s="171" t="n"/>
      <c r="S213" s="171" t="n"/>
      <c r="T213" s="171" t="n"/>
      <c r="U213" s="171" t="n"/>
      <c r="V213" s="171" t="n"/>
      <c r="W213" s="171" t="n"/>
      <c r="X213" s="171" t="n"/>
      <c r="Y213" s="171" t="n"/>
      <c r="Z213" s="171" t="n"/>
      <c r="AA213" s="171" t="n"/>
      <c r="AB213" s="171" t="n"/>
      <c r="AC213" s="171" t="n"/>
      <c r="AD213" s="171" t="n"/>
      <c r="AE213" s="171" t="n"/>
      <c r="AF213" s="171" t="n"/>
      <c r="AG213" s="171" t="n"/>
      <c r="AH213" s="171" t="n"/>
    </row>
    <row r="214">
      <c r="A214" s="171" t="n"/>
      <c r="B214" s="171" t="n"/>
      <c r="C214" s="171" t="n"/>
      <c r="D214" s="171" t="n"/>
      <c r="E214" s="171" t="n"/>
      <c r="F214" s="171" t="n"/>
      <c r="G214" s="171" t="n"/>
      <c r="H214" s="171" t="n"/>
      <c r="I214" s="171" t="n"/>
      <c r="J214" s="171" t="n"/>
      <c r="K214" s="171" t="n"/>
      <c r="L214" s="171" t="n"/>
      <c r="M214" s="171" t="n"/>
      <c r="N214" s="171" t="n"/>
      <c r="O214" s="171" t="n"/>
      <c r="P214" s="171" t="n"/>
      <c r="Q214" s="171" t="n"/>
      <c r="R214" s="171" t="n"/>
      <c r="S214" s="171" t="n"/>
      <c r="T214" s="171" t="n"/>
      <c r="U214" s="171" t="n"/>
      <c r="V214" s="171" t="n"/>
      <c r="W214" s="171" t="n"/>
      <c r="X214" s="171" t="n"/>
      <c r="Y214" s="171" t="n"/>
      <c r="Z214" s="171" t="n"/>
      <c r="AA214" s="171" t="n"/>
      <c r="AB214" s="171" t="n"/>
      <c r="AC214" s="171" t="n"/>
      <c r="AD214" s="171" t="n"/>
      <c r="AE214" s="171" t="n"/>
      <c r="AF214" s="171" t="n"/>
      <c r="AG214" s="171" t="n"/>
      <c r="AH214" s="171" t="n"/>
    </row>
    <row r="215">
      <c r="A215" s="171" t="n"/>
      <c r="B215" s="171" t="n"/>
      <c r="C215" s="171" t="n"/>
      <c r="D215" s="171" t="n"/>
      <c r="E215" s="171" t="n"/>
      <c r="F215" s="171" t="n"/>
      <c r="G215" s="171" t="n"/>
      <c r="H215" s="171" t="n"/>
      <c r="I215" s="171" t="n"/>
      <c r="J215" s="171" t="n"/>
      <c r="K215" s="171" t="n"/>
      <c r="L215" s="171" t="n"/>
      <c r="M215" s="171" t="n"/>
      <c r="N215" s="171" t="n"/>
      <c r="O215" s="171" t="n"/>
      <c r="P215" s="171" t="n"/>
      <c r="Q215" s="171" t="n"/>
      <c r="R215" s="171" t="n"/>
      <c r="S215" s="171" t="n"/>
      <c r="T215" s="171" t="n"/>
      <c r="U215" s="171" t="n"/>
      <c r="V215" s="171" t="n"/>
      <c r="W215" s="171" t="n"/>
      <c r="X215" s="171" t="n"/>
      <c r="Y215" s="171" t="n"/>
      <c r="Z215" s="171" t="n"/>
      <c r="AA215" s="171" t="n"/>
      <c r="AB215" s="171" t="n"/>
      <c r="AC215" s="171" t="n"/>
      <c r="AD215" s="171" t="n"/>
      <c r="AE215" s="171" t="n"/>
      <c r="AF215" s="171" t="n"/>
      <c r="AG215" s="171" t="n"/>
      <c r="AH215" s="171" t="n"/>
    </row>
    <row r="216">
      <c r="A216" s="171" t="n"/>
      <c r="B216" s="171" t="n"/>
      <c r="C216" s="171" t="n"/>
      <c r="D216" s="171" t="n"/>
      <c r="E216" s="171" t="n"/>
      <c r="F216" s="171" t="n"/>
      <c r="G216" s="171" t="n"/>
      <c r="H216" s="171" t="n"/>
      <c r="I216" s="171" t="n"/>
      <c r="J216" s="171" t="n"/>
      <c r="K216" s="171" t="n"/>
      <c r="L216" s="171" t="n"/>
      <c r="M216" s="171" t="n"/>
      <c r="N216" s="171" t="n"/>
      <c r="O216" s="171" t="n"/>
      <c r="P216" s="171" t="n"/>
      <c r="Q216" s="171" t="n"/>
      <c r="R216" s="171" t="n"/>
      <c r="S216" s="171" t="n"/>
      <c r="T216" s="171" t="n"/>
      <c r="U216" s="171" t="n"/>
      <c r="V216" s="171" t="n"/>
      <c r="W216" s="171" t="n"/>
      <c r="X216" s="171" t="n"/>
      <c r="Y216" s="171" t="n"/>
      <c r="Z216" s="171" t="n"/>
      <c r="AA216" s="171" t="n"/>
      <c r="AB216" s="171" t="n"/>
      <c r="AC216" s="171" t="n"/>
      <c r="AD216" s="171" t="n"/>
      <c r="AE216" s="171" t="n"/>
      <c r="AF216" s="171" t="n"/>
      <c r="AG216" s="171" t="n"/>
      <c r="AH216" s="171" t="n"/>
    </row>
    <row r="217">
      <c r="A217" s="171" t="n"/>
      <c r="B217" s="171" t="n"/>
      <c r="C217" s="171" t="n"/>
      <c r="D217" s="171" t="n"/>
      <c r="E217" s="171" t="n"/>
      <c r="F217" s="171" t="n"/>
      <c r="G217" s="171" t="n"/>
      <c r="H217" s="171" t="n"/>
      <c r="I217" s="171" t="n"/>
      <c r="J217" s="171" t="n"/>
      <c r="K217" s="171" t="n"/>
      <c r="L217" s="171" t="n"/>
      <c r="M217" s="171" t="n"/>
      <c r="N217" s="171" t="n"/>
      <c r="O217" s="171" t="n"/>
      <c r="P217" s="171" t="n"/>
      <c r="Q217" s="171" t="n"/>
      <c r="R217" s="171" t="n"/>
      <c r="S217" s="171" t="n"/>
      <c r="T217" s="171" t="n"/>
      <c r="U217" s="171" t="n"/>
      <c r="V217" s="171" t="n"/>
      <c r="W217" s="171" t="n"/>
      <c r="X217" s="171" t="n"/>
      <c r="Y217" s="171" t="n"/>
      <c r="Z217" s="171" t="n"/>
      <c r="AA217" s="171" t="n"/>
      <c r="AB217" s="171" t="n"/>
      <c r="AC217" s="171" t="n"/>
      <c r="AD217" s="171" t="n"/>
      <c r="AE217" s="171" t="n"/>
      <c r="AF217" s="171" t="n"/>
      <c r="AG217" s="171" t="n"/>
      <c r="AH217" s="171" t="n"/>
    </row>
    <row r="218">
      <c r="A218" s="171" t="n"/>
      <c r="B218" s="171" t="n"/>
      <c r="C218" s="171" t="n"/>
      <c r="D218" s="171" t="n"/>
      <c r="E218" s="171" t="n"/>
      <c r="F218" s="171" t="n"/>
      <c r="G218" s="171" t="n"/>
      <c r="H218" s="171" t="n"/>
      <c r="I218" s="171" t="n"/>
      <c r="J218" s="171" t="n"/>
      <c r="K218" s="171" t="n"/>
      <c r="L218" s="171" t="n"/>
      <c r="M218" s="171" t="n"/>
      <c r="N218" s="171" t="n"/>
      <c r="O218" s="171" t="n"/>
      <c r="P218" s="171" t="n"/>
      <c r="Q218" s="171" t="n"/>
      <c r="R218" s="171" t="n"/>
      <c r="S218" s="171" t="n"/>
      <c r="T218" s="171" t="n"/>
      <c r="U218" s="171" t="n"/>
      <c r="V218" s="171" t="n"/>
      <c r="W218" s="171" t="n"/>
      <c r="X218" s="171" t="n"/>
      <c r="Y218" s="171" t="n"/>
      <c r="Z218" s="171" t="n"/>
      <c r="AA218" s="171" t="n"/>
      <c r="AB218" s="171" t="n"/>
      <c r="AC218" s="171" t="n"/>
      <c r="AD218" s="171" t="n"/>
      <c r="AE218" s="171" t="n"/>
      <c r="AF218" s="171" t="n"/>
      <c r="AG218" s="171" t="n"/>
      <c r="AH218" s="171" t="n"/>
    </row>
    <row r="219">
      <c r="A219" s="171" t="n"/>
      <c r="B219" s="171" t="n"/>
      <c r="C219" s="171" t="n"/>
      <c r="D219" s="171" t="n"/>
      <c r="E219" s="171" t="n"/>
      <c r="F219" s="171" t="n"/>
      <c r="G219" s="171" t="n"/>
      <c r="H219" s="171" t="n"/>
      <c r="I219" s="171" t="n"/>
      <c r="J219" s="171" t="n"/>
      <c r="K219" s="171" t="n"/>
      <c r="L219" s="171" t="n"/>
      <c r="M219" s="171" t="n"/>
      <c r="N219" s="171" t="n"/>
      <c r="O219" s="171" t="n"/>
      <c r="P219" s="171" t="n"/>
      <c r="Q219" s="171" t="n"/>
      <c r="R219" s="171" t="n"/>
      <c r="S219" s="171" t="n"/>
      <c r="T219" s="171" t="n"/>
      <c r="U219" s="171" t="n"/>
      <c r="V219" s="171" t="n"/>
      <c r="W219" s="171" t="n"/>
      <c r="X219" s="171" t="n"/>
      <c r="Y219" s="171" t="n"/>
      <c r="Z219" s="171" t="n"/>
      <c r="AA219" s="171" t="n"/>
      <c r="AB219" s="171" t="n"/>
      <c r="AC219" s="171" t="n"/>
      <c r="AD219" s="171" t="n"/>
      <c r="AE219" s="171" t="n"/>
      <c r="AF219" s="171" t="n"/>
      <c r="AG219" s="171" t="n"/>
      <c r="AH219" s="171" t="n"/>
    </row>
    <row r="220">
      <c r="A220" s="171" t="n"/>
      <c r="B220" s="171" t="n"/>
      <c r="C220" s="171" t="n"/>
      <c r="D220" s="171" t="n"/>
      <c r="E220" s="171" t="n"/>
      <c r="F220" s="171" t="n"/>
      <c r="G220" s="171" t="n"/>
      <c r="H220" s="171" t="n"/>
      <c r="I220" s="171" t="n"/>
      <c r="J220" s="171" t="n"/>
      <c r="K220" s="171" t="n"/>
      <c r="L220" s="171" t="n"/>
      <c r="M220" s="171" t="n"/>
      <c r="N220" s="171" t="n"/>
      <c r="O220" s="171" t="n"/>
      <c r="P220" s="171" t="n"/>
      <c r="Q220" s="171" t="n"/>
      <c r="R220" s="171" t="n"/>
      <c r="S220" s="171" t="n"/>
      <c r="T220" s="171" t="n"/>
      <c r="U220" s="171" t="n"/>
      <c r="V220" s="171" t="n"/>
      <c r="W220" s="171" t="n"/>
      <c r="X220" s="171" t="n"/>
      <c r="Y220" s="171" t="n"/>
      <c r="Z220" s="171" t="n"/>
      <c r="AA220" s="171" t="n"/>
      <c r="AB220" s="171" t="n"/>
      <c r="AC220" s="171" t="n"/>
      <c r="AD220" s="171" t="n"/>
      <c r="AE220" s="171" t="n"/>
      <c r="AF220" s="171" t="n"/>
      <c r="AG220" s="171" t="n"/>
      <c r="AH220" s="171" t="n"/>
    </row>
    <row r="221">
      <c r="A221" s="171" t="n"/>
      <c r="B221" s="171" t="n"/>
      <c r="C221" s="171" t="n"/>
      <c r="D221" s="171" t="n"/>
      <c r="E221" s="171" t="n"/>
      <c r="F221" s="171" t="n"/>
      <c r="G221" s="171" t="n"/>
      <c r="H221" s="171" t="n"/>
      <c r="I221" s="171" t="n"/>
      <c r="J221" s="171" t="n"/>
      <c r="K221" s="171" t="n"/>
      <c r="L221" s="171" t="n"/>
      <c r="M221" s="171" t="n"/>
      <c r="N221" s="171" t="n"/>
      <c r="O221" s="171" t="n"/>
      <c r="P221" s="171" t="n"/>
      <c r="Q221" s="171" t="n"/>
      <c r="R221" s="171" t="n"/>
      <c r="S221" s="171" t="n"/>
      <c r="T221" s="171" t="n"/>
      <c r="U221" s="171" t="n"/>
      <c r="V221" s="171" t="n"/>
      <c r="W221" s="171" t="n"/>
      <c r="X221" s="171" t="n"/>
      <c r="Y221" s="171" t="n"/>
      <c r="Z221" s="171" t="n"/>
      <c r="AA221" s="171" t="n"/>
      <c r="AB221" s="171" t="n"/>
      <c r="AC221" s="171" t="n"/>
      <c r="AD221" s="171" t="n"/>
      <c r="AE221" s="171" t="n"/>
      <c r="AF221" s="171" t="n"/>
      <c r="AG221" s="171" t="n"/>
      <c r="AH221" s="171" t="n"/>
    </row>
    <row r="222">
      <c r="A222" s="171" t="n"/>
      <c r="B222" s="171" t="n"/>
      <c r="C222" s="171" t="n"/>
      <c r="D222" s="171" t="n"/>
      <c r="E222" s="171" t="n"/>
      <c r="F222" s="171" t="n"/>
      <c r="G222" s="171" t="n"/>
      <c r="H222" s="171" t="n"/>
      <c r="I222" s="171" t="n"/>
      <c r="J222" s="171" t="n"/>
      <c r="K222" s="171" t="n"/>
      <c r="L222" s="171" t="n"/>
      <c r="M222" s="171" t="n"/>
      <c r="N222" s="171" t="n"/>
      <c r="O222" s="171" t="n"/>
      <c r="P222" s="171" t="n"/>
      <c r="Q222" s="171" t="n"/>
      <c r="R222" s="171" t="n"/>
      <c r="S222" s="171" t="n"/>
      <c r="T222" s="171" t="n"/>
      <c r="U222" s="171" t="n"/>
      <c r="V222" s="171" t="n"/>
      <c r="W222" s="171" t="n"/>
      <c r="X222" s="171" t="n"/>
      <c r="Y222" s="171" t="n"/>
      <c r="Z222" s="171" t="n"/>
      <c r="AA222" s="171" t="n"/>
      <c r="AB222" s="171" t="n"/>
      <c r="AC222" s="171" t="n"/>
      <c r="AD222" s="171" t="n"/>
      <c r="AE222" s="171" t="n"/>
      <c r="AF222" s="171" t="n"/>
      <c r="AG222" s="171" t="n"/>
      <c r="AH222" s="171" t="n"/>
    </row>
    <row r="223">
      <c r="A223" s="171" t="n"/>
      <c r="B223" s="171" t="n"/>
      <c r="C223" s="171" t="n"/>
      <c r="D223" s="171" t="n"/>
      <c r="E223" s="171" t="n"/>
      <c r="F223" s="171" t="n"/>
      <c r="G223" s="171" t="n"/>
      <c r="H223" s="171" t="n"/>
      <c r="I223" s="171" t="n"/>
      <c r="J223" s="171" t="n"/>
      <c r="K223" s="171" t="n"/>
      <c r="L223" s="171" t="n"/>
      <c r="M223" s="171" t="n"/>
      <c r="N223" s="171" t="n"/>
      <c r="O223" s="171" t="n"/>
      <c r="P223" s="171" t="n"/>
      <c r="Q223" s="171" t="n"/>
      <c r="R223" s="171" t="n"/>
      <c r="S223" s="171" t="n"/>
      <c r="T223" s="171" t="n"/>
      <c r="U223" s="171" t="n"/>
      <c r="V223" s="171" t="n"/>
      <c r="W223" s="171" t="n"/>
      <c r="X223" s="171" t="n"/>
      <c r="Y223" s="171" t="n"/>
      <c r="Z223" s="171" t="n"/>
      <c r="AA223" s="171" t="n"/>
      <c r="AB223" s="171" t="n"/>
      <c r="AC223" s="171" t="n"/>
      <c r="AD223" s="171" t="n"/>
      <c r="AE223" s="171" t="n"/>
      <c r="AF223" s="171" t="n"/>
      <c r="AG223" s="171" t="n"/>
      <c r="AH223" s="171" t="n"/>
    </row>
    <row r="224">
      <c r="A224" s="171" t="n"/>
      <c r="B224" s="171" t="n"/>
      <c r="C224" s="171" t="n"/>
      <c r="D224" s="171" t="n"/>
      <c r="E224" s="171" t="n"/>
      <c r="F224" s="171" t="n"/>
      <c r="G224" s="171" t="n"/>
      <c r="H224" s="171" t="n"/>
      <c r="I224" s="171" t="n"/>
      <c r="J224" s="171" t="n"/>
      <c r="K224" s="171" t="n"/>
      <c r="L224" s="171" t="n"/>
      <c r="M224" s="171" t="n"/>
      <c r="N224" s="171" t="n"/>
      <c r="O224" s="171" t="n"/>
      <c r="P224" s="171" t="n"/>
      <c r="Q224" s="171" t="n"/>
      <c r="R224" s="171" t="n"/>
      <c r="S224" s="171" t="n"/>
      <c r="T224" s="171" t="n"/>
      <c r="U224" s="171" t="n"/>
      <c r="V224" s="171" t="n"/>
      <c r="W224" s="171" t="n"/>
      <c r="X224" s="171" t="n"/>
      <c r="Y224" s="171" t="n"/>
      <c r="Z224" s="171" t="n"/>
      <c r="AA224" s="171" t="n"/>
      <c r="AB224" s="171" t="n"/>
      <c r="AC224" s="171" t="n"/>
      <c r="AD224" s="171" t="n"/>
      <c r="AE224" s="171" t="n"/>
      <c r="AF224" s="171" t="n"/>
      <c r="AG224" s="171" t="n"/>
      <c r="AH224" s="171" t="n"/>
    </row>
    <row r="225">
      <c r="A225" s="171" t="n"/>
      <c r="B225" s="171" t="n"/>
      <c r="C225" s="171" t="n"/>
      <c r="D225" s="171" t="n"/>
      <c r="E225" s="171" t="n"/>
      <c r="F225" s="171" t="n"/>
      <c r="G225" s="171" t="n"/>
      <c r="H225" s="171" t="n"/>
      <c r="I225" s="171" t="n"/>
      <c r="J225" s="171" t="n"/>
      <c r="K225" s="171" t="n"/>
      <c r="L225" s="171" t="n"/>
      <c r="M225" s="171" t="n"/>
      <c r="N225" s="171" t="n"/>
      <c r="O225" s="171" t="n"/>
      <c r="P225" s="171" t="n"/>
      <c r="Q225" s="171" t="n"/>
      <c r="R225" s="171" t="n"/>
      <c r="S225" s="171" t="n"/>
      <c r="T225" s="171" t="n"/>
      <c r="U225" s="171" t="n"/>
      <c r="V225" s="171" t="n"/>
      <c r="W225" s="171" t="n"/>
      <c r="X225" s="171" t="n"/>
      <c r="Y225" s="171" t="n"/>
      <c r="Z225" s="171" t="n"/>
      <c r="AA225" s="171" t="n"/>
      <c r="AB225" s="171" t="n"/>
      <c r="AC225" s="171" t="n"/>
      <c r="AD225" s="171" t="n"/>
      <c r="AE225" s="171" t="n"/>
      <c r="AF225" s="171" t="n"/>
      <c r="AG225" s="171" t="n"/>
      <c r="AH225" s="171" t="n"/>
    </row>
    <row r="226">
      <c r="A226" s="171" t="n"/>
      <c r="B226" s="171" t="n"/>
      <c r="C226" s="171" t="n"/>
      <c r="D226" s="171" t="n"/>
      <c r="E226" s="171" t="n"/>
      <c r="F226" s="171" t="n"/>
      <c r="G226" s="171" t="n"/>
      <c r="H226" s="171" t="n"/>
      <c r="I226" s="171" t="n"/>
      <c r="J226" s="171" t="n"/>
      <c r="K226" s="171" t="n"/>
      <c r="L226" s="171" t="n"/>
      <c r="M226" s="171" t="n"/>
      <c r="N226" s="171" t="n"/>
      <c r="O226" s="171" t="n"/>
      <c r="P226" s="171" t="n"/>
      <c r="Q226" s="171" t="n"/>
      <c r="R226" s="171" t="n"/>
      <c r="S226" s="171" t="n"/>
      <c r="T226" s="171" t="n"/>
      <c r="U226" s="171" t="n"/>
      <c r="V226" s="171" t="n"/>
      <c r="W226" s="171" t="n"/>
      <c r="X226" s="171" t="n"/>
      <c r="Y226" s="171" t="n"/>
      <c r="Z226" s="171" t="n"/>
      <c r="AA226" s="171" t="n"/>
      <c r="AB226" s="171" t="n"/>
      <c r="AC226" s="171" t="n"/>
      <c r="AD226" s="171" t="n"/>
      <c r="AE226" s="171" t="n"/>
      <c r="AF226" s="171" t="n"/>
      <c r="AG226" s="171" t="n"/>
      <c r="AH226" s="171" t="n"/>
    </row>
    <row r="227">
      <c r="A227" s="171" t="n"/>
      <c r="B227" s="171" t="n"/>
      <c r="C227" s="171" t="n"/>
      <c r="D227" s="171" t="n"/>
      <c r="E227" s="171" t="n"/>
      <c r="F227" s="171" t="n"/>
      <c r="G227" s="171" t="n"/>
      <c r="H227" s="171" t="n"/>
      <c r="I227" s="171" t="n"/>
      <c r="J227" s="171" t="n"/>
      <c r="K227" s="171" t="n"/>
      <c r="L227" s="171" t="n"/>
      <c r="M227" s="171" t="n"/>
      <c r="N227" s="171" t="n"/>
      <c r="O227" s="171" t="n"/>
      <c r="P227" s="171" t="n"/>
      <c r="Q227" s="171" t="n"/>
      <c r="R227" s="171" t="n"/>
      <c r="S227" s="171" t="n"/>
      <c r="T227" s="171" t="n"/>
      <c r="U227" s="171" t="n"/>
      <c r="V227" s="171" t="n"/>
      <c r="W227" s="171" t="n"/>
      <c r="X227" s="171" t="n"/>
      <c r="Y227" s="171" t="n"/>
      <c r="Z227" s="171" t="n"/>
      <c r="AA227" s="171" t="n"/>
      <c r="AB227" s="171" t="n"/>
      <c r="AC227" s="171" t="n"/>
      <c r="AD227" s="171" t="n"/>
      <c r="AE227" s="171" t="n"/>
      <c r="AF227" s="171" t="n"/>
      <c r="AG227" s="171" t="n"/>
      <c r="AH227" s="171" t="n"/>
    </row>
    <row r="228">
      <c r="A228" s="171" t="n"/>
      <c r="B228" s="171" t="n"/>
      <c r="C228" s="171" t="n"/>
      <c r="D228" s="171" t="n"/>
      <c r="E228" s="171" t="n"/>
      <c r="F228" s="171" t="n"/>
      <c r="G228" s="171" t="n"/>
      <c r="H228" s="171" t="n"/>
      <c r="I228" s="171" t="n"/>
      <c r="J228" s="171" t="n"/>
      <c r="K228" s="171" t="n"/>
      <c r="L228" s="171" t="n"/>
      <c r="M228" s="171" t="n"/>
      <c r="N228" s="171" t="n"/>
      <c r="O228" s="171" t="n"/>
      <c r="P228" s="171" t="n"/>
      <c r="Q228" s="171" t="n"/>
      <c r="R228" s="171" t="n"/>
      <c r="S228" s="171" t="n"/>
      <c r="T228" s="171" t="n"/>
      <c r="U228" s="171" t="n"/>
      <c r="V228" s="171" t="n"/>
      <c r="W228" s="171" t="n"/>
      <c r="X228" s="171" t="n"/>
      <c r="Y228" s="171" t="n"/>
      <c r="Z228" s="171" t="n"/>
      <c r="AA228" s="171" t="n"/>
      <c r="AB228" s="171" t="n"/>
      <c r="AC228" s="171" t="n"/>
      <c r="AD228" s="171" t="n"/>
      <c r="AE228" s="171" t="n"/>
      <c r="AF228" s="171" t="n"/>
      <c r="AG228" s="171" t="n"/>
      <c r="AH228" s="171" t="n"/>
    </row>
    <row r="229">
      <c r="A229" s="171" t="n"/>
      <c r="B229" s="171" t="n"/>
      <c r="C229" s="171" t="n"/>
      <c r="D229" s="171" t="n"/>
      <c r="E229" s="171" t="n"/>
      <c r="F229" s="171" t="n"/>
      <c r="G229" s="171" t="n"/>
      <c r="H229" s="171" t="n"/>
      <c r="I229" s="171" t="n"/>
      <c r="J229" s="171" t="n"/>
      <c r="K229" s="171" t="n"/>
      <c r="L229" s="171" t="n"/>
      <c r="M229" s="171" t="n"/>
      <c r="N229" s="171" t="n"/>
      <c r="O229" s="171" t="n"/>
      <c r="P229" s="171" t="n"/>
      <c r="Q229" s="171" t="n"/>
      <c r="R229" s="171" t="n"/>
      <c r="S229" s="171" t="n"/>
      <c r="T229" s="171" t="n"/>
      <c r="U229" s="171" t="n"/>
      <c r="V229" s="171" t="n"/>
      <c r="W229" s="171" t="n"/>
      <c r="X229" s="171" t="n"/>
      <c r="Y229" s="171" t="n"/>
      <c r="Z229" s="171" t="n"/>
      <c r="AA229" s="171" t="n"/>
      <c r="AB229" s="171" t="n"/>
      <c r="AC229" s="171" t="n"/>
      <c r="AD229" s="171" t="n"/>
      <c r="AE229" s="171" t="n"/>
      <c r="AF229" s="171" t="n"/>
      <c r="AG229" s="171" t="n"/>
      <c r="AH229" s="171" t="n"/>
    </row>
    <row r="230">
      <c r="A230" s="171" t="n"/>
      <c r="B230" s="171" t="n"/>
      <c r="C230" s="171" t="n"/>
      <c r="D230" s="171" t="n"/>
      <c r="E230" s="171" t="n"/>
      <c r="F230" s="171" t="n"/>
      <c r="G230" s="171" t="n"/>
      <c r="H230" s="171" t="n"/>
      <c r="I230" s="171" t="n"/>
      <c r="J230" s="171" t="n"/>
      <c r="K230" s="171" t="n"/>
      <c r="L230" s="171" t="n"/>
      <c r="M230" s="171" t="n"/>
      <c r="N230" s="171" t="n"/>
      <c r="O230" s="171" t="n"/>
      <c r="P230" s="171" t="n"/>
      <c r="Q230" s="171" t="n"/>
      <c r="R230" s="171" t="n"/>
      <c r="S230" s="171" t="n"/>
      <c r="T230" s="171" t="n"/>
      <c r="U230" s="171" t="n"/>
      <c r="V230" s="171" t="n"/>
      <c r="W230" s="171" t="n"/>
      <c r="X230" s="171" t="n"/>
      <c r="Y230" s="171" t="n"/>
      <c r="Z230" s="171" t="n"/>
      <c r="AA230" s="171" t="n"/>
      <c r="AB230" s="171" t="n"/>
      <c r="AC230" s="171" t="n"/>
      <c r="AD230" s="171" t="n"/>
      <c r="AE230" s="171" t="n"/>
      <c r="AF230" s="171" t="n"/>
      <c r="AG230" s="171" t="n"/>
      <c r="AH230" s="171" t="n"/>
    </row>
    <row r="231">
      <c r="A231" s="171" t="n"/>
      <c r="B231" s="171" t="n"/>
      <c r="C231" s="171" t="n"/>
      <c r="D231" s="171" t="n"/>
      <c r="E231" s="171" t="n"/>
      <c r="F231" s="171" t="n"/>
      <c r="G231" s="171" t="n"/>
      <c r="H231" s="171" t="n"/>
      <c r="I231" s="171" t="n"/>
      <c r="J231" s="171" t="n"/>
      <c r="K231" s="171" t="n"/>
      <c r="L231" s="171" t="n"/>
      <c r="M231" s="171" t="n"/>
      <c r="N231" s="171" t="n"/>
      <c r="O231" s="171" t="n"/>
      <c r="P231" s="171" t="n"/>
      <c r="Q231" s="171" t="n"/>
      <c r="R231" s="171" t="n"/>
      <c r="S231" s="171" t="n"/>
      <c r="T231" s="171" t="n"/>
      <c r="U231" s="171" t="n"/>
      <c r="V231" s="171" t="n"/>
      <c r="W231" s="171" t="n"/>
      <c r="X231" s="171" t="n"/>
      <c r="Y231" s="171" t="n"/>
      <c r="Z231" s="171" t="n"/>
      <c r="AA231" s="171" t="n"/>
      <c r="AB231" s="171" t="n"/>
      <c r="AC231" s="171" t="n"/>
      <c r="AD231" s="171" t="n"/>
      <c r="AE231" s="171" t="n"/>
      <c r="AF231" s="171" t="n"/>
      <c r="AG231" s="171" t="n"/>
      <c r="AH231" s="171" t="n"/>
    </row>
    <row r="232">
      <c r="A232" s="171" t="n"/>
      <c r="B232" s="171" t="n"/>
      <c r="C232" s="171" t="n"/>
      <c r="D232" s="171" t="n"/>
      <c r="E232" s="171" t="n"/>
      <c r="F232" s="171" t="n"/>
      <c r="G232" s="171" t="n"/>
      <c r="H232" s="171" t="n"/>
      <c r="I232" s="171" t="n"/>
      <c r="J232" s="171" t="n"/>
      <c r="K232" s="171" t="n"/>
      <c r="L232" s="171" t="n"/>
      <c r="M232" s="171" t="n"/>
      <c r="N232" s="171" t="n"/>
      <c r="O232" s="171" t="n"/>
      <c r="P232" s="171" t="n"/>
      <c r="Q232" s="171" t="n"/>
      <c r="R232" s="171" t="n"/>
      <c r="S232" s="171" t="n"/>
      <c r="T232" s="171" t="n"/>
      <c r="U232" s="171" t="n"/>
      <c r="V232" s="171" t="n"/>
      <c r="W232" s="171" t="n"/>
      <c r="X232" s="171" t="n"/>
      <c r="Y232" s="171" t="n"/>
      <c r="Z232" s="171" t="n"/>
      <c r="AA232" s="171" t="n"/>
      <c r="AB232" s="171" t="n"/>
      <c r="AC232" s="171" t="n"/>
      <c r="AD232" s="171" t="n"/>
      <c r="AE232" s="171" t="n"/>
      <c r="AF232" s="171" t="n"/>
      <c r="AG232" s="171" t="n"/>
      <c r="AH232" s="171" t="n"/>
    </row>
    <row r="233">
      <c r="A233" s="171" t="n"/>
      <c r="B233" s="171" t="n"/>
      <c r="C233" s="171" t="n"/>
      <c r="D233" s="171" t="n"/>
      <c r="E233" s="171" t="n"/>
      <c r="F233" s="171" t="n"/>
      <c r="G233" s="171" t="n"/>
      <c r="H233" s="171" t="n"/>
      <c r="I233" s="171" t="n"/>
      <c r="J233" s="171" t="n"/>
      <c r="K233" s="171" t="n"/>
      <c r="L233" s="171" t="n"/>
      <c r="M233" s="171" t="n"/>
      <c r="N233" s="171" t="n"/>
      <c r="O233" s="171" t="n"/>
      <c r="P233" s="171" t="n"/>
      <c r="Q233" s="171" t="n"/>
      <c r="R233" s="171" t="n"/>
      <c r="S233" s="171" t="n"/>
      <c r="T233" s="171" t="n"/>
      <c r="U233" s="171" t="n"/>
      <c r="V233" s="171" t="n"/>
      <c r="W233" s="171" t="n"/>
      <c r="X233" s="171" t="n"/>
      <c r="Y233" s="171" t="n"/>
      <c r="Z233" s="171" t="n"/>
      <c r="AA233" s="171" t="n"/>
      <c r="AB233" s="171" t="n"/>
      <c r="AC233" s="171" t="n"/>
      <c r="AD233" s="171" t="n"/>
      <c r="AE233" s="171" t="n"/>
      <c r="AF233" s="171" t="n"/>
      <c r="AG233" s="171" t="n"/>
      <c r="AH233" s="171" t="n"/>
    </row>
    <row r="234">
      <c r="A234" s="171" t="n"/>
      <c r="B234" s="171" t="n"/>
      <c r="C234" s="171" t="n"/>
      <c r="D234" s="171" t="n"/>
      <c r="E234" s="171" t="n"/>
      <c r="F234" s="171" t="n"/>
      <c r="G234" s="171" t="n"/>
      <c r="H234" s="171" t="n"/>
      <c r="I234" s="171" t="n"/>
      <c r="J234" s="171" t="n"/>
      <c r="K234" s="171" t="n"/>
      <c r="L234" s="171" t="n"/>
      <c r="M234" s="171" t="n"/>
      <c r="N234" s="171" t="n"/>
      <c r="O234" s="171" t="n"/>
      <c r="P234" s="171" t="n"/>
      <c r="Q234" s="171" t="n"/>
      <c r="R234" s="171" t="n"/>
      <c r="S234" s="171" t="n"/>
      <c r="T234" s="171" t="n"/>
      <c r="U234" s="171" t="n"/>
      <c r="V234" s="171" t="n"/>
      <c r="W234" s="171" t="n"/>
      <c r="X234" s="171" t="n"/>
      <c r="Y234" s="171" t="n"/>
      <c r="Z234" s="171" t="n"/>
      <c r="AA234" s="171" t="n"/>
      <c r="AB234" s="171" t="n"/>
      <c r="AC234" s="171" t="n"/>
      <c r="AD234" s="171" t="n"/>
      <c r="AE234" s="171" t="n"/>
      <c r="AF234" s="171" t="n"/>
      <c r="AG234" s="171" t="n"/>
      <c r="AH234" s="171" t="n"/>
    </row>
    <row r="235">
      <c r="A235" s="171" t="n"/>
      <c r="B235" s="171" t="n"/>
      <c r="C235" s="171" t="n"/>
      <c r="D235" s="171" t="n"/>
      <c r="E235" s="171" t="n"/>
      <c r="F235" s="171" t="n"/>
      <c r="G235" s="171" t="n"/>
      <c r="H235" s="171" t="n"/>
      <c r="I235" s="171" t="n"/>
      <c r="J235" s="171" t="n"/>
      <c r="K235" s="171" t="n"/>
      <c r="L235" s="171" t="n"/>
      <c r="M235" s="171" t="n"/>
      <c r="N235" s="171" t="n"/>
      <c r="O235" s="171" t="n"/>
      <c r="P235" s="171" t="n"/>
      <c r="Q235" s="171" t="n"/>
      <c r="R235" s="171" t="n"/>
      <c r="S235" s="171" t="n"/>
      <c r="T235" s="171" t="n"/>
      <c r="U235" s="171" t="n"/>
      <c r="V235" s="171" t="n"/>
      <c r="W235" s="171" t="n"/>
      <c r="X235" s="171" t="n"/>
      <c r="Y235" s="171" t="n"/>
      <c r="Z235" s="171" t="n"/>
      <c r="AA235" s="171" t="n"/>
      <c r="AB235" s="171" t="n"/>
      <c r="AC235" s="171" t="n"/>
      <c r="AD235" s="171" t="n"/>
      <c r="AE235" s="171" t="n"/>
      <c r="AF235" s="171" t="n"/>
      <c r="AG235" s="171" t="n"/>
      <c r="AH235" s="171" t="n"/>
    </row>
    <row r="236">
      <c r="A236" s="171" t="n"/>
      <c r="B236" s="171" t="n"/>
      <c r="C236" s="171" t="n"/>
      <c r="D236" s="171" t="n"/>
      <c r="E236" s="171" t="n"/>
      <c r="F236" s="171" t="n"/>
      <c r="G236" s="171" t="n"/>
      <c r="H236" s="171" t="n"/>
      <c r="I236" s="171" t="n"/>
      <c r="J236" s="171" t="n"/>
      <c r="K236" s="171" t="n"/>
      <c r="L236" s="171" t="n"/>
      <c r="M236" s="171" t="n"/>
      <c r="N236" s="171" t="n"/>
      <c r="O236" s="171" t="n"/>
      <c r="P236" s="171" t="n"/>
      <c r="Q236" s="171" t="n"/>
      <c r="R236" s="171" t="n"/>
      <c r="S236" s="171" t="n"/>
      <c r="T236" s="171" t="n"/>
      <c r="U236" s="171" t="n"/>
      <c r="V236" s="171" t="n"/>
      <c r="W236" s="171" t="n"/>
      <c r="X236" s="171" t="n"/>
      <c r="Y236" s="171" t="n"/>
      <c r="Z236" s="171" t="n"/>
      <c r="AA236" s="171" t="n"/>
      <c r="AB236" s="171" t="n"/>
      <c r="AC236" s="171" t="n"/>
      <c r="AD236" s="171" t="n"/>
      <c r="AE236" s="171" t="n"/>
      <c r="AF236" s="171" t="n"/>
      <c r="AG236" s="171" t="n"/>
      <c r="AH236" s="171" t="n"/>
    </row>
    <row r="237">
      <c r="A237" s="171" t="n"/>
      <c r="B237" s="171" t="n"/>
      <c r="C237" s="171" t="n"/>
      <c r="D237" s="171" t="n"/>
      <c r="E237" s="171" t="n"/>
      <c r="F237" s="171" t="n"/>
      <c r="G237" s="171" t="n"/>
      <c r="H237" s="171" t="n"/>
      <c r="I237" s="171" t="n"/>
      <c r="J237" s="171" t="n"/>
      <c r="K237" s="171" t="n"/>
      <c r="L237" s="171" t="n"/>
      <c r="M237" s="171" t="n"/>
      <c r="N237" s="171" t="n"/>
      <c r="O237" s="171" t="n"/>
      <c r="P237" s="171" t="n"/>
      <c r="Q237" s="171" t="n"/>
      <c r="R237" s="171" t="n"/>
      <c r="S237" s="171" t="n"/>
      <c r="T237" s="171" t="n"/>
      <c r="U237" s="171" t="n"/>
      <c r="V237" s="171" t="n"/>
      <c r="W237" s="171" t="n"/>
      <c r="X237" s="171" t="n"/>
      <c r="Y237" s="171" t="n"/>
      <c r="Z237" s="171" t="n"/>
      <c r="AA237" s="171" t="n"/>
      <c r="AB237" s="171" t="n"/>
      <c r="AC237" s="171" t="n"/>
      <c r="AD237" s="171" t="n"/>
      <c r="AE237" s="171" t="n"/>
      <c r="AF237" s="171" t="n"/>
      <c r="AG237" s="171" t="n"/>
      <c r="AH237" s="171" t="n"/>
    </row>
    <row r="238">
      <c r="A238" s="171" t="n"/>
      <c r="B238" s="171" t="n"/>
      <c r="C238" s="171" t="n"/>
      <c r="D238" s="171" t="n"/>
      <c r="E238" s="171" t="n"/>
      <c r="F238" s="171" t="n"/>
      <c r="G238" s="171" t="n"/>
      <c r="H238" s="171" t="n"/>
      <c r="I238" s="171" t="n"/>
      <c r="J238" s="171" t="n"/>
      <c r="K238" s="171" t="n"/>
      <c r="L238" s="171" t="n"/>
      <c r="M238" s="171" t="n"/>
      <c r="N238" s="171" t="n"/>
      <c r="O238" s="171" t="n"/>
      <c r="P238" s="171" t="n"/>
      <c r="Q238" s="171" t="n"/>
      <c r="R238" s="171" t="n"/>
      <c r="S238" s="171" t="n"/>
      <c r="T238" s="171" t="n"/>
      <c r="U238" s="171" t="n"/>
      <c r="V238" s="171" t="n"/>
      <c r="W238" s="171" t="n"/>
      <c r="X238" s="171" t="n"/>
      <c r="Y238" s="171" t="n"/>
      <c r="Z238" s="171" t="n"/>
      <c r="AA238" s="171" t="n"/>
      <c r="AB238" s="171" t="n"/>
      <c r="AC238" s="171" t="n"/>
      <c r="AD238" s="171" t="n"/>
      <c r="AE238" s="171" t="n"/>
      <c r="AF238" s="171" t="n"/>
      <c r="AG238" s="171" t="n"/>
      <c r="AH238" s="171" t="n"/>
    </row>
    <row r="239">
      <c r="A239" s="171" t="n"/>
      <c r="B239" s="171" t="n"/>
      <c r="C239" s="171" t="n"/>
      <c r="D239" s="171" t="n"/>
      <c r="E239" s="171" t="n"/>
      <c r="F239" s="171" t="n"/>
      <c r="G239" s="171" t="n"/>
      <c r="H239" s="171" t="n"/>
      <c r="I239" s="171" t="n"/>
      <c r="J239" s="171" t="n"/>
      <c r="K239" s="171" t="n"/>
      <c r="L239" s="171" t="n"/>
      <c r="M239" s="171" t="n"/>
      <c r="N239" s="171" t="n"/>
      <c r="O239" s="171" t="n"/>
      <c r="P239" s="171" t="n"/>
      <c r="Q239" s="171" t="n"/>
      <c r="R239" s="171" t="n"/>
      <c r="S239" s="171" t="n"/>
      <c r="T239" s="171" t="n"/>
      <c r="U239" s="171" t="n"/>
      <c r="V239" s="171" t="n"/>
      <c r="W239" s="171" t="n"/>
      <c r="X239" s="171" t="n"/>
      <c r="Y239" s="171" t="n"/>
      <c r="Z239" s="171" t="n"/>
      <c r="AA239" s="171" t="n"/>
      <c r="AB239" s="171" t="n"/>
      <c r="AC239" s="171" t="n"/>
      <c r="AD239" s="171" t="n"/>
      <c r="AE239" s="171" t="n"/>
      <c r="AF239" s="171" t="n"/>
      <c r="AG239" s="171" t="n"/>
      <c r="AH239" s="171" t="n"/>
    </row>
    <row r="240">
      <c r="A240" s="171" t="n"/>
      <c r="B240" s="171" t="n"/>
      <c r="C240" s="171" t="n"/>
      <c r="D240" s="171" t="n"/>
      <c r="E240" s="171" t="n"/>
      <c r="F240" s="171" t="n"/>
      <c r="G240" s="171" t="n"/>
      <c r="H240" s="171" t="n"/>
      <c r="I240" s="171" t="n"/>
      <c r="J240" s="171" t="n"/>
      <c r="K240" s="171" t="n"/>
      <c r="L240" s="171" t="n"/>
      <c r="M240" s="171" t="n"/>
      <c r="N240" s="171" t="n"/>
      <c r="O240" s="171" t="n"/>
      <c r="P240" s="171" t="n"/>
      <c r="Q240" s="171" t="n"/>
      <c r="R240" s="171" t="n"/>
      <c r="S240" s="171" t="n"/>
      <c r="T240" s="171" t="n"/>
      <c r="U240" s="171" t="n"/>
      <c r="V240" s="171" t="n"/>
      <c r="W240" s="171" t="n"/>
      <c r="X240" s="171" t="n"/>
      <c r="Y240" s="171" t="n"/>
      <c r="Z240" s="171" t="n"/>
      <c r="AA240" s="171" t="n"/>
      <c r="AB240" s="171" t="n"/>
      <c r="AC240" s="171" t="n"/>
      <c r="AD240" s="171" t="n"/>
      <c r="AE240" s="171" t="n"/>
      <c r="AF240" s="171" t="n"/>
      <c r="AG240" s="171" t="n"/>
      <c r="AH240" s="171" t="n"/>
    </row>
    <row r="241">
      <c r="A241" s="171" t="n"/>
      <c r="B241" s="171" t="n"/>
      <c r="C241" s="171" t="n"/>
      <c r="D241" s="171" t="n"/>
      <c r="E241" s="171" t="n"/>
      <c r="F241" s="171" t="n"/>
      <c r="G241" s="171" t="n"/>
      <c r="H241" s="171" t="n"/>
      <c r="I241" s="171" t="n"/>
      <c r="J241" s="171" t="n"/>
      <c r="K241" s="171" t="n"/>
      <c r="L241" s="171" t="n"/>
      <c r="M241" s="171" t="n"/>
      <c r="N241" s="171" t="n"/>
      <c r="O241" s="171" t="n"/>
      <c r="P241" s="171" t="n"/>
      <c r="Q241" s="171" t="n"/>
      <c r="R241" s="171" t="n"/>
      <c r="S241" s="171" t="n"/>
      <c r="T241" s="171" t="n"/>
      <c r="U241" s="171" t="n"/>
      <c r="V241" s="171" t="n"/>
      <c r="W241" s="171" t="n"/>
      <c r="X241" s="171" t="n"/>
      <c r="Y241" s="171" t="n"/>
      <c r="Z241" s="171" t="n"/>
      <c r="AA241" s="171" t="n"/>
      <c r="AB241" s="171" t="n"/>
      <c r="AC241" s="171" t="n"/>
      <c r="AD241" s="171" t="n"/>
      <c r="AE241" s="171" t="n"/>
      <c r="AF241" s="171" t="n"/>
      <c r="AG241" s="171" t="n"/>
      <c r="AH241" s="171" t="n"/>
    </row>
    <row r="242">
      <c r="A242" s="171" t="n"/>
      <c r="B242" s="171" t="n"/>
      <c r="C242" s="171" t="n"/>
      <c r="D242" s="171" t="n"/>
      <c r="E242" s="171" t="n"/>
      <c r="F242" s="171" t="n"/>
      <c r="G242" s="171" t="n"/>
      <c r="H242" s="171" t="n"/>
      <c r="I242" s="171" t="n"/>
      <c r="J242" s="171" t="n"/>
      <c r="K242" s="171" t="n"/>
      <c r="L242" s="171" t="n"/>
      <c r="M242" s="171" t="n"/>
      <c r="N242" s="171" t="n"/>
      <c r="O242" s="171" t="n"/>
      <c r="P242" s="171" t="n"/>
      <c r="Q242" s="171" t="n"/>
      <c r="R242" s="171" t="n"/>
      <c r="S242" s="171" t="n"/>
      <c r="T242" s="171" t="n"/>
      <c r="U242" s="171" t="n"/>
      <c r="V242" s="171" t="n"/>
      <c r="W242" s="171" t="n"/>
      <c r="X242" s="171" t="n"/>
      <c r="Y242" s="171" t="n"/>
      <c r="Z242" s="171" t="n"/>
      <c r="AA242" s="171" t="n"/>
      <c r="AB242" s="171" t="n"/>
      <c r="AC242" s="171" t="n"/>
      <c r="AD242" s="171" t="n"/>
      <c r="AE242" s="171" t="n"/>
      <c r="AF242" s="171" t="n"/>
      <c r="AG242" s="171" t="n"/>
      <c r="AH242" s="171" t="n"/>
    </row>
    <row r="243">
      <c r="A243" s="171" t="n"/>
      <c r="B243" s="171" t="n"/>
      <c r="C243" s="171" t="n"/>
      <c r="D243" s="171" t="n"/>
      <c r="E243" s="171" t="n"/>
      <c r="F243" s="171" t="n"/>
      <c r="G243" s="171" t="n"/>
      <c r="H243" s="171" t="n"/>
      <c r="I243" s="171" t="n"/>
      <c r="J243" s="171" t="n"/>
      <c r="K243" s="171" t="n"/>
      <c r="L243" s="171" t="n"/>
      <c r="M243" s="171" t="n"/>
      <c r="N243" s="171" t="n"/>
      <c r="O243" s="171" t="n"/>
      <c r="P243" s="171" t="n"/>
      <c r="Q243" s="171" t="n"/>
      <c r="R243" s="171" t="n"/>
      <c r="S243" s="171" t="n"/>
      <c r="T243" s="171" t="n"/>
      <c r="U243" s="171" t="n"/>
      <c r="V243" s="171" t="n"/>
      <c r="W243" s="171" t="n"/>
      <c r="X243" s="171" t="n"/>
      <c r="Y243" s="171" t="n"/>
      <c r="Z243" s="171" t="n"/>
      <c r="AA243" s="171" t="n"/>
      <c r="AB243" s="171" t="n"/>
      <c r="AC243" s="171" t="n"/>
      <c r="AD243" s="171" t="n"/>
      <c r="AE243" s="171" t="n"/>
      <c r="AF243" s="171" t="n"/>
      <c r="AG243" s="171" t="n"/>
      <c r="AH243" s="171" t="n"/>
    </row>
    <row r="244">
      <c r="A244" s="171" t="n"/>
      <c r="B244" s="171" t="n"/>
      <c r="C244" s="171" t="n"/>
      <c r="D244" s="171" t="n"/>
      <c r="E244" s="171" t="n"/>
      <c r="F244" s="171" t="n"/>
      <c r="G244" s="171" t="n"/>
      <c r="H244" s="171" t="n"/>
      <c r="I244" s="171" t="n"/>
      <c r="J244" s="171" t="n"/>
      <c r="K244" s="171" t="n"/>
      <c r="L244" s="171" t="n"/>
      <c r="M244" s="171" t="n"/>
      <c r="N244" s="171" t="n"/>
      <c r="O244" s="171" t="n"/>
      <c r="P244" s="171" t="n"/>
      <c r="Q244" s="171" t="n"/>
      <c r="R244" s="171" t="n"/>
      <c r="S244" s="171" t="n"/>
      <c r="T244" s="171" t="n"/>
      <c r="U244" s="171" t="n"/>
      <c r="V244" s="171" t="n"/>
      <c r="W244" s="171" t="n"/>
      <c r="X244" s="171" t="n"/>
      <c r="Y244" s="171" t="n"/>
      <c r="Z244" s="171" t="n"/>
      <c r="AA244" s="171" t="n"/>
      <c r="AB244" s="171" t="n"/>
      <c r="AC244" s="171" t="n"/>
      <c r="AD244" s="171" t="n"/>
      <c r="AE244" s="171" t="n"/>
      <c r="AF244" s="171" t="n"/>
      <c r="AG244" s="171" t="n"/>
      <c r="AH244" s="171" t="n"/>
    </row>
    <row r="245">
      <c r="A245" s="171" t="n"/>
      <c r="B245" s="171" t="n"/>
      <c r="C245" s="171" t="n"/>
      <c r="D245" s="171" t="n"/>
      <c r="E245" s="171" t="n"/>
      <c r="F245" s="171" t="n"/>
      <c r="G245" s="171" t="n"/>
      <c r="H245" s="171" t="n"/>
      <c r="I245" s="171" t="n"/>
      <c r="J245" s="171" t="n"/>
      <c r="K245" s="171" t="n"/>
      <c r="L245" s="171" t="n"/>
      <c r="M245" s="171" t="n"/>
      <c r="N245" s="171" t="n"/>
      <c r="O245" s="171" t="n"/>
      <c r="P245" s="171" t="n"/>
      <c r="Q245" s="171" t="n"/>
      <c r="R245" s="171" t="n"/>
      <c r="S245" s="171" t="n"/>
      <c r="T245" s="171" t="n"/>
      <c r="U245" s="171" t="n"/>
      <c r="V245" s="171" t="n"/>
      <c r="W245" s="171" t="n"/>
      <c r="X245" s="171" t="n"/>
      <c r="Y245" s="171" t="n"/>
      <c r="Z245" s="171" t="n"/>
      <c r="AA245" s="171" t="n"/>
      <c r="AB245" s="171" t="n"/>
      <c r="AC245" s="171" t="n"/>
      <c r="AD245" s="171" t="n"/>
      <c r="AE245" s="171" t="n"/>
      <c r="AF245" s="171" t="n"/>
      <c r="AG245" s="171" t="n"/>
      <c r="AH245" s="171" t="n"/>
    </row>
    <row r="246">
      <c r="A246" s="171" t="n"/>
      <c r="B246" s="171" t="n"/>
      <c r="C246" s="171" t="n"/>
      <c r="D246" s="171" t="n"/>
      <c r="E246" s="171" t="n"/>
      <c r="F246" s="171" t="n"/>
      <c r="G246" s="171" t="n"/>
      <c r="H246" s="171" t="n"/>
      <c r="I246" s="171" t="n"/>
      <c r="J246" s="171" t="n"/>
      <c r="K246" s="171" t="n"/>
      <c r="L246" s="171" t="n"/>
      <c r="M246" s="171" t="n"/>
      <c r="N246" s="171" t="n"/>
      <c r="O246" s="171" t="n"/>
      <c r="P246" s="171" t="n"/>
      <c r="Q246" s="171" t="n"/>
      <c r="R246" s="171" t="n"/>
      <c r="S246" s="171" t="n"/>
      <c r="T246" s="171" t="n"/>
      <c r="U246" s="171" t="n"/>
      <c r="V246" s="171" t="n"/>
      <c r="W246" s="171" t="n"/>
      <c r="X246" s="171" t="n"/>
      <c r="Y246" s="171" t="n"/>
      <c r="Z246" s="171" t="n"/>
      <c r="AA246" s="171" t="n"/>
      <c r="AB246" s="171" t="n"/>
      <c r="AC246" s="171" t="n"/>
      <c r="AD246" s="171" t="n"/>
      <c r="AE246" s="171" t="n"/>
      <c r="AF246" s="171" t="n"/>
      <c r="AG246" s="171" t="n"/>
      <c r="AH246" s="171" t="n"/>
    </row>
    <row r="247">
      <c r="A247" s="171" t="n"/>
      <c r="B247" s="171" t="n"/>
      <c r="C247" s="171" t="n"/>
      <c r="D247" s="171" t="n"/>
      <c r="E247" s="171" t="n"/>
      <c r="F247" s="171" t="n"/>
      <c r="G247" s="171" t="n"/>
      <c r="H247" s="171" t="n"/>
      <c r="I247" s="171" t="n"/>
      <c r="J247" s="171" t="n"/>
      <c r="K247" s="171" t="n"/>
      <c r="L247" s="171" t="n"/>
      <c r="M247" s="171" t="n"/>
      <c r="N247" s="171" t="n"/>
      <c r="O247" s="171" t="n"/>
      <c r="P247" s="171" t="n"/>
      <c r="Q247" s="171" t="n"/>
      <c r="R247" s="171" t="n"/>
      <c r="S247" s="171" t="n"/>
      <c r="T247" s="171" t="n"/>
      <c r="U247" s="171" t="n"/>
      <c r="V247" s="171" t="n"/>
      <c r="W247" s="171" t="n"/>
      <c r="X247" s="171" t="n"/>
      <c r="Y247" s="171" t="n"/>
      <c r="Z247" s="171" t="n"/>
      <c r="AA247" s="171" t="n"/>
      <c r="AB247" s="171" t="n"/>
      <c r="AC247" s="171" t="n"/>
      <c r="AD247" s="171" t="n"/>
      <c r="AE247" s="171" t="n"/>
      <c r="AF247" s="171" t="n"/>
      <c r="AG247" s="171" t="n"/>
      <c r="AH247" s="171" t="n"/>
    </row>
    <row r="248">
      <c r="A248" s="171" t="n"/>
      <c r="B248" s="171" t="n"/>
      <c r="C248" s="171" t="n"/>
      <c r="D248" s="171" t="n"/>
      <c r="E248" s="171" t="n"/>
      <c r="F248" s="171" t="n"/>
      <c r="G248" s="171" t="n"/>
      <c r="H248" s="171" t="n"/>
      <c r="I248" s="171" t="n"/>
      <c r="J248" s="171" t="n"/>
      <c r="K248" s="171" t="n"/>
      <c r="L248" s="171" t="n"/>
      <c r="M248" s="171" t="n"/>
      <c r="N248" s="171" t="n"/>
      <c r="O248" s="171" t="n"/>
      <c r="P248" s="171" t="n"/>
      <c r="Q248" s="171" t="n"/>
      <c r="R248" s="171" t="n"/>
      <c r="S248" s="171" t="n"/>
      <c r="T248" s="171" t="n"/>
      <c r="U248" s="171" t="n"/>
      <c r="V248" s="171" t="n"/>
      <c r="W248" s="171" t="n"/>
      <c r="X248" s="171" t="n"/>
      <c r="Y248" s="171" t="n"/>
      <c r="Z248" s="171" t="n"/>
      <c r="AA248" s="171" t="n"/>
      <c r="AB248" s="171" t="n"/>
      <c r="AC248" s="171" t="n"/>
      <c r="AD248" s="171" t="n"/>
      <c r="AE248" s="171" t="n"/>
      <c r="AF248" s="171" t="n"/>
      <c r="AG248" s="171" t="n"/>
      <c r="AH248" s="171" t="n"/>
    </row>
    <row r="249">
      <c r="A249" s="171" t="n"/>
      <c r="B249" s="171" t="n"/>
      <c r="C249" s="171" t="n"/>
      <c r="D249" s="171" t="n"/>
      <c r="E249" s="171" t="n"/>
      <c r="F249" s="171" t="n"/>
      <c r="G249" s="171" t="n"/>
      <c r="H249" s="171" t="n"/>
      <c r="I249" s="171" t="n"/>
      <c r="J249" s="171" t="n"/>
      <c r="K249" s="171" t="n"/>
      <c r="L249" s="171" t="n"/>
      <c r="M249" s="171" t="n"/>
      <c r="N249" s="171" t="n"/>
      <c r="O249" s="171" t="n"/>
      <c r="P249" s="171" t="n"/>
      <c r="Q249" s="171" t="n"/>
      <c r="R249" s="171" t="n"/>
      <c r="S249" s="171" t="n"/>
      <c r="T249" s="171" t="n"/>
      <c r="U249" s="171" t="n"/>
      <c r="V249" s="171" t="n"/>
      <c r="W249" s="171" t="n"/>
      <c r="X249" s="171" t="n"/>
      <c r="Y249" s="171" t="n"/>
      <c r="Z249" s="171" t="n"/>
      <c r="AA249" s="171" t="n"/>
      <c r="AB249" s="171" t="n"/>
      <c r="AC249" s="171" t="n"/>
      <c r="AD249" s="171" t="n"/>
      <c r="AE249" s="171" t="n"/>
      <c r="AF249" s="171" t="n"/>
      <c r="AG249" s="171" t="n"/>
      <c r="AH249" s="171" t="n"/>
    </row>
    <row r="250">
      <c r="A250" s="171" t="n"/>
      <c r="B250" s="171" t="n"/>
      <c r="C250" s="171" t="n"/>
      <c r="D250" s="171" t="n"/>
      <c r="E250" s="171" t="n"/>
      <c r="F250" s="171" t="n"/>
      <c r="G250" s="171" t="n"/>
      <c r="H250" s="171" t="n"/>
      <c r="I250" s="171" t="n"/>
      <c r="J250" s="171" t="n"/>
      <c r="K250" s="171" t="n"/>
      <c r="L250" s="171" t="n"/>
      <c r="M250" s="171" t="n"/>
      <c r="N250" s="171" t="n"/>
      <c r="O250" s="171" t="n"/>
      <c r="P250" s="171" t="n"/>
      <c r="Q250" s="171" t="n"/>
      <c r="R250" s="171" t="n"/>
      <c r="S250" s="171" t="n"/>
      <c r="T250" s="171" t="n"/>
      <c r="U250" s="171" t="n"/>
      <c r="V250" s="171" t="n"/>
      <c r="W250" s="171" t="n"/>
      <c r="X250" s="171" t="n"/>
      <c r="Y250" s="171" t="n"/>
      <c r="Z250" s="171" t="n"/>
      <c r="AA250" s="171" t="n"/>
      <c r="AB250" s="171" t="n"/>
      <c r="AC250" s="171" t="n"/>
      <c r="AD250" s="171" t="n"/>
      <c r="AE250" s="171" t="n"/>
      <c r="AF250" s="171" t="n"/>
      <c r="AG250" s="171" t="n"/>
      <c r="AH250" s="171" t="n"/>
    </row>
    <row r="251">
      <c r="A251" s="171" t="n"/>
      <c r="B251" s="171" t="n"/>
      <c r="C251" s="171" t="n"/>
      <c r="D251" s="171" t="n"/>
      <c r="E251" s="171" t="n"/>
      <c r="F251" s="171" t="n"/>
      <c r="G251" s="171" t="n"/>
      <c r="H251" s="171" t="n"/>
      <c r="I251" s="171" t="n"/>
      <c r="J251" s="171" t="n"/>
      <c r="K251" s="171" t="n"/>
      <c r="L251" s="171" t="n"/>
      <c r="M251" s="171" t="n"/>
      <c r="N251" s="171" t="n"/>
      <c r="O251" s="171" t="n"/>
      <c r="P251" s="171" t="n"/>
      <c r="Q251" s="171" t="n"/>
      <c r="R251" s="171" t="n"/>
      <c r="S251" s="171" t="n"/>
      <c r="T251" s="171" t="n"/>
      <c r="U251" s="171" t="n"/>
      <c r="V251" s="171" t="n"/>
      <c r="W251" s="171" t="n"/>
      <c r="X251" s="171" t="n"/>
      <c r="Y251" s="171" t="n"/>
      <c r="Z251" s="171" t="n"/>
      <c r="AA251" s="171" t="n"/>
      <c r="AB251" s="171" t="n"/>
      <c r="AC251" s="171" t="n"/>
      <c r="AD251" s="171" t="n"/>
      <c r="AE251" s="171" t="n"/>
      <c r="AF251" s="171" t="n"/>
      <c r="AG251" s="171" t="n"/>
      <c r="AH251" s="171" t="n"/>
    </row>
    <row r="252">
      <c r="A252" s="171" t="n"/>
      <c r="B252" s="171" t="n"/>
      <c r="C252" s="171" t="n"/>
      <c r="D252" s="171" t="n"/>
      <c r="E252" s="171" t="n"/>
      <c r="F252" s="171" t="n"/>
      <c r="G252" s="171" t="n"/>
      <c r="H252" s="171" t="n"/>
      <c r="I252" s="171" t="n"/>
      <c r="J252" s="171" t="n"/>
      <c r="K252" s="171" t="n"/>
      <c r="L252" s="171" t="n"/>
      <c r="M252" s="171" t="n"/>
      <c r="N252" s="171" t="n"/>
      <c r="O252" s="171" t="n"/>
      <c r="P252" s="171" t="n"/>
      <c r="Q252" s="171" t="n"/>
      <c r="R252" s="171" t="n"/>
      <c r="S252" s="171" t="n"/>
      <c r="T252" s="171" t="n"/>
      <c r="U252" s="171" t="n"/>
      <c r="V252" s="171" t="n"/>
      <c r="W252" s="171" t="n"/>
      <c r="X252" s="171" t="n"/>
      <c r="Y252" s="171" t="n"/>
      <c r="Z252" s="171" t="n"/>
      <c r="AA252" s="171" t="n"/>
      <c r="AB252" s="171" t="n"/>
      <c r="AC252" s="171" t="n"/>
      <c r="AD252" s="171" t="n"/>
      <c r="AE252" s="171" t="n"/>
      <c r="AF252" s="171" t="n"/>
      <c r="AG252" s="171" t="n"/>
      <c r="AH252" s="171" t="n"/>
    </row>
    <row r="253">
      <c r="A253" s="171" t="n"/>
      <c r="B253" s="171" t="n"/>
      <c r="C253" s="171" t="n"/>
      <c r="D253" s="171" t="n"/>
      <c r="E253" s="171" t="n"/>
      <c r="F253" s="171" t="n"/>
      <c r="G253" s="171" t="n"/>
      <c r="H253" s="171" t="n"/>
      <c r="I253" s="171" t="n"/>
      <c r="J253" s="171" t="n"/>
      <c r="K253" s="171" t="n"/>
      <c r="L253" s="171" t="n"/>
      <c r="M253" s="171" t="n"/>
      <c r="N253" s="171" t="n"/>
      <c r="O253" s="171" t="n"/>
      <c r="P253" s="171" t="n"/>
      <c r="Q253" s="171" t="n"/>
      <c r="R253" s="171" t="n"/>
      <c r="S253" s="171" t="n"/>
      <c r="T253" s="171" t="n"/>
      <c r="U253" s="171" t="n"/>
      <c r="V253" s="171" t="n"/>
      <c r="W253" s="171" t="n"/>
      <c r="X253" s="171" t="n"/>
      <c r="Y253" s="171" t="n"/>
      <c r="Z253" s="171" t="n"/>
      <c r="AA253" s="171" t="n"/>
      <c r="AB253" s="171" t="n"/>
      <c r="AC253" s="171" t="n"/>
      <c r="AD253" s="171" t="n"/>
      <c r="AE253" s="171" t="n"/>
      <c r="AF253" s="171" t="n"/>
      <c r="AG253" s="171" t="n"/>
      <c r="AH253" s="171" t="n"/>
    </row>
    <row r="254">
      <c r="A254" s="171" t="n"/>
      <c r="B254" s="171" t="n"/>
      <c r="C254" s="171" t="n"/>
      <c r="D254" s="171" t="n"/>
      <c r="E254" s="171" t="n"/>
      <c r="F254" s="171" t="n"/>
      <c r="G254" s="171" t="n"/>
      <c r="H254" s="171" t="n"/>
      <c r="I254" s="171" t="n"/>
      <c r="J254" s="171" t="n"/>
      <c r="K254" s="171" t="n"/>
      <c r="L254" s="171" t="n"/>
      <c r="M254" s="171" t="n"/>
      <c r="N254" s="171" t="n"/>
      <c r="O254" s="171" t="n"/>
      <c r="P254" s="171" t="n"/>
      <c r="Q254" s="171" t="n"/>
      <c r="R254" s="171" t="n"/>
      <c r="S254" s="171" t="n"/>
      <c r="T254" s="171" t="n"/>
      <c r="U254" s="171" t="n"/>
      <c r="V254" s="171" t="n"/>
      <c r="W254" s="171" t="n"/>
      <c r="X254" s="171" t="n"/>
      <c r="Y254" s="171" t="n"/>
      <c r="Z254" s="171" t="n"/>
      <c r="AA254" s="171" t="n"/>
      <c r="AB254" s="171" t="n"/>
      <c r="AC254" s="171" t="n"/>
      <c r="AD254" s="171" t="n"/>
      <c r="AE254" s="171" t="n"/>
      <c r="AF254" s="171" t="n"/>
      <c r="AG254" s="171" t="n"/>
      <c r="AH254" s="171" t="n"/>
    </row>
    <row r="255">
      <c r="A255" s="171" t="n"/>
      <c r="B255" s="171" t="n"/>
      <c r="C255" s="171" t="n"/>
      <c r="D255" s="171" t="n"/>
      <c r="E255" s="171" t="n"/>
      <c r="F255" s="171" t="n"/>
      <c r="G255" s="171" t="n"/>
      <c r="H255" s="171" t="n"/>
      <c r="I255" s="171" t="n"/>
      <c r="J255" s="171" t="n"/>
      <c r="K255" s="171" t="n"/>
      <c r="L255" s="171" t="n"/>
      <c r="M255" s="171" t="n"/>
      <c r="N255" s="171" t="n"/>
      <c r="O255" s="171" t="n"/>
      <c r="P255" s="171" t="n"/>
      <c r="Q255" s="171" t="n"/>
      <c r="R255" s="171" t="n"/>
      <c r="S255" s="171" t="n"/>
      <c r="T255" s="171" t="n"/>
      <c r="U255" s="171" t="n"/>
      <c r="V255" s="171" t="n"/>
      <c r="W255" s="171" t="n"/>
      <c r="X255" s="171" t="n"/>
      <c r="Y255" s="171" t="n"/>
      <c r="Z255" s="171" t="n"/>
      <c r="AA255" s="171" t="n"/>
      <c r="AB255" s="171" t="n"/>
      <c r="AC255" s="171" t="n"/>
      <c r="AD255" s="171" t="n"/>
      <c r="AE255" s="171" t="n"/>
      <c r="AF255" s="171" t="n"/>
      <c r="AG255" s="171" t="n"/>
      <c r="AH255" s="171" t="n"/>
    </row>
    <row r="256">
      <c r="A256" s="171" t="n"/>
      <c r="B256" s="171" t="n"/>
      <c r="C256" s="171" t="n"/>
      <c r="D256" s="171" t="n"/>
      <c r="E256" s="171" t="n"/>
      <c r="F256" s="171" t="n"/>
      <c r="G256" s="171" t="n"/>
      <c r="H256" s="171" t="n"/>
      <c r="I256" s="171" t="n"/>
      <c r="J256" s="171" t="n"/>
      <c r="K256" s="171" t="n"/>
      <c r="L256" s="171" t="n"/>
      <c r="M256" s="171" t="n"/>
      <c r="N256" s="171" t="n"/>
      <c r="O256" s="171" t="n"/>
      <c r="P256" s="171" t="n"/>
      <c r="Q256" s="171" t="n"/>
      <c r="R256" s="171" t="n"/>
      <c r="S256" s="171" t="n"/>
      <c r="T256" s="171" t="n"/>
      <c r="U256" s="171" t="n"/>
      <c r="V256" s="171" t="n"/>
      <c r="W256" s="171" t="n"/>
      <c r="X256" s="171" t="n"/>
      <c r="Y256" s="171" t="n"/>
      <c r="Z256" s="171" t="n"/>
      <c r="AA256" s="171" t="n"/>
      <c r="AB256" s="171" t="n"/>
      <c r="AC256" s="171" t="n"/>
      <c r="AD256" s="171" t="n"/>
      <c r="AE256" s="171" t="n"/>
      <c r="AF256" s="171" t="n"/>
      <c r="AG256" s="171" t="n"/>
      <c r="AH256" s="171" t="n"/>
    </row>
    <row r="257">
      <c r="A257" s="171" t="n"/>
      <c r="B257" s="171" t="n"/>
      <c r="C257" s="171" t="n"/>
      <c r="D257" s="171" t="n"/>
      <c r="E257" s="171" t="n"/>
      <c r="F257" s="171" t="n"/>
      <c r="G257" s="171" t="n"/>
      <c r="H257" s="171" t="n"/>
      <c r="I257" s="171" t="n"/>
      <c r="J257" s="171" t="n"/>
      <c r="K257" s="171" t="n"/>
      <c r="L257" s="171" t="n"/>
      <c r="M257" s="171" t="n"/>
      <c r="N257" s="171" t="n"/>
      <c r="O257" s="171" t="n"/>
      <c r="P257" s="171" t="n"/>
      <c r="Q257" s="171" t="n"/>
      <c r="R257" s="171" t="n"/>
      <c r="S257" s="171" t="n"/>
      <c r="T257" s="171" t="n"/>
      <c r="U257" s="171" t="n"/>
      <c r="V257" s="171" t="n"/>
      <c r="W257" s="171" t="n"/>
      <c r="X257" s="171" t="n"/>
      <c r="Y257" s="171" t="n"/>
      <c r="Z257" s="171" t="n"/>
      <c r="AA257" s="171" t="n"/>
      <c r="AB257" s="171" t="n"/>
      <c r="AC257" s="171" t="n"/>
      <c r="AD257" s="171" t="n"/>
      <c r="AE257" s="171" t="n"/>
      <c r="AF257" s="171" t="n"/>
      <c r="AG257" s="171" t="n"/>
      <c r="AH257" s="171" t="n"/>
    </row>
    <row r="258">
      <c r="A258" s="171" t="n"/>
      <c r="B258" s="171" t="n"/>
      <c r="C258" s="171" t="n"/>
      <c r="D258" s="171" t="n"/>
      <c r="E258" s="171" t="n"/>
      <c r="F258" s="171" t="n"/>
      <c r="G258" s="171" t="n"/>
      <c r="H258" s="171" t="n"/>
      <c r="I258" s="171" t="n"/>
      <c r="J258" s="171" t="n"/>
      <c r="K258" s="171" t="n"/>
      <c r="L258" s="171" t="n"/>
      <c r="M258" s="171" t="n"/>
      <c r="N258" s="171" t="n"/>
      <c r="O258" s="171" t="n"/>
      <c r="P258" s="171" t="n"/>
      <c r="Q258" s="171" t="n"/>
      <c r="R258" s="171" t="n"/>
      <c r="S258" s="171" t="n"/>
      <c r="T258" s="171" t="n"/>
      <c r="U258" s="171" t="n"/>
      <c r="V258" s="171" t="n"/>
      <c r="W258" s="171" t="n"/>
      <c r="X258" s="171" t="n"/>
      <c r="Y258" s="171" t="n"/>
      <c r="Z258" s="171" t="n"/>
      <c r="AA258" s="171" t="n"/>
      <c r="AB258" s="171" t="n"/>
      <c r="AC258" s="171" t="n"/>
      <c r="AD258" s="171" t="n"/>
      <c r="AE258" s="171" t="n"/>
      <c r="AF258" s="171" t="n"/>
      <c r="AG258" s="171" t="n"/>
      <c r="AH258" s="171" t="n"/>
    </row>
    <row r="259">
      <c r="A259" s="171" t="n"/>
      <c r="B259" s="171" t="n"/>
      <c r="C259" s="171" t="n"/>
      <c r="D259" s="171" t="n"/>
      <c r="E259" s="171" t="n"/>
      <c r="F259" s="171" t="n"/>
      <c r="G259" s="171" t="n"/>
      <c r="H259" s="171" t="n"/>
      <c r="I259" s="171" t="n"/>
      <c r="J259" s="171" t="n"/>
      <c r="K259" s="171" t="n"/>
      <c r="L259" s="171" t="n"/>
      <c r="M259" s="171" t="n"/>
      <c r="N259" s="171" t="n"/>
      <c r="O259" s="171" t="n"/>
      <c r="P259" s="171" t="n"/>
      <c r="Q259" s="171" t="n"/>
      <c r="R259" s="171" t="n"/>
      <c r="S259" s="171" t="n"/>
      <c r="T259" s="171" t="n"/>
      <c r="U259" s="171" t="n"/>
      <c r="V259" s="171" t="n"/>
      <c r="W259" s="171" t="n"/>
      <c r="X259" s="171" t="n"/>
      <c r="Y259" s="171" t="n"/>
      <c r="Z259" s="171" t="n"/>
      <c r="AA259" s="171" t="n"/>
      <c r="AB259" s="171" t="n"/>
      <c r="AC259" s="171" t="n"/>
      <c r="AD259" s="171" t="n"/>
      <c r="AE259" s="171" t="n"/>
      <c r="AF259" s="171" t="n"/>
      <c r="AG259" s="171" t="n"/>
      <c r="AH259" s="171" t="n"/>
    </row>
    <row r="260">
      <c r="A260" s="171" t="n"/>
      <c r="B260" s="171" t="n"/>
      <c r="C260" s="171" t="n"/>
      <c r="D260" s="171" t="n"/>
      <c r="E260" s="171" t="n"/>
      <c r="F260" s="171" t="n"/>
      <c r="G260" s="171" t="n"/>
      <c r="H260" s="171" t="n"/>
      <c r="I260" s="171" t="n"/>
      <c r="J260" s="171" t="n"/>
      <c r="K260" s="171" t="n"/>
      <c r="L260" s="171" t="n"/>
      <c r="M260" s="171" t="n"/>
      <c r="N260" s="171" t="n"/>
      <c r="O260" s="171" t="n"/>
      <c r="P260" s="171" t="n"/>
      <c r="Q260" s="171" t="n"/>
      <c r="R260" s="171" t="n"/>
      <c r="S260" s="171" t="n"/>
      <c r="T260" s="171" t="n"/>
      <c r="U260" s="171" t="n"/>
      <c r="V260" s="171" t="n"/>
      <c r="W260" s="171" t="n"/>
      <c r="X260" s="171" t="n"/>
      <c r="Y260" s="171" t="n"/>
      <c r="Z260" s="171" t="n"/>
      <c r="AA260" s="171" t="n"/>
      <c r="AB260" s="171" t="n"/>
      <c r="AC260" s="171" t="n"/>
      <c r="AD260" s="171" t="n"/>
      <c r="AE260" s="171" t="n"/>
      <c r="AF260" s="171" t="n"/>
      <c r="AG260" s="171" t="n"/>
      <c r="AH260" s="171" t="n"/>
    </row>
    <row r="261">
      <c r="A261" s="171" t="n"/>
      <c r="B261" s="171" t="n"/>
      <c r="C261" s="171" t="n"/>
      <c r="D261" s="171" t="n"/>
      <c r="E261" s="171" t="n"/>
      <c r="F261" s="171" t="n"/>
      <c r="G261" s="171" t="n"/>
      <c r="H261" s="171" t="n"/>
      <c r="I261" s="171" t="n"/>
      <c r="J261" s="171" t="n"/>
      <c r="K261" s="171" t="n"/>
      <c r="L261" s="171" t="n"/>
      <c r="M261" s="171" t="n"/>
      <c r="N261" s="171" t="n"/>
      <c r="O261" s="171" t="n"/>
      <c r="P261" s="171" t="n"/>
      <c r="Q261" s="171" t="n"/>
      <c r="R261" s="171" t="n"/>
      <c r="S261" s="171" t="n"/>
      <c r="T261" s="171" t="n"/>
      <c r="U261" s="171" t="n"/>
      <c r="V261" s="171" t="n"/>
      <c r="W261" s="171" t="n"/>
      <c r="X261" s="171" t="n"/>
      <c r="Y261" s="171" t="n"/>
      <c r="Z261" s="171" t="n"/>
      <c r="AA261" s="171" t="n"/>
      <c r="AB261" s="171" t="n"/>
      <c r="AC261" s="171" t="n"/>
      <c r="AD261" s="171" t="n"/>
      <c r="AE261" s="171" t="n"/>
      <c r="AF261" s="171" t="n"/>
      <c r="AG261" s="171" t="n"/>
      <c r="AH261" s="171" t="n"/>
    </row>
    <row r="262">
      <c r="A262" s="171" t="n"/>
      <c r="B262" s="171" t="n"/>
      <c r="C262" s="171" t="n"/>
      <c r="D262" s="171" t="n"/>
      <c r="E262" s="171" t="n"/>
      <c r="F262" s="171" t="n"/>
      <c r="G262" s="171" t="n"/>
      <c r="H262" s="171" t="n"/>
      <c r="I262" s="171" t="n"/>
      <c r="J262" s="171" t="n"/>
      <c r="K262" s="171" t="n"/>
      <c r="L262" s="171" t="n"/>
      <c r="M262" s="171" t="n"/>
      <c r="N262" s="171" t="n"/>
      <c r="O262" s="171" t="n"/>
      <c r="P262" s="171" t="n"/>
      <c r="Q262" s="171" t="n"/>
      <c r="R262" s="171" t="n"/>
      <c r="S262" s="171" t="n"/>
      <c r="T262" s="171" t="n"/>
      <c r="U262" s="171" t="n"/>
      <c r="V262" s="171" t="n"/>
      <c r="W262" s="171" t="n"/>
      <c r="X262" s="171" t="n"/>
      <c r="Y262" s="171" t="n"/>
      <c r="Z262" s="171" t="n"/>
      <c r="AA262" s="171" t="n"/>
      <c r="AB262" s="171" t="n"/>
      <c r="AC262" s="171" t="n"/>
      <c r="AD262" s="171" t="n"/>
      <c r="AE262" s="171" t="n"/>
      <c r="AF262" s="171" t="n"/>
      <c r="AG262" s="171" t="n"/>
      <c r="AH262" s="171" t="n"/>
    </row>
    <row r="263">
      <c r="A263" s="171" t="n"/>
      <c r="B263" s="171" t="n"/>
      <c r="C263" s="171" t="n"/>
      <c r="D263" s="171" t="n"/>
      <c r="E263" s="171" t="n"/>
      <c r="F263" s="171" t="n"/>
      <c r="G263" s="171" t="n"/>
      <c r="H263" s="171" t="n"/>
      <c r="I263" s="171" t="n"/>
      <c r="J263" s="171" t="n"/>
      <c r="K263" s="171" t="n"/>
      <c r="L263" s="171" t="n"/>
      <c r="M263" s="171" t="n"/>
      <c r="N263" s="171" t="n"/>
      <c r="O263" s="171" t="n"/>
      <c r="P263" s="171" t="n"/>
      <c r="Q263" s="171" t="n"/>
      <c r="R263" s="171" t="n"/>
      <c r="S263" s="171" t="n"/>
      <c r="T263" s="171" t="n"/>
      <c r="U263" s="171" t="n"/>
      <c r="V263" s="171" t="n"/>
      <c r="W263" s="171" t="n"/>
      <c r="X263" s="171" t="n"/>
      <c r="Y263" s="171" t="n"/>
      <c r="Z263" s="171" t="n"/>
      <c r="AA263" s="171" t="n"/>
      <c r="AB263" s="171" t="n"/>
      <c r="AC263" s="171" t="n"/>
      <c r="AD263" s="171" t="n"/>
      <c r="AE263" s="171" t="n"/>
      <c r="AF263" s="171" t="n"/>
      <c r="AG263" s="171" t="n"/>
      <c r="AH263" s="171" t="n"/>
    </row>
    <row r="264">
      <c r="A264" s="171" t="n"/>
      <c r="B264" s="171" t="n"/>
      <c r="C264" s="171" t="n"/>
      <c r="D264" s="171" t="n"/>
      <c r="E264" s="171" t="n"/>
      <c r="F264" s="171" t="n"/>
      <c r="G264" s="171" t="n"/>
      <c r="H264" s="171" t="n"/>
      <c r="I264" s="171" t="n"/>
      <c r="J264" s="171" t="n"/>
      <c r="K264" s="171" t="n"/>
      <c r="L264" s="171" t="n"/>
      <c r="M264" s="171" t="n"/>
      <c r="N264" s="171" t="n"/>
      <c r="O264" s="171" t="n"/>
      <c r="P264" s="171" t="n"/>
      <c r="Q264" s="171" t="n"/>
      <c r="R264" s="171" t="n"/>
      <c r="S264" s="171" t="n"/>
      <c r="T264" s="171" t="n"/>
      <c r="U264" s="171" t="n"/>
      <c r="V264" s="171" t="n"/>
      <c r="W264" s="171" t="n"/>
      <c r="X264" s="171" t="n"/>
      <c r="Y264" s="171" t="n"/>
      <c r="Z264" s="171" t="n"/>
      <c r="AA264" s="171" t="n"/>
      <c r="AB264" s="171" t="n"/>
      <c r="AC264" s="171" t="n"/>
      <c r="AD264" s="171" t="n"/>
      <c r="AE264" s="171" t="n"/>
      <c r="AF264" s="171" t="n"/>
      <c r="AG264" s="171" t="n"/>
      <c r="AH264" s="171" t="n"/>
    </row>
    <row r="265">
      <c r="A265" s="171" t="n"/>
      <c r="B265" s="171" t="n"/>
      <c r="C265" s="171" t="n"/>
      <c r="D265" s="171" t="n"/>
      <c r="E265" s="171" t="n"/>
      <c r="F265" s="171" t="n"/>
      <c r="G265" s="171" t="n"/>
      <c r="H265" s="171" t="n"/>
      <c r="I265" s="171" t="n"/>
      <c r="J265" s="171" t="n"/>
      <c r="K265" s="171" t="n"/>
      <c r="L265" s="171" t="n"/>
      <c r="M265" s="171" t="n"/>
      <c r="N265" s="171" t="n"/>
      <c r="O265" s="171" t="n"/>
      <c r="P265" s="171" t="n"/>
      <c r="Q265" s="171" t="n"/>
      <c r="R265" s="171" t="n"/>
      <c r="S265" s="171" t="n"/>
      <c r="T265" s="171" t="n"/>
      <c r="U265" s="171" t="n"/>
      <c r="V265" s="171" t="n"/>
      <c r="W265" s="171" t="n"/>
      <c r="X265" s="171" t="n"/>
      <c r="Y265" s="171" t="n"/>
      <c r="Z265" s="171" t="n"/>
      <c r="AA265" s="171" t="n"/>
      <c r="AB265" s="171" t="n"/>
      <c r="AC265" s="171" t="n"/>
      <c r="AD265" s="171" t="n"/>
      <c r="AE265" s="171" t="n"/>
      <c r="AF265" s="171" t="n"/>
      <c r="AG265" s="171" t="n"/>
      <c r="AH265" s="171" t="n"/>
    </row>
    <row r="266">
      <c r="A266" s="171" t="n"/>
      <c r="B266" s="171" t="n"/>
      <c r="C266" s="171" t="n"/>
      <c r="D266" s="171" t="n"/>
      <c r="E266" s="171" t="n"/>
      <c r="F266" s="171" t="n"/>
      <c r="G266" s="171" t="n"/>
      <c r="H266" s="171" t="n"/>
      <c r="I266" s="171" t="n"/>
      <c r="J266" s="171" t="n"/>
      <c r="K266" s="171" t="n"/>
      <c r="L266" s="171" t="n"/>
      <c r="M266" s="171" t="n"/>
      <c r="N266" s="171" t="n"/>
      <c r="O266" s="171" t="n"/>
      <c r="P266" s="171" t="n"/>
      <c r="Q266" s="171" t="n"/>
      <c r="R266" s="171" t="n"/>
      <c r="S266" s="171" t="n"/>
      <c r="T266" s="171" t="n"/>
      <c r="U266" s="171" t="n"/>
      <c r="V266" s="171" t="n"/>
      <c r="W266" s="171" t="n"/>
      <c r="X266" s="171" t="n"/>
      <c r="Y266" s="171" t="n"/>
      <c r="Z266" s="171" t="n"/>
      <c r="AA266" s="171" t="n"/>
      <c r="AB266" s="171" t="n"/>
      <c r="AC266" s="171" t="n"/>
      <c r="AD266" s="171" t="n"/>
      <c r="AE266" s="171" t="n"/>
      <c r="AF266" s="171" t="n"/>
      <c r="AG266" s="171" t="n"/>
      <c r="AH266" s="171" t="n"/>
    </row>
    <row r="267">
      <c r="A267" s="171" t="n"/>
      <c r="B267" s="171" t="n"/>
      <c r="C267" s="171" t="n"/>
      <c r="D267" s="171" t="n"/>
      <c r="E267" s="171" t="n"/>
      <c r="F267" s="171" t="n"/>
      <c r="G267" s="171" t="n"/>
      <c r="H267" s="171" t="n"/>
      <c r="I267" s="171" t="n"/>
      <c r="J267" s="171" t="n"/>
      <c r="K267" s="171" t="n"/>
      <c r="L267" s="171" t="n"/>
      <c r="M267" s="171" t="n"/>
      <c r="N267" s="171" t="n"/>
      <c r="O267" s="171" t="n"/>
      <c r="P267" s="171" t="n"/>
      <c r="Q267" s="171" t="n"/>
      <c r="R267" s="171" t="n"/>
      <c r="S267" s="171" t="n"/>
      <c r="T267" s="171" t="n"/>
      <c r="U267" s="171" t="n"/>
      <c r="V267" s="171" t="n"/>
      <c r="W267" s="171" t="n"/>
      <c r="X267" s="171" t="n"/>
      <c r="Y267" s="171" t="n"/>
      <c r="Z267" s="171" t="n"/>
      <c r="AA267" s="171" t="n"/>
      <c r="AB267" s="171" t="n"/>
      <c r="AC267" s="171" t="n"/>
      <c r="AD267" s="171" t="n"/>
      <c r="AE267" s="171" t="n"/>
      <c r="AF267" s="171" t="n"/>
      <c r="AG267" s="171" t="n"/>
      <c r="AH267" s="171" t="n"/>
    </row>
    <row r="268">
      <c r="A268" s="171" t="n"/>
      <c r="B268" s="171" t="n"/>
      <c r="C268" s="171" t="n"/>
      <c r="D268" s="171" t="n"/>
      <c r="E268" s="171" t="n"/>
      <c r="F268" s="171" t="n"/>
      <c r="G268" s="171" t="n"/>
      <c r="H268" s="171" t="n"/>
      <c r="I268" s="171" t="n"/>
      <c r="J268" s="171" t="n"/>
      <c r="K268" s="171" t="n"/>
      <c r="L268" s="171" t="n"/>
      <c r="M268" s="171" t="n"/>
      <c r="N268" s="171" t="n"/>
      <c r="O268" s="171" t="n"/>
      <c r="P268" s="171" t="n"/>
      <c r="Q268" s="171" t="n"/>
      <c r="R268" s="171" t="n"/>
      <c r="S268" s="171" t="n"/>
      <c r="T268" s="171" t="n"/>
      <c r="U268" s="171" t="n"/>
      <c r="V268" s="171" t="n"/>
      <c r="W268" s="171" t="n"/>
      <c r="X268" s="171" t="n"/>
      <c r="Y268" s="171" t="n"/>
      <c r="Z268" s="171" t="n"/>
      <c r="AA268" s="171" t="n"/>
      <c r="AB268" s="171" t="n"/>
      <c r="AC268" s="171" t="n"/>
      <c r="AD268" s="171" t="n"/>
      <c r="AE268" s="171" t="n"/>
      <c r="AF268" s="171" t="n"/>
      <c r="AG268" s="171" t="n"/>
      <c r="AH268" s="171" t="n"/>
    </row>
    <row r="269">
      <c r="A269" s="171" t="n"/>
      <c r="B269" s="171" t="n"/>
      <c r="C269" s="171" t="n"/>
      <c r="D269" s="171" t="n"/>
      <c r="E269" s="171" t="n"/>
      <c r="F269" s="171" t="n"/>
      <c r="G269" s="171" t="n"/>
      <c r="H269" s="171" t="n"/>
      <c r="I269" s="171" t="n"/>
      <c r="J269" s="171" t="n"/>
      <c r="K269" s="171" t="n"/>
      <c r="L269" s="171" t="n"/>
      <c r="M269" s="171" t="n"/>
      <c r="N269" s="171" t="n"/>
      <c r="O269" s="171" t="n"/>
      <c r="P269" s="171" t="n"/>
      <c r="Q269" s="171" t="n"/>
      <c r="R269" s="171" t="n"/>
      <c r="S269" s="171" t="n"/>
      <c r="T269" s="171" t="n"/>
      <c r="U269" s="171" t="n"/>
      <c r="V269" s="171" t="n"/>
      <c r="W269" s="171" t="n"/>
      <c r="X269" s="171" t="n"/>
      <c r="Y269" s="171" t="n"/>
      <c r="Z269" s="171" t="n"/>
      <c r="AA269" s="171" t="n"/>
      <c r="AB269" s="171" t="n"/>
      <c r="AC269" s="171" t="n"/>
      <c r="AD269" s="171" t="n"/>
      <c r="AE269" s="171" t="n"/>
      <c r="AF269" s="171" t="n"/>
      <c r="AG269" s="171" t="n"/>
      <c r="AH269" s="171" t="n"/>
    </row>
    <row r="270">
      <c r="A270" s="171" t="n"/>
      <c r="B270" s="171" t="n"/>
      <c r="C270" s="171" t="n"/>
      <c r="D270" s="171" t="n"/>
      <c r="E270" s="171" t="n"/>
      <c r="F270" s="171" t="n"/>
      <c r="G270" s="171" t="n"/>
      <c r="H270" s="171" t="n"/>
      <c r="I270" s="171" t="n"/>
      <c r="J270" s="171" t="n"/>
      <c r="K270" s="171" t="n"/>
      <c r="L270" s="171" t="n"/>
      <c r="M270" s="171" t="n"/>
      <c r="N270" s="171" t="n"/>
      <c r="O270" s="171" t="n"/>
      <c r="P270" s="171" t="n"/>
      <c r="Q270" s="171" t="n"/>
      <c r="R270" s="171" t="n"/>
      <c r="S270" s="171" t="n"/>
      <c r="T270" s="171" t="n"/>
      <c r="U270" s="171" t="n"/>
      <c r="V270" s="171" t="n"/>
      <c r="W270" s="171" t="n"/>
      <c r="X270" s="171" t="n"/>
      <c r="Y270" s="171" t="n"/>
      <c r="Z270" s="171" t="n"/>
      <c r="AA270" s="171" t="n"/>
      <c r="AB270" s="171" t="n"/>
      <c r="AC270" s="171" t="n"/>
      <c r="AD270" s="171" t="n"/>
      <c r="AE270" s="171" t="n"/>
      <c r="AF270" s="171" t="n"/>
      <c r="AG270" s="171" t="n"/>
      <c r="AH270" s="171" t="n"/>
    </row>
    <row r="271">
      <c r="A271" s="171" t="n"/>
      <c r="B271" s="171" t="n"/>
      <c r="C271" s="171" t="n"/>
      <c r="D271" s="171" t="n"/>
      <c r="E271" s="171" t="n"/>
      <c r="F271" s="171" t="n"/>
      <c r="G271" s="171" t="n"/>
      <c r="H271" s="171" t="n"/>
      <c r="I271" s="171" t="n"/>
      <c r="J271" s="171" t="n"/>
      <c r="K271" s="171" t="n"/>
      <c r="L271" s="171" t="n"/>
      <c r="M271" s="171" t="n"/>
      <c r="N271" s="171" t="n"/>
      <c r="O271" s="171" t="n"/>
      <c r="P271" s="171" t="n"/>
      <c r="Q271" s="171" t="n"/>
      <c r="R271" s="171" t="n"/>
      <c r="S271" s="171" t="n"/>
      <c r="T271" s="171" t="n"/>
      <c r="U271" s="171" t="n"/>
      <c r="V271" s="171" t="n"/>
      <c r="W271" s="171" t="n"/>
      <c r="X271" s="171" t="n"/>
      <c r="Y271" s="171" t="n"/>
      <c r="Z271" s="171" t="n"/>
      <c r="AA271" s="171" t="n"/>
      <c r="AB271" s="171" t="n"/>
      <c r="AC271" s="171" t="n"/>
      <c r="AD271" s="171" t="n"/>
      <c r="AE271" s="171" t="n"/>
      <c r="AF271" s="171" t="n"/>
      <c r="AG271" s="171" t="n"/>
      <c r="AH271" s="171" t="n"/>
    </row>
    <row r="272">
      <c r="A272" s="171" t="n"/>
      <c r="B272" s="171" t="n"/>
      <c r="C272" s="171" t="n"/>
      <c r="D272" s="171" t="n"/>
      <c r="E272" s="171" t="n"/>
      <c r="F272" s="171" t="n"/>
      <c r="G272" s="171" t="n"/>
      <c r="H272" s="171" t="n"/>
      <c r="I272" s="171" t="n"/>
      <c r="J272" s="171" t="n"/>
      <c r="K272" s="171" t="n"/>
      <c r="L272" s="171" t="n"/>
      <c r="M272" s="171" t="n"/>
      <c r="N272" s="171" t="n"/>
      <c r="O272" s="171" t="n"/>
      <c r="P272" s="171" t="n"/>
      <c r="Q272" s="171" t="n"/>
      <c r="R272" s="171" t="n"/>
      <c r="S272" s="171" t="n"/>
      <c r="T272" s="171" t="n"/>
      <c r="U272" s="171" t="n"/>
      <c r="V272" s="171" t="n"/>
      <c r="W272" s="171" t="n"/>
      <c r="X272" s="171" t="n"/>
      <c r="Y272" s="171" t="n"/>
      <c r="Z272" s="171" t="n"/>
      <c r="AA272" s="171" t="n"/>
      <c r="AB272" s="171" t="n"/>
      <c r="AC272" s="171" t="n"/>
      <c r="AD272" s="171" t="n"/>
      <c r="AE272" s="171" t="n"/>
      <c r="AF272" s="171" t="n"/>
      <c r="AG272" s="171" t="n"/>
      <c r="AH272" s="171" t="n"/>
    </row>
    <row r="273">
      <c r="A273" s="171" t="n"/>
      <c r="B273" s="171" t="n"/>
      <c r="C273" s="171" t="n"/>
      <c r="D273" s="171" t="n"/>
      <c r="E273" s="171" t="n"/>
      <c r="F273" s="171" t="n"/>
      <c r="G273" s="171" t="n"/>
      <c r="H273" s="171" t="n"/>
      <c r="I273" s="171" t="n"/>
      <c r="J273" s="171" t="n"/>
      <c r="K273" s="171" t="n"/>
      <c r="L273" s="171" t="n"/>
      <c r="M273" s="171" t="n"/>
      <c r="N273" s="171" t="n"/>
      <c r="O273" s="171" t="n"/>
      <c r="P273" s="171" t="n"/>
      <c r="Q273" s="171" t="n"/>
      <c r="R273" s="171" t="n"/>
      <c r="S273" s="171" t="n"/>
      <c r="T273" s="171" t="n"/>
      <c r="U273" s="171" t="n"/>
      <c r="V273" s="171" t="n"/>
      <c r="W273" s="171" t="n"/>
      <c r="X273" s="171" t="n"/>
      <c r="Y273" s="171" t="n"/>
      <c r="Z273" s="171" t="n"/>
      <c r="AA273" s="171" t="n"/>
      <c r="AB273" s="171" t="n"/>
      <c r="AC273" s="171" t="n"/>
      <c r="AD273" s="171" t="n"/>
      <c r="AE273" s="171" t="n"/>
      <c r="AF273" s="171" t="n"/>
      <c r="AG273" s="171" t="n"/>
      <c r="AH273" s="171" t="n"/>
    </row>
    <row r="274">
      <c r="A274" s="171" t="n"/>
      <c r="B274" s="171" t="n"/>
      <c r="C274" s="171" t="n"/>
      <c r="D274" s="171" t="n"/>
      <c r="E274" s="171" t="n"/>
      <c r="F274" s="171" t="n"/>
      <c r="G274" s="171" t="n"/>
      <c r="H274" s="171" t="n"/>
      <c r="I274" s="171" t="n"/>
      <c r="J274" s="171" t="n"/>
      <c r="K274" s="171" t="n"/>
      <c r="L274" s="171" t="n"/>
      <c r="M274" s="171" t="n"/>
      <c r="N274" s="171" t="n"/>
      <c r="O274" s="171" t="n"/>
      <c r="P274" s="171" t="n"/>
      <c r="Q274" s="171" t="n"/>
      <c r="R274" s="171" t="n"/>
      <c r="S274" s="171" t="n"/>
      <c r="T274" s="171" t="n"/>
      <c r="U274" s="171" t="n"/>
      <c r="V274" s="171" t="n"/>
      <c r="W274" s="171" t="n"/>
      <c r="X274" s="171" t="n"/>
      <c r="Y274" s="171" t="n"/>
      <c r="Z274" s="171" t="n"/>
      <c r="AA274" s="171" t="n"/>
      <c r="AB274" s="171" t="n"/>
      <c r="AC274" s="171" t="n"/>
      <c r="AD274" s="171" t="n"/>
      <c r="AE274" s="171" t="n"/>
      <c r="AF274" s="171" t="n"/>
      <c r="AG274" s="171" t="n"/>
      <c r="AH274" s="171" t="n"/>
    </row>
    <row r="275">
      <c r="A275" s="171" t="n"/>
      <c r="B275" s="171" t="n"/>
      <c r="C275" s="171" t="n"/>
      <c r="D275" s="171" t="n"/>
      <c r="E275" s="171" t="n"/>
      <c r="F275" s="171" t="n"/>
      <c r="G275" s="171" t="n"/>
      <c r="H275" s="171" t="n"/>
      <c r="I275" s="171" t="n"/>
      <c r="J275" s="171" t="n"/>
      <c r="K275" s="171" t="n"/>
      <c r="L275" s="171" t="n"/>
      <c r="M275" s="171" t="n"/>
      <c r="N275" s="171" t="n"/>
      <c r="O275" s="171" t="n"/>
      <c r="P275" s="171" t="n"/>
      <c r="Q275" s="171" t="n"/>
      <c r="R275" s="171" t="n"/>
      <c r="S275" s="171" t="n"/>
      <c r="T275" s="171" t="n"/>
      <c r="U275" s="171" t="n"/>
      <c r="V275" s="171" t="n"/>
      <c r="W275" s="171" t="n"/>
      <c r="X275" s="171" t="n"/>
      <c r="Y275" s="171" t="n"/>
      <c r="Z275" s="171" t="n"/>
      <c r="AA275" s="171" t="n"/>
      <c r="AB275" s="171" t="n"/>
      <c r="AC275" s="171" t="n"/>
      <c r="AD275" s="171" t="n"/>
      <c r="AE275" s="171" t="n"/>
      <c r="AF275" s="171" t="n"/>
      <c r="AG275" s="171" t="n"/>
      <c r="AH275" s="171" t="n"/>
    </row>
    <row r="276">
      <c r="A276" s="171" t="n"/>
      <c r="B276" s="171" t="n"/>
      <c r="C276" s="171" t="n"/>
      <c r="D276" s="171" t="n"/>
      <c r="E276" s="171" t="n"/>
      <c r="F276" s="171" t="n"/>
      <c r="G276" s="171" t="n"/>
      <c r="H276" s="171" t="n"/>
      <c r="I276" s="171" t="n"/>
      <c r="J276" s="171" t="n"/>
      <c r="K276" s="171" t="n"/>
      <c r="L276" s="171" t="n"/>
      <c r="M276" s="171" t="n"/>
      <c r="N276" s="171" t="n"/>
      <c r="O276" s="171" t="n"/>
      <c r="P276" s="171" t="n"/>
      <c r="Q276" s="171" t="n"/>
      <c r="R276" s="171" t="n"/>
      <c r="S276" s="171" t="n"/>
      <c r="T276" s="171" t="n"/>
      <c r="U276" s="171" t="n"/>
      <c r="V276" s="171" t="n"/>
      <c r="W276" s="171" t="n"/>
      <c r="X276" s="171" t="n"/>
      <c r="Y276" s="171" t="n"/>
      <c r="Z276" s="171" t="n"/>
      <c r="AA276" s="171" t="n"/>
      <c r="AB276" s="171" t="n"/>
      <c r="AC276" s="171" t="n"/>
      <c r="AD276" s="171" t="n"/>
      <c r="AE276" s="171" t="n"/>
      <c r="AF276" s="171" t="n"/>
      <c r="AG276" s="171" t="n"/>
      <c r="AH276" s="171" t="n"/>
    </row>
    <row r="277">
      <c r="A277" s="171" t="n"/>
      <c r="B277" s="171" t="n"/>
      <c r="C277" s="171" t="n"/>
      <c r="D277" s="171" t="n"/>
      <c r="E277" s="171" t="n"/>
      <c r="F277" s="171" t="n"/>
      <c r="G277" s="171" t="n"/>
      <c r="H277" s="171" t="n"/>
      <c r="I277" s="171" t="n"/>
      <c r="J277" s="171" t="n"/>
      <c r="K277" s="171" t="n"/>
      <c r="L277" s="171" t="n"/>
      <c r="M277" s="171" t="n"/>
      <c r="N277" s="171" t="n"/>
      <c r="O277" s="171" t="n"/>
      <c r="P277" s="171" t="n"/>
      <c r="Q277" s="171" t="n"/>
      <c r="R277" s="171" t="n"/>
      <c r="S277" s="171" t="n"/>
      <c r="T277" s="171" t="n"/>
      <c r="U277" s="171" t="n"/>
      <c r="V277" s="171" t="n"/>
      <c r="W277" s="171" t="n"/>
      <c r="X277" s="171" t="n"/>
      <c r="Y277" s="171" t="n"/>
      <c r="Z277" s="171" t="n"/>
      <c r="AA277" s="171" t="n"/>
      <c r="AB277" s="171" t="n"/>
      <c r="AC277" s="171" t="n"/>
      <c r="AD277" s="171" t="n"/>
      <c r="AE277" s="171" t="n"/>
      <c r="AF277" s="171" t="n"/>
      <c r="AG277" s="171" t="n"/>
      <c r="AH277" s="171" t="n"/>
    </row>
    <row r="278">
      <c r="A278" s="171" t="n"/>
      <c r="B278" s="171" t="n"/>
      <c r="C278" s="171" t="n"/>
      <c r="D278" s="171" t="n"/>
      <c r="E278" s="171" t="n"/>
      <c r="F278" s="171" t="n"/>
      <c r="G278" s="171" t="n"/>
      <c r="H278" s="171" t="n"/>
      <c r="I278" s="171" t="n"/>
      <c r="J278" s="171" t="n"/>
      <c r="K278" s="171" t="n"/>
      <c r="L278" s="171" t="n"/>
      <c r="M278" s="171" t="n"/>
      <c r="N278" s="171" t="n"/>
      <c r="O278" s="171" t="n"/>
      <c r="P278" s="171" t="n"/>
      <c r="Q278" s="171" t="n"/>
      <c r="R278" s="171" t="n"/>
      <c r="S278" s="171" t="n"/>
      <c r="T278" s="171" t="n"/>
      <c r="U278" s="171" t="n"/>
      <c r="V278" s="171" t="n"/>
      <c r="W278" s="171" t="n"/>
      <c r="X278" s="171" t="n"/>
      <c r="Y278" s="171" t="n"/>
      <c r="Z278" s="171" t="n"/>
      <c r="AA278" s="171" t="n"/>
      <c r="AB278" s="171" t="n"/>
      <c r="AC278" s="171" t="n"/>
      <c r="AD278" s="171" t="n"/>
      <c r="AE278" s="171" t="n"/>
      <c r="AF278" s="171" t="n"/>
      <c r="AG278" s="171" t="n"/>
      <c r="AH278" s="171" t="n"/>
    </row>
    <row r="279">
      <c r="A279" s="171" t="n"/>
      <c r="B279" s="171" t="n"/>
      <c r="C279" s="171" t="n"/>
      <c r="D279" s="171" t="n"/>
      <c r="E279" s="171" t="n"/>
      <c r="F279" s="171" t="n"/>
      <c r="G279" s="171" t="n"/>
      <c r="H279" s="171" t="n"/>
      <c r="I279" s="171" t="n"/>
      <c r="J279" s="171" t="n"/>
      <c r="K279" s="171" t="n"/>
      <c r="L279" s="171" t="n"/>
      <c r="M279" s="171" t="n"/>
      <c r="N279" s="171" t="n"/>
      <c r="O279" s="171" t="n"/>
      <c r="P279" s="171" t="n"/>
      <c r="Q279" s="171" t="n"/>
      <c r="R279" s="171" t="n"/>
      <c r="S279" s="171" t="n"/>
      <c r="T279" s="171" t="n"/>
      <c r="U279" s="171" t="n"/>
      <c r="V279" s="171" t="n"/>
      <c r="W279" s="171" t="n"/>
      <c r="X279" s="171" t="n"/>
      <c r="Y279" s="171" t="n"/>
      <c r="Z279" s="171" t="n"/>
      <c r="AA279" s="171" t="n"/>
      <c r="AB279" s="171" t="n"/>
      <c r="AC279" s="171" t="n"/>
      <c r="AD279" s="171" t="n"/>
      <c r="AE279" s="171" t="n"/>
      <c r="AF279" s="171" t="n"/>
      <c r="AG279" s="171" t="n"/>
      <c r="AH279" s="171" t="n"/>
    </row>
    <row r="280">
      <c r="A280" s="171" t="n"/>
      <c r="B280" s="171" t="n"/>
      <c r="C280" s="171" t="n"/>
      <c r="D280" s="171" t="n"/>
      <c r="E280" s="171" t="n"/>
      <c r="F280" s="171" t="n"/>
      <c r="G280" s="171" t="n"/>
      <c r="H280" s="171" t="n"/>
      <c r="I280" s="171" t="n"/>
      <c r="J280" s="171" t="n"/>
      <c r="K280" s="171" t="n"/>
      <c r="L280" s="171" t="n"/>
      <c r="M280" s="171" t="n"/>
      <c r="N280" s="171" t="n"/>
      <c r="O280" s="171" t="n"/>
      <c r="P280" s="171" t="n"/>
      <c r="Q280" s="171" t="n"/>
      <c r="R280" s="171" t="n"/>
      <c r="S280" s="171" t="n"/>
      <c r="T280" s="171" t="n"/>
      <c r="U280" s="171" t="n"/>
      <c r="V280" s="171" t="n"/>
      <c r="W280" s="171" t="n"/>
      <c r="X280" s="171" t="n"/>
      <c r="Y280" s="171" t="n"/>
      <c r="Z280" s="171" t="n"/>
      <c r="AA280" s="171" t="n"/>
      <c r="AB280" s="171" t="n"/>
      <c r="AC280" s="171" t="n"/>
      <c r="AD280" s="171" t="n"/>
      <c r="AE280" s="171" t="n"/>
      <c r="AF280" s="171" t="n"/>
      <c r="AG280" s="171" t="n"/>
      <c r="AH280" s="171" t="n"/>
    </row>
    <row r="281">
      <c r="A281" s="171" t="n"/>
      <c r="B281" s="171" t="n"/>
      <c r="C281" s="171" t="n"/>
      <c r="D281" s="171" t="n"/>
      <c r="E281" s="171" t="n"/>
      <c r="F281" s="171" t="n"/>
      <c r="G281" s="171" t="n"/>
      <c r="H281" s="171" t="n"/>
      <c r="I281" s="171" t="n"/>
      <c r="J281" s="171" t="n"/>
      <c r="K281" s="171" t="n"/>
      <c r="L281" s="171" t="n"/>
      <c r="M281" s="171" t="n"/>
      <c r="N281" s="171" t="n"/>
      <c r="O281" s="171" t="n"/>
      <c r="P281" s="171" t="n"/>
      <c r="Q281" s="171" t="n"/>
      <c r="R281" s="171" t="n"/>
      <c r="S281" s="171" t="n"/>
      <c r="T281" s="171" t="n"/>
      <c r="U281" s="171" t="n"/>
      <c r="V281" s="171" t="n"/>
      <c r="W281" s="171" t="n"/>
      <c r="X281" s="171" t="n"/>
      <c r="Y281" s="171" t="n"/>
      <c r="Z281" s="171" t="n"/>
      <c r="AA281" s="171" t="n"/>
      <c r="AB281" s="171" t="n"/>
      <c r="AC281" s="171" t="n"/>
      <c r="AD281" s="171" t="n"/>
      <c r="AE281" s="171" t="n"/>
      <c r="AF281" s="171" t="n"/>
      <c r="AG281" s="171" t="n"/>
      <c r="AH281" s="171" t="n"/>
    </row>
    <row r="282">
      <c r="A282" s="171" t="n"/>
      <c r="B282" s="171" t="n"/>
      <c r="C282" s="171" t="n"/>
      <c r="D282" s="171" t="n"/>
      <c r="E282" s="171" t="n"/>
      <c r="F282" s="171" t="n"/>
      <c r="G282" s="171" t="n"/>
      <c r="H282" s="171" t="n"/>
      <c r="I282" s="171" t="n"/>
      <c r="J282" s="171" t="n"/>
      <c r="K282" s="171" t="n"/>
      <c r="L282" s="171" t="n"/>
      <c r="M282" s="171" t="n"/>
      <c r="N282" s="171" t="n"/>
      <c r="O282" s="171" t="n"/>
      <c r="P282" s="171" t="n"/>
      <c r="Q282" s="171" t="n"/>
      <c r="R282" s="171" t="n"/>
      <c r="S282" s="171" t="n"/>
      <c r="T282" s="171" t="n"/>
      <c r="U282" s="171" t="n"/>
      <c r="V282" s="171" t="n"/>
      <c r="W282" s="171" t="n"/>
      <c r="X282" s="171" t="n"/>
      <c r="Y282" s="171" t="n"/>
      <c r="Z282" s="171" t="n"/>
      <c r="AA282" s="171" t="n"/>
      <c r="AB282" s="171" t="n"/>
      <c r="AC282" s="171" t="n"/>
      <c r="AD282" s="171" t="n"/>
      <c r="AE282" s="171" t="n"/>
      <c r="AF282" s="171" t="n"/>
      <c r="AG282" s="171" t="n"/>
      <c r="AH282" s="171" t="n"/>
    </row>
    <row r="283">
      <c r="A283" s="171" t="n"/>
      <c r="B283" s="171" t="n"/>
      <c r="C283" s="171" t="n"/>
      <c r="D283" s="171" t="n"/>
      <c r="E283" s="171" t="n"/>
      <c r="F283" s="171" t="n"/>
      <c r="G283" s="171" t="n"/>
      <c r="H283" s="171" t="n"/>
      <c r="I283" s="171" t="n"/>
      <c r="J283" s="171" t="n"/>
      <c r="K283" s="171" t="n"/>
      <c r="L283" s="171" t="n"/>
      <c r="M283" s="171" t="n"/>
      <c r="N283" s="171" t="n"/>
      <c r="O283" s="171" t="n"/>
      <c r="P283" s="171" t="n"/>
      <c r="Q283" s="171" t="n"/>
      <c r="R283" s="171" t="n"/>
      <c r="S283" s="171" t="n"/>
      <c r="T283" s="171" t="n"/>
      <c r="U283" s="171" t="n"/>
      <c r="V283" s="171" t="n"/>
      <c r="W283" s="171" t="n"/>
      <c r="X283" s="171" t="n"/>
      <c r="Y283" s="171" t="n"/>
      <c r="Z283" s="171" t="n"/>
      <c r="AA283" s="171" t="n"/>
      <c r="AB283" s="171" t="n"/>
      <c r="AC283" s="171" t="n"/>
      <c r="AD283" s="171" t="n"/>
      <c r="AE283" s="171" t="n"/>
      <c r="AF283" s="171" t="n"/>
      <c r="AG283" s="171" t="n"/>
      <c r="AH283" s="171" t="n"/>
    </row>
    <row r="284">
      <c r="A284" s="171" t="n"/>
      <c r="B284" s="171" t="n"/>
      <c r="C284" s="171" t="n"/>
      <c r="D284" s="171" t="n"/>
      <c r="E284" s="171" t="n"/>
      <c r="F284" s="171" t="n"/>
      <c r="G284" s="171" t="n"/>
      <c r="H284" s="171" t="n"/>
      <c r="I284" s="171" t="n"/>
      <c r="J284" s="171" t="n"/>
      <c r="K284" s="171" t="n"/>
      <c r="L284" s="171" t="n"/>
      <c r="M284" s="171" t="n"/>
      <c r="N284" s="171" t="n"/>
      <c r="O284" s="171" t="n"/>
      <c r="P284" s="171" t="n"/>
      <c r="Q284" s="171" t="n"/>
      <c r="R284" s="171" t="n"/>
      <c r="S284" s="171" t="n"/>
      <c r="T284" s="171" t="n"/>
      <c r="U284" s="171" t="n"/>
      <c r="V284" s="171" t="n"/>
      <c r="W284" s="171" t="n"/>
      <c r="X284" s="171" t="n"/>
      <c r="Y284" s="171" t="n"/>
      <c r="Z284" s="171" t="n"/>
      <c r="AA284" s="171" t="n"/>
      <c r="AB284" s="171" t="n"/>
      <c r="AC284" s="171" t="n"/>
      <c r="AD284" s="171" t="n"/>
      <c r="AE284" s="171" t="n"/>
      <c r="AF284" s="171" t="n"/>
      <c r="AG284" s="171" t="n"/>
      <c r="AH284" s="171" t="n"/>
    </row>
    <row r="285">
      <c r="A285" s="171" t="n"/>
      <c r="B285" s="171" t="n"/>
      <c r="C285" s="171" t="n"/>
      <c r="D285" s="171" t="n"/>
      <c r="E285" s="171" t="n"/>
      <c r="F285" s="171" t="n"/>
      <c r="G285" s="171" t="n"/>
      <c r="H285" s="171" t="n"/>
      <c r="I285" s="171" t="n"/>
      <c r="J285" s="171" t="n"/>
      <c r="K285" s="171" t="n"/>
      <c r="L285" s="171" t="n"/>
      <c r="M285" s="171" t="n"/>
      <c r="N285" s="171" t="n"/>
      <c r="O285" s="171" t="n"/>
      <c r="P285" s="171" t="n"/>
      <c r="Q285" s="171" t="n"/>
      <c r="R285" s="171" t="n"/>
      <c r="S285" s="171" t="n"/>
      <c r="T285" s="171" t="n"/>
      <c r="U285" s="171" t="n"/>
      <c r="V285" s="171" t="n"/>
      <c r="W285" s="171" t="n"/>
      <c r="X285" s="171" t="n"/>
      <c r="Y285" s="171" t="n"/>
      <c r="Z285" s="171" t="n"/>
      <c r="AA285" s="171" t="n"/>
      <c r="AB285" s="171" t="n"/>
      <c r="AC285" s="171" t="n"/>
      <c r="AD285" s="171" t="n"/>
      <c r="AE285" s="171" t="n"/>
      <c r="AF285" s="171" t="n"/>
      <c r="AG285" s="171" t="n"/>
      <c r="AH285" s="171" t="n"/>
    </row>
    <row r="286">
      <c r="A286" s="171" t="n"/>
      <c r="B286" s="171" t="n"/>
      <c r="C286" s="171" t="n"/>
      <c r="D286" s="171" t="n"/>
      <c r="E286" s="171" t="n"/>
      <c r="F286" s="171" t="n"/>
      <c r="G286" s="171" t="n"/>
      <c r="H286" s="171" t="n"/>
      <c r="I286" s="171" t="n"/>
      <c r="J286" s="171" t="n"/>
      <c r="K286" s="171" t="n"/>
      <c r="L286" s="171" t="n"/>
      <c r="M286" s="171" t="n"/>
      <c r="N286" s="171" t="n"/>
      <c r="O286" s="171" t="n"/>
      <c r="P286" s="171" t="n"/>
      <c r="Q286" s="171" t="n"/>
      <c r="R286" s="171" t="n"/>
      <c r="S286" s="171" t="n"/>
      <c r="T286" s="171" t="n"/>
      <c r="U286" s="171" t="n"/>
      <c r="V286" s="171" t="n"/>
      <c r="W286" s="171" t="n"/>
      <c r="X286" s="171" t="n"/>
      <c r="Y286" s="171" t="n"/>
      <c r="Z286" s="171" t="n"/>
      <c r="AA286" s="171" t="n"/>
      <c r="AB286" s="171" t="n"/>
      <c r="AC286" s="171" t="n"/>
      <c r="AD286" s="171" t="n"/>
      <c r="AE286" s="171" t="n"/>
      <c r="AF286" s="171" t="n"/>
      <c r="AG286" s="171" t="n"/>
      <c r="AH286" s="171" t="n"/>
    </row>
    <row r="287">
      <c r="A287" s="171" t="n"/>
      <c r="B287" s="171" t="n"/>
      <c r="C287" s="171" t="n"/>
      <c r="D287" s="171" t="n"/>
      <c r="E287" s="171" t="n"/>
      <c r="F287" s="171" t="n"/>
      <c r="G287" s="171" t="n"/>
      <c r="H287" s="171" t="n"/>
      <c r="I287" s="171" t="n"/>
      <c r="J287" s="171" t="n"/>
      <c r="K287" s="171" t="n"/>
      <c r="L287" s="171" t="n"/>
      <c r="M287" s="171" t="n"/>
      <c r="N287" s="171" t="n"/>
      <c r="O287" s="171" t="n"/>
      <c r="P287" s="171" t="n"/>
      <c r="Q287" s="171" t="n"/>
      <c r="R287" s="171" t="n"/>
      <c r="S287" s="171" t="n"/>
      <c r="T287" s="171" t="n"/>
      <c r="U287" s="171" t="n"/>
      <c r="V287" s="171" t="n"/>
      <c r="W287" s="171" t="n"/>
      <c r="X287" s="171" t="n"/>
      <c r="Y287" s="171" t="n"/>
      <c r="Z287" s="171" t="n"/>
      <c r="AA287" s="171" t="n"/>
      <c r="AB287" s="171" t="n"/>
      <c r="AC287" s="171" t="n"/>
      <c r="AD287" s="171" t="n"/>
      <c r="AE287" s="171" t="n"/>
      <c r="AF287" s="171" t="n"/>
      <c r="AG287" s="171" t="n"/>
      <c r="AH287" s="171" t="n"/>
    </row>
    <row r="288">
      <c r="A288" s="171" t="n"/>
      <c r="B288" s="171" t="n"/>
      <c r="C288" s="171" t="n"/>
      <c r="D288" s="171" t="n"/>
      <c r="E288" s="171" t="n"/>
      <c r="F288" s="171" t="n"/>
      <c r="G288" s="171" t="n"/>
      <c r="H288" s="171" t="n"/>
      <c r="I288" s="171" t="n"/>
      <c r="J288" s="171" t="n"/>
      <c r="K288" s="171" t="n"/>
      <c r="L288" s="171" t="n"/>
      <c r="M288" s="171" t="n"/>
      <c r="N288" s="171" t="n"/>
      <c r="O288" s="171" t="n"/>
      <c r="P288" s="171" t="n"/>
      <c r="Q288" s="171" t="n"/>
      <c r="R288" s="171" t="n"/>
      <c r="S288" s="171" t="n"/>
      <c r="T288" s="171" t="n"/>
      <c r="U288" s="171" t="n"/>
      <c r="V288" s="171" t="n"/>
      <c r="W288" s="171" t="n"/>
      <c r="X288" s="171" t="n"/>
      <c r="Y288" s="171" t="n"/>
      <c r="Z288" s="171" t="n"/>
      <c r="AA288" s="171" t="n"/>
      <c r="AB288" s="171" t="n"/>
      <c r="AC288" s="171" t="n"/>
      <c r="AD288" s="171" t="n"/>
      <c r="AE288" s="171" t="n"/>
      <c r="AF288" s="171" t="n"/>
      <c r="AG288" s="171" t="n"/>
      <c r="AH288" s="171" t="n"/>
    </row>
    <row r="289">
      <c r="A289" s="171" t="n"/>
      <c r="B289" s="171" t="n"/>
      <c r="C289" s="171" t="n"/>
      <c r="D289" s="171" t="n"/>
      <c r="E289" s="171" t="n"/>
      <c r="F289" s="171" t="n"/>
      <c r="G289" s="171" t="n"/>
      <c r="H289" s="171" t="n"/>
      <c r="I289" s="171" t="n"/>
      <c r="J289" s="171" t="n"/>
      <c r="K289" s="171" t="n"/>
      <c r="L289" s="171" t="n"/>
      <c r="M289" s="171" t="n"/>
      <c r="N289" s="171" t="n"/>
      <c r="O289" s="171" t="n"/>
      <c r="P289" s="171" t="n"/>
      <c r="Q289" s="171" t="n"/>
      <c r="R289" s="171" t="n"/>
      <c r="S289" s="171" t="n"/>
      <c r="T289" s="171" t="n"/>
      <c r="U289" s="171" t="n"/>
      <c r="V289" s="171" t="n"/>
      <c r="W289" s="171" t="n"/>
      <c r="X289" s="171" t="n"/>
      <c r="Y289" s="171" t="n"/>
      <c r="Z289" s="171" t="n"/>
      <c r="AA289" s="171" t="n"/>
      <c r="AB289" s="171" t="n"/>
      <c r="AC289" s="171" t="n"/>
      <c r="AD289" s="171" t="n"/>
      <c r="AE289" s="171" t="n"/>
      <c r="AF289" s="171" t="n"/>
      <c r="AG289" s="171" t="n"/>
      <c r="AH289" s="171" t="n"/>
    </row>
    <row r="290">
      <c r="A290" s="171" t="n"/>
      <c r="B290" s="171" t="n"/>
      <c r="C290" s="171" t="n"/>
      <c r="D290" s="171" t="n"/>
      <c r="E290" s="171" t="n"/>
      <c r="F290" s="171" t="n"/>
      <c r="G290" s="171" t="n"/>
      <c r="H290" s="171" t="n"/>
      <c r="I290" s="171" t="n"/>
      <c r="J290" s="171" t="n"/>
      <c r="K290" s="171" t="n"/>
      <c r="L290" s="171" t="n"/>
      <c r="M290" s="171" t="n"/>
      <c r="N290" s="171" t="n"/>
      <c r="O290" s="171" t="n"/>
      <c r="P290" s="171" t="n"/>
      <c r="Q290" s="171" t="n"/>
      <c r="R290" s="171" t="n"/>
      <c r="S290" s="171" t="n"/>
      <c r="T290" s="171" t="n"/>
      <c r="U290" s="171" t="n"/>
      <c r="V290" s="171" t="n"/>
      <c r="W290" s="171" t="n"/>
      <c r="X290" s="171" t="n"/>
      <c r="Y290" s="171" t="n"/>
      <c r="Z290" s="171" t="n"/>
      <c r="AA290" s="171" t="n"/>
      <c r="AB290" s="171" t="n"/>
      <c r="AC290" s="171" t="n"/>
      <c r="AD290" s="171" t="n"/>
      <c r="AE290" s="171" t="n"/>
      <c r="AF290" s="171" t="n"/>
      <c r="AG290" s="171" t="n"/>
      <c r="AH290" s="171" t="n"/>
    </row>
    <row r="291">
      <c r="A291" s="171" t="n"/>
      <c r="B291" s="171" t="n"/>
      <c r="C291" s="171" t="n"/>
      <c r="D291" s="171" t="n"/>
      <c r="E291" s="171" t="n"/>
      <c r="F291" s="171" t="n"/>
      <c r="G291" s="171" t="n"/>
      <c r="H291" s="171" t="n"/>
      <c r="I291" s="171" t="n"/>
      <c r="J291" s="171" t="n"/>
      <c r="K291" s="171" t="n"/>
      <c r="L291" s="171" t="n"/>
      <c r="M291" s="171" t="n"/>
      <c r="N291" s="171" t="n"/>
      <c r="O291" s="171" t="n"/>
      <c r="P291" s="171" t="n"/>
      <c r="Q291" s="171" t="n"/>
      <c r="R291" s="171" t="n"/>
      <c r="S291" s="171" t="n"/>
      <c r="T291" s="171" t="n"/>
      <c r="U291" s="171" t="n"/>
      <c r="V291" s="171" t="n"/>
      <c r="W291" s="171" t="n"/>
      <c r="X291" s="171" t="n"/>
      <c r="Y291" s="171" t="n"/>
      <c r="Z291" s="171" t="n"/>
      <c r="AA291" s="171" t="n"/>
      <c r="AB291" s="171" t="n"/>
      <c r="AC291" s="171" t="n"/>
      <c r="AD291" s="171" t="n"/>
      <c r="AE291" s="171" t="n"/>
      <c r="AF291" s="171" t="n"/>
      <c r="AG291" s="171" t="n"/>
      <c r="AH291" s="171" t="n"/>
    </row>
    <row r="292">
      <c r="A292" s="171" t="n"/>
      <c r="B292" s="171" t="n"/>
      <c r="C292" s="171" t="n"/>
      <c r="D292" s="171" t="n"/>
      <c r="E292" s="171" t="n"/>
      <c r="F292" s="171" t="n"/>
      <c r="G292" s="171" t="n"/>
      <c r="H292" s="171" t="n"/>
      <c r="I292" s="171" t="n"/>
      <c r="J292" s="171" t="n"/>
      <c r="K292" s="171" t="n"/>
      <c r="L292" s="171" t="n"/>
      <c r="M292" s="171" t="n"/>
      <c r="N292" s="171" t="n"/>
      <c r="O292" s="171" t="n"/>
      <c r="P292" s="171" t="n"/>
      <c r="Q292" s="171" t="n"/>
      <c r="R292" s="171" t="n"/>
      <c r="S292" s="171" t="n"/>
      <c r="T292" s="171" t="n"/>
      <c r="U292" s="171" t="n"/>
      <c r="V292" s="171" t="n"/>
      <c r="W292" s="171" t="n"/>
      <c r="X292" s="171" t="n"/>
      <c r="Y292" s="171" t="n"/>
      <c r="Z292" s="171" t="n"/>
      <c r="AA292" s="171" t="n"/>
      <c r="AB292" s="171" t="n"/>
      <c r="AC292" s="171" t="n"/>
      <c r="AD292" s="171" t="n"/>
      <c r="AE292" s="171" t="n"/>
      <c r="AF292" s="171" t="n"/>
      <c r="AG292" s="171" t="n"/>
      <c r="AH292" s="171" t="n"/>
    </row>
    <row r="293">
      <c r="A293" s="171" t="n"/>
      <c r="B293" s="171" t="n"/>
      <c r="C293" s="171" t="n"/>
      <c r="D293" s="171" t="n"/>
      <c r="E293" s="171" t="n"/>
      <c r="F293" s="171" t="n"/>
      <c r="G293" s="171" t="n"/>
      <c r="H293" s="171" t="n"/>
      <c r="I293" s="171" t="n"/>
      <c r="J293" s="171" t="n"/>
      <c r="K293" s="171" t="n"/>
      <c r="L293" s="171" t="n"/>
      <c r="M293" s="171" t="n"/>
      <c r="N293" s="171" t="n"/>
      <c r="O293" s="171" t="n"/>
      <c r="P293" s="171" t="n"/>
      <c r="Q293" s="171" t="n"/>
      <c r="R293" s="171" t="n"/>
      <c r="S293" s="171" t="n"/>
      <c r="T293" s="171" t="n"/>
      <c r="U293" s="171" t="n"/>
      <c r="V293" s="171" t="n"/>
      <c r="W293" s="171" t="n"/>
      <c r="X293" s="171" t="n"/>
      <c r="Y293" s="171" t="n"/>
      <c r="Z293" s="171" t="n"/>
      <c r="AA293" s="171" t="n"/>
      <c r="AB293" s="171" t="n"/>
      <c r="AC293" s="171" t="n"/>
      <c r="AD293" s="171" t="n"/>
      <c r="AE293" s="171" t="n"/>
      <c r="AF293" s="171" t="n"/>
      <c r="AG293" s="171" t="n"/>
      <c r="AH293" s="171" t="n"/>
    </row>
    <row r="294">
      <c r="A294" s="171" t="n"/>
      <c r="B294" s="171" t="n"/>
      <c r="C294" s="171" t="n"/>
      <c r="D294" s="171" t="n"/>
      <c r="E294" s="171" t="n"/>
      <c r="F294" s="171" t="n"/>
      <c r="G294" s="171" t="n"/>
      <c r="H294" s="171" t="n"/>
      <c r="I294" s="171" t="n"/>
      <c r="J294" s="171" t="n"/>
      <c r="K294" s="171" t="n"/>
      <c r="L294" s="171" t="n"/>
      <c r="M294" s="171" t="n"/>
      <c r="N294" s="171" t="n"/>
      <c r="O294" s="171" t="n"/>
      <c r="P294" s="171" t="n"/>
      <c r="Q294" s="171" t="n"/>
      <c r="R294" s="171" t="n"/>
      <c r="S294" s="171" t="n"/>
      <c r="T294" s="171" t="n"/>
      <c r="U294" s="171" t="n"/>
      <c r="V294" s="171" t="n"/>
      <c r="W294" s="171" t="n"/>
      <c r="X294" s="171" t="n"/>
      <c r="Y294" s="171" t="n"/>
      <c r="Z294" s="171" t="n"/>
      <c r="AA294" s="171" t="n"/>
      <c r="AB294" s="171" t="n"/>
      <c r="AC294" s="171" t="n"/>
      <c r="AD294" s="171" t="n"/>
      <c r="AE294" s="171" t="n"/>
      <c r="AF294" s="171" t="n"/>
      <c r="AG294" s="171" t="n"/>
      <c r="AH294" s="171" t="n"/>
    </row>
    <row r="295">
      <c r="A295" s="171" t="n"/>
      <c r="B295" s="171" t="n"/>
      <c r="C295" s="171" t="n"/>
      <c r="D295" s="171" t="n"/>
      <c r="E295" s="171" t="n"/>
      <c r="F295" s="171" t="n"/>
      <c r="G295" s="171" t="n"/>
      <c r="H295" s="171" t="n"/>
      <c r="I295" s="171" t="n"/>
      <c r="J295" s="171" t="n"/>
      <c r="K295" s="171" t="n"/>
      <c r="L295" s="171" t="n"/>
      <c r="M295" s="171" t="n"/>
      <c r="N295" s="171" t="n"/>
      <c r="O295" s="171" t="n"/>
      <c r="P295" s="171" t="n"/>
      <c r="Q295" s="171" t="n"/>
      <c r="R295" s="171" t="n"/>
      <c r="S295" s="171" t="n"/>
      <c r="T295" s="171" t="n"/>
      <c r="U295" s="171" t="n"/>
      <c r="V295" s="171" t="n"/>
      <c r="W295" s="171" t="n"/>
      <c r="X295" s="171" t="n"/>
      <c r="Y295" s="171" t="n"/>
      <c r="Z295" s="171" t="n"/>
      <c r="AA295" s="171" t="n"/>
      <c r="AB295" s="171" t="n"/>
      <c r="AC295" s="171" t="n"/>
      <c r="AD295" s="171" t="n"/>
      <c r="AE295" s="171" t="n"/>
      <c r="AF295" s="171" t="n"/>
      <c r="AG295" s="171" t="n"/>
      <c r="AH295" s="171" t="n"/>
    </row>
    <row r="296">
      <c r="A296" s="171" t="n"/>
      <c r="B296" s="171" t="n"/>
      <c r="C296" s="171" t="n"/>
      <c r="D296" s="171" t="n"/>
      <c r="E296" s="171" t="n"/>
      <c r="F296" s="171" t="n"/>
      <c r="G296" s="171" t="n"/>
      <c r="H296" s="171" t="n"/>
      <c r="I296" s="171" t="n"/>
      <c r="J296" s="171" t="n"/>
      <c r="K296" s="171" t="n"/>
      <c r="L296" s="171" t="n"/>
      <c r="M296" s="171" t="n"/>
      <c r="N296" s="171" t="n"/>
      <c r="O296" s="171" t="n"/>
      <c r="P296" s="171" t="n"/>
      <c r="Q296" s="171" t="n"/>
      <c r="R296" s="171" t="n"/>
      <c r="S296" s="171" t="n"/>
      <c r="T296" s="171" t="n"/>
      <c r="U296" s="171" t="n"/>
      <c r="V296" s="171" t="n"/>
      <c r="W296" s="171" t="n"/>
      <c r="X296" s="171" t="n"/>
      <c r="Y296" s="171" t="n"/>
      <c r="Z296" s="171" t="n"/>
      <c r="AA296" s="171" t="n"/>
      <c r="AB296" s="171" t="n"/>
      <c r="AC296" s="171" t="n"/>
      <c r="AD296" s="171" t="n"/>
      <c r="AE296" s="171" t="n"/>
      <c r="AF296" s="171" t="n"/>
      <c r="AG296" s="171" t="n"/>
      <c r="AH296" s="171" t="n"/>
    </row>
    <row r="297">
      <c r="A297" s="171" t="n"/>
      <c r="B297" s="171" t="n"/>
      <c r="C297" s="171" t="n"/>
      <c r="D297" s="171" t="n"/>
      <c r="E297" s="171" t="n"/>
      <c r="F297" s="171" t="n"/>
      <c r="G297" s="171" t="n"/>
      <c r="H297" s="171" t="n"/>
      <c r="I297" s="171" t="n"/>
      <c r="J297" s="171" t="n"/>
      <c r="K297" s="171" t="n"/>
      <c r="L297" s="171" t="n"/>
      <c r="M297" s="171" t="n"/>
      <c r="N297" s="171" t="n"/>
      <c r="O297" s="171" t="n"/>
      <c r="P297" s="171" t="n"/>
      <c r="Q297" s="171" t="n"/>
      <c r="R297" s="171" t="n"/>
      <c r="S297" s="171" t="n"/>
      <c r="T297" s="171" t="n"/>
      <c r="U297" s="171" t="n"/>
      <c r="V297" s="171" t="n"/>
      <c r="W297" s="171" t="n"/>
      <c r="X297" s="171" t="n"/>
      <c r="Y297" s="171" t="n"/>
      <c r="Z297" s="171" t="n"/>
      <c r="AA297" s="171" t="n"/>
      <c r="AB297" s="171" t="n"/>
      <c r="AC297" s="171" t="n"/>
      <c r="AD297" s="171" t="n"/>
      <c r="AE297" s="171" t="n"/>
      <c r="AF297" s="171" t="n"/>
      <c r="AG297" s="171" t="n"/>
      <c r="AH297" s="171" t="n"/>
    </row>
    <row r="298">
      <c r="A298" s="171" t="n"/>
      <c r="B298" s="171" t="n"/>
      <c r="C298" s="171" t="n"/>
      <c r="D298" s="171" t="n"/>
      <c r="E298" s="171" t="n"/>
      <c r="F298" s="171" t="n"/>
      <c r="G298" s="171" t="n"/>
      <c r="H298" s="171" t="n"/>
      <c r="I298" s="171" t="n"/>
      <c r="J298" s="171" t="n"/>
      <c r="K298" s="171" t="n"/>
      <c r="L298" s="171" t="n"/>
      <c r="M298" s="171" t="n"/>
      <c r="N298" s="171" t="n"/>
      <c r="O298" s="171" t="n"/>
      <c r="P298" s="171" t="n"/>
      <c r="Q298" s="171" t="n"/>
      <c r="R298" s="171" t="n"/>
      <c r="S298" s="171" t="n"/>
      <c r="T298" s="171" t="n"/>
      <c r="U298" s="171" t="n"/>
      <c r="V298" s="171" t="n"/>
      <c r="W298" s="171" t="n"/>
      <c r="X298" s="171" t="n"/>
      <c r="Y298" s="171" t="n"/>
      <c r="Z298" s="171" t="n"/>
      <c r="AA298" s="171" t="n"/>
      <c r="AB298" s="171" t="n"/>
      <c r="AC298" s="171" t="n"/>
      <c r="AD298" s="171" t="n"/>
      <c r="AE298" s="171" t="n"/>
      <c r="AF298" s="171" t="n"/>
      <c r="AG298" s="171" t="n"/>
      <c r="AH298" s="171" t="n"/>
    </row>
    <row r="299">
      <c r="A299" s="171" t="n"/>
      <c r="B299" s="171" t="n"/>
      <c r="C299" s="171" t="n"/>
      <c r="D299" s="171" t="n"/>
      <c r="E299" s="171" t="n"/>
      <c r="F299" s="171" t="n"/>
      <c r="G299" s="171" t="n"/>
      <c r="H299" s="171" t="n"/>
      <c r="I299" s="171" t="n"/>
      <c r="J299" s="171" t="n"/>
      <c r="K299" s="171" t="n"/>
      <c r="L299" s="171" t="n"/>
      <c r="M299" s="171" t="n"/>
      <c r="N299" s="171" t="n"/>
      <c r="O299" s="171" t="n"/>
      <c r="P299" s="171" t="n"/>
      <c r="Q299" s="171" t="n"/>
      <c r="R299" s="171" t="n"/>
      <c r="S299" s="171" t="n"/>
      <c r="T299" s="171" t="n"/>
      <c r="U299" s="171" t="n"/>
      <c r="V299" s="171" t="n"/>
      <c r="W299" s="171" t="n"/>
      <c r="X299" s="171" t="n"/>
      <c r="Y299" s="171" t="n"/>
      <c r="Z299" s="171" t="n"/>
      <c r="AA299" s="171" t="n"/>
      <c r="AB299" s="171" t="n"/>
      <c r="AC299" s="171" t="n"/>
      <c r="AD299" s="171" t="n"/>
      <c r="AE299" s="171" t="n"/>
      <c r="AF299" s="171" t="n"/>
      <c r="AG299" s="171" t="n"/>
      <c r="AH299" s="171" t="n"/>
    </row>
    <row r="300">
      <c r="A300" s="171" t="n"/>
      <c r="B300" s="171" t="n"/>
      <c r="C300" s="171" t="n"/>
      <c r="D300" s="171" t="n"/>
      <c r="E300" s="171" t="n"/>
      <c r="F300" s="171" t="n"/>
      <c r="G300" s="171" t="n"/>
      <c r="H300" s="171" t="n"/>
      <c r="I300" s="171" t="n"/>
      <c r="J300" s="171" t="n"/>
      <c r="K300" s="171" t="n"/>
      <c r="L300" s="171" t="n"/>
      <c r="M300" s="171" t="n"/>
      <c r="N300" s="171" t="n"/>
      <c r="O300" s="171" t="n"/>
      <c r="P300" s="171" t="n"/>
      <c r="Q300" s="171" t="n"/>
      <c r="R300" s="171" t="n"/>
      <c r="S300" s="171" t="n"/>
      <c r="T300" s="171" t="n"/>
      <c r="U300" s="171" t="n"/>
      <c r="V300" s="171" t="n"/>
      <c r="W300" s="171" t="n"/>
      <c r="X300" s="171" t="n"/>
      <c r="Y300" s="171" t="n"/>
      <c r="Z300" s="171" t="n"/>
      <c r="AA300" s="171" t="n"/>
      <c r="AB300" s="171" t="n"/>
      <c r="AC300" s="171" t="n"/>
      <c r="AD300" s="171" t="n"/>
      <c r="AE300" s="171" t="n"/>
      <c r="AF300" s="171" t="n"/>
      <c r="AG300" s="171" t="n"/>
      <c r="AH300" s="171" t="n"/>
    </row>
    <row r="301">
      <c r="A301" s="171" t="n"/>
      <c r="B301" s="171" t="n"/>
      <c r="C301" s="171" t="n"/>
      <c r="D301" s="171" t="n"/>
      <c r="E301" s="171" t="n"/>
      <c r="F301" s="171" t="n"/>
      <c r="G301" s="171" t="n"/>
      <c r="H301" s="171" t="n"/>
      <c r="I301" s="171" t="n"/>
      <c r="J301" s="171" t="n"/>
      <c r="K301" s="171" t="n"/>
      <c r="L301" s="171" t="n"/>
      <c r="M301" s="171" t="n"/>
      <c r="N301" s="171" t="n"/>
      <c r="O301" s="171" t="n"/>
      <c r="P301" s="171" t="n"/>
      <c r="Q301" s="171" t="n"/>
      <c r="R301" s="171" t="n"/>
      <c r="S301" s="171" t="n"/>
      <c r="T301" s="171" t="n"/>
      <c r="U301" s="171" t="n"/>
      <c r="V301" s="171" t="n"/>
      <c r="W301" s="171" t="n"/>
      <c r="X301" s="171" t="n"/>
      <c r="Y301" s="171" t="n"/>
      <c r="Z301" s="171" t="n"/>
      <c r="AA301" s="171" t="n"/>
      <c r="AB301" s="171" t="n"/>
      <c r="AC301" s="171" t="n"/>
      <c r="AD301" s="171" t="n"/>
      <c r="AE301" s="171" t="n"/>
      <c r="AF301" s="171" t="n"/>
      <c r="AG301" s="171" t="n"/>
      <c r="AH301" s="171" t="n"/>
    </row>
    <row r="302">
      <c r="A302" s="171" t="n"/>
      <c r="B302" s="171" t="n"/>
      <c r="C302" s="171" t="n"/>
      <c r="D302" s="171" t="n"/>
      <c r="E302" s="171" t="n"/>
      <c r="F302" s="171" t="n"/>
      <c r="G302" s="171" t="n"/>
      <c r="H302" s="171" t="n"/>
      <c r="I302" s="171" t="n"/>
      <c r="J302" s="171" t="n"/>
      <c r="K302" s="171" t="n"/>
      <c r="L302" s="171" t="n"/>
      <c r="M302" s="171" t="n"/>
      <c r="N302" s="171" t="n"/>
      <c r="O302" s="171" t="n"/>
      <c r="P302" s="171" t="n"/>
      <c r="Q302" s="171" t="n"/>
      <c r="R302" s="171" t="n"/>
      <c r="S302" s="171" t="n"/>
      <c r="T302" s="171" t="n"/>
      <c r="U302" s="171" t="n"/>
      <c r="V302" s="171" t="n"/>
      <c r="W302" s="171" t="n"/>
      <c r="X302" s="171" t="n"/>
      <c r="Y302" s="171" t="n"/>
      <c r="Z302" s="171" t="n"/>
      <c r="AA302" s="171" t="n"/>
      <c r="AB302" s="171" t="n"/>
      <c r="AC302" s="171" t="n"/>
      <c r="AD302" s="171" t="n"/>
      <c r="AE302" s="171" t="n"/>
      <c r="AF302" s="171" t="n"/>
      <c r="AG302" s="171" t="n"/>
      <c r="AH302" s="171" t="n"/>
    </row>
    <row r="303">
      <c r="A303" s="171" t="n"/>
      <c r="B303" s="171" t="n"/>
      <c r="C303" s="171" t="n"/>
      <c r="D303" s="171" t="n"/>
      <c r="E303" s="171" t="n"/>
      <c r="F303" s="171" t="n"/>
      <c r="G303" s="171" t="n"/>
      <c r="H303" s="171" t="n"/>
      <c r="I303" s="171" t="n"/>
      <c r="J303" s="171" t="n"/>
      <c r="K303" s="171" t="n"/>
      <c r="L303" s="171" t="n"/>
      <c r="M303" s="171" t="n"/>
      <c r="N303" s="171" t="n"/>
      <c r="O303" s="171" t="n"/>
      <c r="P303" s="171" t="n"/>
      <c r="Q303" s="171" t="n"/>
      <c r="R303" s="171" t="n"/>
      <c r="S303" s="171" t="n"/>
      <c r="T303" s="171" t="n"/>
      <c r="U303" s="171" t="n"/>
      <c r="V303" s="171" t="n"/>
      <c r="W303" s="171" t="n"/>
      <c r="X303" s="171" t="n"/>
      <c r="Y303" s="171" t="n"/>
      <c r="Z303" s="171" t="n"/>
      <c r="AA303" s="171" t="n"/>
      <c r="AB303" s="171" t="n"/>
      <c r="AC303" s="171" t="n"/>
      <c r="AD303" s="171" t="n"/>
      <c r="AE303" s="171" t="n"/>
      <c r="AF303" s="171" t="n"/>
      <c r="AG303" s="171" t="n"/>
      <c r="AH303" s="171" t="n"/>
    </row>
    <row r="304">
      <c r="A304" s="171" t="n"/>
      <c r="B304" s="171" t="n"/>
      <c r="C304" s="171" t="n"/>
      <c r="D304" s="171" t="n"/>
      <c r="E304" s="171" t="n"/>
      <c r="F304" s="171" t="n"/>
      <c r="G304" s="171" t="n"/>
      <c r="H304" s="171" t="n"/>
      <c r="I304" s="171" t="n"/>
      <c r="J304" s="171" t="n"/>
      <c r="K304" s="171" t="n"/>
      <c r="L304" s="171" t="n"/>
      <c r="M304" s="171" t="n"/>
      <c r="N304" s="171" t="n"/>
      <c r="O304" s="171" t="n"/>
      <c r="P304" s="171" t="n"/>
      <c r="Q304" s="171" t="n"/>
      <c r="R304" s="171" t="n"/>
      <c r="S304" s="171" t="n"/>
      <c r="T304" s="171" t="n"/>
      <c r="U304" s="171" t="n"/>
      <c r="V304" s="171" t="n"/>
      <c r="W304" s="171" t="n"/>
      <c r="X304" s="171" t="n"/>
      <c r="Y304" s="171" t="n"/>
      <c r="Z304" s="171" t="n"/>
      <c r="AA304" s="171" t="n"/>
      <c r="AB304" s="171" t="n"/>
      <c r="AC304" s="171" t="n"/>
      <c r="AD304" s="171" t="n"/>
      <c r="AE304" s="171" t="n"/>
      <c r="AF304" s="171" t="n"/>
      <c r="AG304" s="171" t="n"/>
      <c r="AH304" s="171" t="n"/>
    </row>
    <row r="305">
      <c r="A305" s="171" t="n"/>
      <c r="B305" s="171" t="n"/>
      <c r="C305" s="171" t="n"/>
      <c r="D305" s="171" t="n"/>
      <c r="E305" s="171" t="n"/>
      <c r="F305" s="171" t="n"/>
      <c r="G305" s="171" t="n"/>
      <c r="H305" s="171" t="n"/>
      <c r="I305" s="171" t="n"/>
      <c r="J305" s="171" t="n"/>
      <c r="K305" s="171" t="n"/>
      <c r="L305" s="171" t="n"/>
      <c r="M305" s="171" t="n"/>
      <c r="N305" s="171" t="n"/>
      <c r="O305" s="171" t="n"/>
      <c r="P305" s="171" t="n"/>
      <c r="Q305" s="171" t="n"/>
      <c r="R305" s="171" t="n"/>
      <c r="S305" s="171" t="n"/>
      <c r="T305" s="171" t="n"/>
      <c r="U305" s="171" t="n"/>
      <c r="V305" s="171" t="n"/>
      <c r="W305" s="171" t="n"/>
      <c r="X305" s="171" t="n"/>
      <c r="Y305" s="171" t="n"/>
      <c r="Z305" s="171" t="n"/>
      <c r="AA305" s="171" t="n"/>
      <c r="AB305" s="171" t="n"/>
      <c r="AC305" s="171" t="n"/>
      <c r="AD305" s="171" t="n"/>
      <c r="AE305" s="171" t="n"/>
      <c r="AF305" s="171" t="n"/>
      <c r="AG305" s="171" t="n"/>
      <c r="AH305" s="171" t="n"/>
    </row>
    <row r="306">
      <c r="A306" s="171" t="n"/>
      <c r="B306" s="171" t="n"/>
      <c r="C306" s="171" t="n"/>
      <c r="D306" s="171" t="n"/>
      <c r="E306" s="171" t="n"/>
      <c r="F306" s="171" t="n"/>
      <c r="G306" s="171" t="n"/>
      <c r="H306" s="171" t="n"/>
      <c r="I306" s="171" t="n"/>
      <c r="J306" s="171" t="n"/>
      <c r="K306" s="171" t="n"/>
      <c r="L306" s="171" t="n"/>
      <c r="M306" s="171" t="n"/>
      <c r="N306" s="171" t="n"/>
      <c r="O306" s="171" t="n"/>
      <c r="P306" s="171" t="n"/>
      <c r="Q306" s="171" t="n"/>
      <c r="R306" s="171" t="n"/>
      <c r="S306" s="171" t="n"/>
      <c r="T306" s="171" t="n"/>
      <c r="U306" s="171" t="n"/>
      <c r="V306" s="171" t="n"/>
      <c r="W306" s="171" t="n"/>
      <c r="X306" s="171" t="n"/>
      <c r="Y306" s="171" t="n"/>
      <c r="Z306" s="171" t="n"/>
      <c r="AA306" s="171" t="n"/>
      <c r="AB306" s="171" t="n"/>
      <c r="AC306" s="171" t="n"/>
      <c r="AD306" s="171" t="n"/>
      <c r="AE306" s="171" t="n"/>
      <c r="AF306" s="171" t="n"/>
      <c r="AG306" s="171" t="n"/>
      <c r="AH306" s="171" t="n"/>
    </row>
    <row r="307">
      <c r="A307" s="171" t="n"/>
      <c r="B307" s="171" t="n"/>
      <c r="C307" s="171" t="n"/>
      <c r="D307" s="171" t="n"/>
      <c r="E307" s="171" t="n"/>
      <c r="F307" s="171" t="n"/>
      <c r="G307" s="171" t="n"/>
      <c r="H307" s="171" t="n"/>
      <c r="I307" s="171" t="n"/>
      <c r="J307" s="171" t="n"/>
      <c r="K307" s="171" t="n"/>
      <c r="L307" s="171" t="n"/>
      <c r="M307" s="171" t="n"/>
      <c r="N307" s="171" t="n"/>
      <c r="O307" s="171" t="n"/>
      <c r="P307" s="171" t="n"/>
      <c r="Q307" s="171" t="n"/>
      <c r="R307" s="171" t="n"/>
      <c r="S307" s="171" t="n"/>
      <c r="T307" s="171" t="n"/>
      <c r="U307" s="171" t="n"/>
      <c r="V307" s="171" t="n"/>
      <c r="W307" s="171" t="n"/>
      <c r="X307" s="171" t="n"/>
      <c r="Y307" s="171" t="n"/>
      <c r="Z307" s="171" t="n"/>
      <c r="AA307" s="171" t="n"/>
      <c r="AB307" s="171" t="n"/>
      <c r="AC307" s="171" t="n"/>
      <c r="AD307" s="171" t="n"/>
      <c r="AE307" s="171" t="n"/>
      <c r="AF307" s="171" t="n"/>
      <c r="AG307" s="171" t="n"/>
      <c r="AH307" s="171" t="n"/>
    </row>
    <row r="308">
      <c r="A308" s="171" t="n"/>
      <c r="B308" s="171" t="n"/>
      <c r="C308" s="171" t="n"/>
      <c r="D308" s="171" t="n"/>
      <c r="E308" s="171" t="n"/>
      <c r="F308" s="171" t="n"/>
      <c r="G308" s="171" t="n"/>
      <c r="H308" s="171" t="n"/>
      <c r="I308" s="171" t="n"/>
      <c r="J308" s="171" t="n"/>
      <c r="K308" s="171" t="n"/>
      <c r="L308" s="171" t="n"/>
      <c r="M308" s="171" t="n"/>
      <c r="N308" s="171" t="n"/>
      <c r="O308" s="171" t="n"/>
      <c r="P308" s="171" t="n"/>
      <c r="Q308" s="171" t="n"/>
      <c r="R308" s="171" t="n"/>
      <c r="S308" s="171" t="n"/>
      <c r="T308" s="171" t="n"/>
      <c r="U308" s="171" t="n"/>
      <c r="V308" s="171" t="n"/>
      <c r="W308" s="171" t="n"/>
      <c r="X308" s="171" t="n"/>
      <c r="Y308" s="171" t="n"/>
      <c r="Z308" s="171" t="n"/>
      <c r="AA308" s="171" t="n"/>
      <c r="AB308" s="171" t="n"/>
      <c r="AC308" s="171" t="n"/>
      <c r="AD308" s="171" t="n"/>
      <c r="AE308" s="171" t="n"/>
      <c r="AF308" s="171" t="n"/>
      <c r="AG308" s="171" t="n"/>
      <c r="AH308" s="171" t="n"/>
    </row>
    <row r="309">
      <c r="A309" s="171" t="n"/>
      <c r="B309" s="171" t="n"/>
      <c r="C309" s="171" t="n"/>
      <c r="D309" s="171" t="n"/>
      <c r="E309" s="171" t="n"/>
      <c r="F309" s="171" t="n"/>
      <c r="G309" s="171" t="n"/>
      <c r="H309" s="171" t="n"/>
      <c r="I309" s="171" t="n"/>
      <c r="J309" s="171" t="n"/>
      <c r="K309" s="171" t="n"/>
      <c r="L309" s="171" t="n"/>
      <c r="M309" s="171" t="n"/>
      <c r="N309" s="171" t="n"/>
      <c r="O309" s="171" t="n"/>
      <c r="P309" s="171" t="n"/>
      <c r="Q309" s="171" t="n"/>
      <c r="R309" s="171" t="n"/>
      <c r="S309" s="171" t="n"/>
      <c r="T309" s="171" t="n"/>
      <c r="U309" s="171" t="n"/>
      <c r="V309" s="171" t="n"/>
      <c r="W309" s="171" t="n"/>
      <c r="X309" s="171" t="n"/>
      <c r="Y309" s="171" t="n"/>
      <c r="Z309" s="171" t="n"/>
      <c r="AA309" s="171" t="n"/>
      <c r="AB309" s="171" t="n"/>
      <c r="AC309" s="171" t="n"/>
      <c r="AD309" s="171" t="n"/>
      <c r="AE309" s="171" t="n"/>
      <c r="AF309" s="171" t="n"/>
      <c r="AG309" s="171" t="n"/>
      <c r="AH309" s="171" t="n"/>
    </row>
    <row r="310">
      <c r="A310" s="171" t="n"/>
      <c r="B310" s="171" t="n"/>
      <c r="C310" s="171" t="n"/>
      <c r="D310" s="171" t="n"/>
      <c r="E310" s="171" t="n"/>
      <c r="F310" s="171" t="n"/>
      <c r="G310" s="171" t="n"/>
      <c r="H310" s="171" t="n"/>
      <c r="I310" s="171" t="n"/>
      <c r="J310" s="171" t="n"/>
      <c r="K310" s="171" t="n"/>
      <c r="L310" s="171" t="n"/>
      <c r="M310" s="171" t="n"/>
      <c r="N310" s="171" t="n"/>
      <c r="O310" s="171" t="n"/>
      <c r="P310" s="171" t="n"/>
      <c r="Q310" s="171" t="n"/>
      <c r="R310" s="171" t="n"/>
      <c r="S310" s="171" t="n"/>
      <c r="T310" s="171" t="n"/>
      <c r="U310" s="171" t="n"/>
      <c r="V310" s="171" t="n"/>
      <c r="W310" s="171" t="n"/>
      <c r="X310" s="171" t="n"/>
      <c r="Y310" s="171" t="n"/>
      <c r="Z310" s="171" t="n"/>
      <c r="AA310" s="171" t="n"/>
      <c r="AB310" s="171" t="n"/>
      <c r="AC310" s="171" t="n"/>
      <c r="AD310" s="171" t="n"/>
      <c r="AE310" s="171" t="n"/>
      <c r="AF310" s="171" t="n"/>
      <c r="AG310" s="171" t="n"/>
      <c r="AH310" s="171" t="n"/>
    </row>
    <row r="311">
      <c r="A311" s="171" t="n"/>
      <c r="B311" s="171" t="n"/>
      <c r="C311" s="171" t="n"/>
      <c r="D311" s="171" t="n"/>
      <c r="E311" s="171" t="n"/>
      <c r="F311" s="171" t="n"/>
      <c r="G311" s="171" t="n"/>
      <c r="H311" s="171" t="n"/>
      <c r="I311" s="171" t="n"/>
      <c r="J311" s="171" t="n"/>
      <c r="K311" s="171" t="n"/>
      <c r="L311" s="171" t="n"/>
      <c r="M311" s="171" t="n"/>
      <c r="N311" s="171" t="n"/>
      <c r="O311" s="171" t="n"/>
      <c r="P311" s="171" t="n"/>
      <c r="Q311" s="171" t="n"/>
      <c r="R311" s="171" t="n"/>
      <c r="S311" s="171" t="n"/>
      <c r="T311" s="171" t="n"/>
      <c r="U311" s="171" t="n"/>
      <c r="V311" s="171" t="n"/>
      <c r="W311" s="171" t="n"/>
      <c r="X311" s="171" t="n"/>
      <c r="Y311" s="171" t="n"/>
      <c r="Z311" s="171" t="n"/>
      <c r="AA311" s="171" t="n"/>
      <c r="AB311" s="171" t="n"/>
      <c r="AC311" s="171" t="n"/>
      <c r="AD311" s="171" t="n"/>
      <c r="AE311" s="171" t="n"/>
      <c r="AF311" s="171" t="n"/>
      <c r="AG311" s="171" t="n"/>
      <c r="AH311" s="171" t="n"/>
    </row>
    <row r="312">
      <c r="A312" s="171" t="n"/>
      <c r="B312" s="171" t="n"/>
      <c r="C312" s="171" t="n"/>
      <c r="D312" s="171" t="n"/>
      <c r="E312" s="171" t="n"/>
      <c r="F312" s="171" t="n"/>
      <c r="G312" s="171" t="n"/>
      <c r="H312" s="171" t="n"/>
      <c r="I312" s="171" t="n"/>
      <c r="J312" s="171" t="n"/>
      <c r="K312" s="171" t="n"/>
      <c r="L312" s="171" t="n"/>
      <c r="M312" s="171" t="n"/>
      <c r="N312" s="171" t="n"/>
      <c r="O312" s="171" t="n"/>
      <c r="P312" s="171" t="n"/>
      <c r="Q312" s="171" t="n"/>
      <c r="R312" s="171" t="n"/>
      <c r="S312" s="171" t="n"/>
      <c r="T312" s="171" t="n"/>
      <c r="U312" s="171" t="n"/>
      <c r="V312" s="171" t="n"/>
      <c r="W312" s="171" t="n"/>
      <c r="X312" s="171" t="n"/>
      <c r="Y312" s="171" t="n"/>
      <c r="Z312" s="171" t="n"/>
      <c r="AA312" s="171" t="n"/>
      <c r="AB312" s="171" t="n"/>
      <c r="AC312" s="171" t="n"/>
      <c r="AD312" s="171" t="n"/>
      <c r="AE312" s="171" t="n"/>
      <c r="AF312" s="171" t="n"/>
      <c r="AG312" s="171" t="n"/>
      <c r="AH312" s="171" t="n"/>
    </row>
    <row r="313">
      <c r="A313" s="171" t="n"/>
      <c r="B313" s="171" t="n"/>
      <c r="C313" s="171" t="n"/>
      <c r="D313" s="171" t="n"/>
      <c r="E313" s="171" t="n"/>
      <c r="F313" s="171" t="n"/>
      <c r="G313" s="171" t="n"/>
      <c r="H313" s="171" t="n"/>
      <c r="I313" s="171" t="n"/>
      <c r="J313" s="171" t="n"/>
      <c r="K313" s="171" t="n"/>
      <c r="L313" s="171" t="n"/>
      <c r="M313" s="171" t="n"/>
      <c r="N313" s="171" t="n"/>
      <c r="O313" s="171" t="n"/>
      <c r="P313" s="171" t="n"/>
      <c r="Q313" s="171" t="n"/>
      <c r="R313" s="171" t="n"/>
      <c r="S313" s="171" t="n"/>
      <c r="T313" s="171" t="n"/>
      <c r="U313" s="171" t="n"/>
      <c r="V313" s="171" t="n"/>
      <c r="W313" s="171" t="n"/>
      <c r="X313" s="171" t="n"/>
      <c r="Y313" s="171" t="n"/>
      <c r="Z313" s="171" t="n"/>
      <c r="AA313" s="171" t="n"/>
      <c r="AB313" s="171" t="n"/>
      <c r="AC313" s="171" t="n"/>
      <c r="AD313" s="171" t="n"/>
      <c r="AE313" s="171" t="n"/>
      <c r="AF313" s="171" t="n"/>
      <c r="AG313" s="171" t="n"/>
      <c r="AH313" s="171" t="n"/>
    </row>
    <row r="314">
      <c r="A314" s="171" t="n"/>
      <c r="B314" s="171" t="n"/>
      <c r="C314" s="171" t="n"/>
      <c r="D314" s="171" t="n"/>
      <c r="E314" s="171" t="n"/>
      <c r="F314" s="171" t="n"/>
      <c r="G314" s="171" t="n"/>
      <c r="H314" s="171" t="n"/>
      <c r="I314" s="171" t="n"/>
      <c r="J314" s="171" t="n"/>
      <c r="K314" s="171" t="n"/>
      <c r="L314" s="171" t="n"/>
      <c r="M314" s="171" t="n"/>
      <c r="N314" s="171" t="n"/>
      <c r="O314" s="171" t="n"/>
      <c r="P314" s="171" t="n"/>
      <c r="Q314" s="171" t="n"/>
      <c r="R314" s="171" t="n"/>
      <c r="S314" s="171" t="n"/>
      <c r="T314" s="171" t="n"/>
      <c r="U314" s="171" t="n"/>
      <c r="V314" s="171" t="n"/>
      <c r="W314" s="171" t="n"/>
      <c r="X314" s="171" t="n"/>
      <c r="Y314" s="171" t="n"/>
      <c r="Z314" s="171" t="n"/>
      <c r="AA314" s="171" t="n"/>
      <c r="AB314" s="171" t="n"/>
      <c r="AC314" s="171" t="n"/>
      <c r="AD314" s="171" t="n"/>
      <c r="AE314" s="171" t="n"/>
      <c r="AF314" s="171" t="n"/>
      <c r="AG314" s="171" t="n"/>
      <c r="AH314" s="171" t="n"/>
    </row>
    <row r="315">
      <c r="A315" s="171" t="n"/>
      <c r="B315" s="171" t="n"/>
      <c r="C315" s="171" t="n"/>
      <c r="D315" s="171" t="n"/>
      <c r="E315" s="171" t="n"/>
      <c r="F315" s="171" t="n"/>
      <c r="G315" s="171" t="n"/>
      <c r="H315" s="171" t="n"/>
      <c r="I315" s="171" t="n"/>
      <c r="J315" s="171" t="n"/>
      <c r="K315" s="171" t="n"/>
      <c r="L315" s="171" t="n"/>
      <c r="M315" s="171" t="n"/>
      <c r="N315" s="171" t="n"/>
      <c r="O315" s="171" t="n"/>
      <c r="P315" s="171" t="n"/>
      <c r="Q315" s="171" t="n"/>
      <c r="R315" s="171" t="n"/>
      <c r="S315" s="171" t="n"/>
      <c r="T315" s="171" t="n"/>
      <c r="U315" s="171" t="n"/>
      <c r="V315" s="171" t="n"/>
      <c r="W315" s="171" t="n"/>
      <c r="X315" s="171" t="n"/>
      <c r="Y315" s="171" t="n"/>
      <c r="Z315" s="171" t="n"/>
      <c r="AA315" s="171" t="n"/>
      <c r="AB315" s="171" t="n"/>
      <c r="AC315" s="171" t="n"/>
      <c r="AD315" s="171" t="n"/>
      <c r="AE315" s="171" t="n"/>
      <c r="AF315" s="171" t="n"/>
      <c r="AG315" s="171" t="n"/>
      <c r="AH315" s="171" t="n"/>
    </row>
    <row r="316">
      <c r="A316" s="171" t="n"/>
      <c r="B316" s="171" t="n"/>
      <c r="C316" s="171" t="n"/>
      <c r="D316" s="171" t="n"/>
      <c r="E316" s="171" t="n"/>
      <c r="F316" s="171" t="n"/>
      <c r="G316" s="171" t="n"/>
      <c r="H316" s="171" t="n"/>
      <c r="I316" s="171" t="n"/>
      <c r="J316" s="171" t="n"/>
      <c r="K316" s="171" t="n"/>
      <c r="L316" s="171" t="n"/>
      <c r="M316" s="171" t="n"/>
      <c r="N316" s="171" t="n"/>
      <c r="O316" s="171" t="n"/>
      <c r="P316" s="171" t="n"/>
      <c r="Q316" s="171" t="n"/>
      <c r="R316" s="171" t="n"/>
      <c r="S316" s="171" t="n"/>
      <c r="T316" s="171" t="n"/>
      <c r="U316" s="171" t="n"/>
      <c r="V316" s="171" t="n"/>
      <c r="W316" s="171" t="n"/>
      <c r="X316" s="171" t="n"/>
      <c r="Y316" s="171" t="n"/>
      <c r="Z316" s="171" t="n"/>
      <c r="AA316" s="171" t="n"/>
      <c r="AB316" s="171" t="n"/>
      <c r="AC316" s="171" t="n"/>
      <c r="AD316" s="171" t="n"/>
      <c r="AE316" s="171" t="n"/>
      <c r="AF316" s="171" t="n"/>
      <c r="AG316" s="171" t="n"/>
      <c r="AH316" s="171" t="n"/>
    </row>
    <row r="317">
      <c r="A317" s="171" t="n"/>
      <c r="B317" s="171" t="n"/>
      <c r="C317" s="171" t="n"/>
      <c r="D317" s="171" t="n"/>
      <c r="E317" s="171" t="n"/>
      <c r="F317" s="171" t="n"/>
      <c r="G317" s="171" t="n"/>
      <c r="H317" s="171" t="n"/>
      <c r="I317" s="171" t="n"/>
      <c r="J317" s="171" t="n"/>
      <c r="K317" s="171" t="n"/>
      <c r="L317" s="171" t="n"/>
      <c r="M317" s="171" t="n"/>
      <c r="N317" s="171" t="n"/>
      <c r="O317" s="171" t="n"/>
      <c r="P317" s="171" t="n"/>
      <c r="Q317" s="171" t="n"/>
      <c r="R317" s="171" t="n"/>
      <c r="S317" s="171" t="n"/>
      <c r="T317" s="171" t="n"/>
      <c r="U317" s="171" t="n"/>
      <c r="V317" s="171" t="n"/>
      <c r="W317" s="171" t="n"/>
      <c r="X317" s="171" t="n"/>
      <c r="Y317" s="171" t="n"/>
      <c r="Z317" s="171" t="n"/>
      <c r="AA317" s="171" t="n"/>
      <c r="AB317" s="171" t="n"/>
      <c r="AC317" s="171" t="n"/>
      <c r="AD317" s="171" t="n"/>
      <c r="AE317" s="171" t="n"/>
      <c r="AF317" s="171" t="n"/>
      <c r="AG317" s="171" t="n"/>
      <c r="AH317" s="171" t="n"/>
    </row>
    <row r="318">
      <c r="A318" s="171" t="n"/>
      <c r="B318" s="171" t="n"/>
      <c r="C318" s="171" t="n"/>
      <c r="D318" s="171" t="n"/>
      <c r="E318" s="171" t="n"/>
      <c r="F318" s="171" t="n"/>
      <c r="G318" s="171" t="n"/>
      <c r="H318" s="171" t="n"/>
      <c r="I318" s="171" t="n"/>
      <c r="J318" s="171" t="n"/>
      <c r="K318" s="171" t="n"/>
      <c r="L318" s="171" t="n"/>
      <c r="M318" s="171" t="n"/>
      <c r="N318" s="171" t="n"/>
      <c r="O318" s="171" t="n"/>
      <c r="P318" s="171" t="n"/>
      <c r="Q318" s="171" t="n"/>
      <c r="R318" s="171" t="n"/>
      <c r="S318" s="171" t="n"/>
      <c r="T318" s="171" t="n"/>
      <c r="U318" s="171" t="n"/>
      <c r="V318" s="171" t="n"/>
      <c r="W318" s="171" t="n"/>
      <c r="X318" s="171" t="n"/>
      <c r="Y318" s="171" t="n"/>
      <c r="Z318" s="171" t="n"/>
      <c r="AA318" s="171" t="n"/>
      <c r="AB318" s="171" t="n"/>
      <c r="AC318" s="171" t="n"/>
      <c r="AD318" s="171" t="n"/>
      <c r="AE318" s="171" t="n"/>
      <c r="AF318" s="171" t="n"/>
      <c r="AG318" s="171" t="n"/>
      <c r="AH318" s="171" t="n"/>
    </row>
    <row r="319">
      <c r="A319" s="171" t="n"/>
      <c r="B319" s="171" t="n"/>
      <c r="C319" s="171" t="n"/>
      <c r="D319" s="171" t="n"/>
      <c r="E319" s="171" t="n"/>
      <c r="F319" s="171" t="n"/>
      <c r="G319" s="171" t="n"/>
      <c r="H319" s="171" t="n"/>
      <c r="I319" s="171" t="n"/>
      <c r="J319" s="171" t="n"/>
      <c r="K319" s="171" t="n"/>
      <c r="L319" s="171" t="n"/>
      <c r="M319" s="171" t="n"/>
      <c r="N319" s="171" t="n"/>
      <c r="O319" s="171" t="n"/>
      <c r="P319" s="171" t="n"/>
      <c r="Q319" s="171" t="n"/>
      <c r="R319" s="171" t="n"/>
      <c r="S319" s="171" t="n"/>
      <c r="T319" s="171" t="n"/>
      <c r="U319" s="171" t="n"/>
      <c r="V319" s="171" t="n"/>
      <c r="W319" s="171" t="n"/>
      <c r="X319" s="171" t="n"/>
      <c r="Y319" s="171" t="n"/>
      <c r="Z319" s="171" t="n"/>
      <c r="AA319" s="171" t="n"/>
      <c r="AB319" s="171" t="n"/>
      <c r="AC319" s="171" t="n"/>
      <c r="AD319" s="171" t="n"/>
      <c r="AE319" s="171" t="n"/>
      <c r="AF319" s="171" t="n"/>
      <c r="AG319" s="171" t="n"/>
      <c r="AH319" s="171" t="n"/>
    </row>
    <row r="320">
      <c r="A320" s="171" t="n"/>
      <c r="B320" s="171" t="n"/>
      <c r="C320" s="171" t="n"/>
      <c r="D320" s="171" t="n"/>
      <c r="E320" s="171" t="n"/>
      <c r="F320" s="171" t="n"/>
      <c r="G320" s="171" t="n"/>
      <c r="H320" s="171" t="n"/>
      <c r="I320" s="171" t="n"/>
      <c r="J320" s="171" t="n"/>
      <c r="K320" s="171" t="n"/>
      <c r="L320" s="171" t="n"/>
      <c r="M320" s="171" t="n"/>
      <c r="N320" s="171" t="n"/>
      <c r="O320" s="171" t="n"/>
      <c r="P320" s="171" t="n"/>
      <c r="Q320" s="171" t="n"/>
      <c r="R320" s="171" t="n"/>
      <c r="S320" s="171" t="n"/>
      <c r="T320" s="171" t="n"/>
      <c r="U320" s="171" t="n"/>
      <c r="V320" s="171" t="n"/>
      <c r="W320" s="171" t="n"/>
      <c r="X320" s="171" t="n"/>
      <c r="Y320" s="171" t="n"/>
      <c r="Z320" s="171" t="n"/>
      <c r="AA320" s="171" t="n"/>
      <c r="AB320" s="171" t="n"/>
      <c r="AC320" s="171" t="n"/>
      <c r="AD320" s="171" t="n"/>
      <c r="AE320" s="171" t="n"/>
      <c r="AF320" s="171" t="n"/>
      <c r="AG320" s="171" t="n"/>
      <c r="AH320" s="171" t="n"/>
    </row>
    <row r="321">
      <c r="A321" s="171" t="n"/>
      <c r="B321" s="171" t="n"/>
      <c r="C321" s="171" t="n"/>
      <c r="D321" s="171" t="n"/>
      <c r="E321" s="171" t="n"/>
      <c r="F321" s="171" t="n"/>
      <c r="G321" s="171" t="n"/>
      <c r="H321" s="171" t="n"/>
      <c r="I321" s="171" t="n"/>
      <c r="J321" s="171" t="n"/>
      <c r="K321" s="171" t="n"/>
      <c r="L321" s="171" t="n"/>
      <c r="M321" s="171" t="n"/>
      <c r="N321" s="171" t="n"/>
      <c r="O321" s="171" t="n"/>
      <c r="P321" s="171" t="n"/>
      <c r="Q321" s="171" t="n"/>
      <c r="R321" s="171" t="n"/>
      <c r="S321" s="171" t="n"/>
      <c r="T321" s="171" t="n"/>
      <c r="U321" s="171" t="n"/>
      <c r="V321" s="171" t="n"/>
      <c r="W321" s="171" t="n"/>
      <c r="X321" s="171" t="n"/>
      <c r="Y321" s="171" t="n"/>
      <c r="Z321" s="171" t="n"/>
      <c r="AA321" s="171" t="n"/>
      <c r="AB321" s="171" t="n"/>
      <c r="AC321" s="171" t="n"/>
      <c r="AD321" s="171" t="n"/>
      <c r="AE321" s="171" t="n"/>
      <c r="AF321" s="171" t="n"/>
      <c r="AG321" s="171" t="n"/>
      <c r="AH321" s="171" t="n"/>
    </row>
    <row r="322">
      <c r="A322" s="171" t="n"/>
      <c r="B322" s="171" t="n"/>
      <c r="C322" s="171" t="n"/>
      <c r="D322" s="171" t="n"/>
      <c r="E322" s="171" t="n"/>
      <c r="F322" s="171" t="n"/>
      <c r="G322" s="171" t="n"/>
      <c r="H322" s="171" t="n"/>
      <c r="I322" s="171" t="n"/>
      <c r="J322" s="171" t="n"/>
      <c r="K322" s="171" t="n"/>
      <c r="L322" s="171" t="n"/>
      <c r="M322" s="171" t="n"/>
      <c r="N322" s="171" t="n"/>
      <c r="O322" s="171" t="n"/>
      <c r="P322" s="171" t="n"/>
      <c r="Q322" s="171" t="n"/>
      <c r="R322" s="171" t="n"/>
      <c r="S322" s="171" t="n"/>
      <c r="T322" s="171" t="n"/>
      <c r="U322" s="171" t="n"/>
      <c r="V322" s="171" t="n"/>
      <c r="W322" s="171" t="n"/>
      <c r="X322" s="171" t="n"/>
      <c r="Y322" s="171" t="n"/>
      <c r="Z322" s="171" t="n"/>
      <c r="AA322" s="171" t="n"/>
      <c r="AB322" s="171" t="n"/>
      <c r="AC322" s="171" t="n"/>
      <c r="AD322" s="171" t="n"/>
      <c r="AE322" s="171" t="n"/>
      <c r="AF322" s="171" t="n"/>
      <c r="AG322" s="171" t="n"/>
      <c r="AH322" s="171" t="n"/>
    </row>
    <row r="323">
      <c r="A323" s="171" t="n"/>
      <c r="B323" s="171" t="n"/>
      <c r="C323" s="171" t="n"/>
      <c r="D323" s="171" t="n"/>
      <c r="E323" s="171" t="n"/>
      <c r="F323" s="171" t="n"/>
      <c r="G323" s="171" t="n"/>
      <c r="H323" s="171" t="n"/>
      <c r="I323" s="171" t="n"/>
      <c r="J323" s="171" t="n"/>
      <c r="K323" s="171" t="n"/>
      <c r="L323" s="171" t="n"/>
      <c r="M323" s="171" t="n"/>
      <c r="N323" s="171" t="n"/>
      <c r="O323" s="171" t="n"/>
      <c r="P323" s="171" t="n"/>
      <c r="Q323" s="171" t="n"/>
      <c r="R323" s="171" t="n"/>
      <c r="S323" s="171" t="n"/>
      <c r="T323" s="171" t="n"/>
      <c r="U323" s="171" t="n"/>
      <c r="V323" s="171" t="n"/>
      <c r="W323" s="171" t="n"/>
      <c r="X323" s="171" t="n"/>
      <c r="Y323" s="171" t="n"/>
      <c r="Z323" s="171" t="n"/>
      <c r="AA323" s="171" t="n"/>
      <c r="AB323" s="171" t="n"/>
      <c r="AC323" s="171" t="n"/>
      <c r="AD323" s="171" t="n"/>
      <c r="AE323" s="171" t="n"/>
      <c r="AF323" s="171" t="n"/>
      <c r="AG323" s="171" t="n"/>
      <c r="AH323" s="171" t="n"/>
    </row>
    <row r="324">
      <c r="A324" s="171" t="n"/>
      <c r="B324" s="171" t="n"/>
      <c r="C324" s="171" t="n"/>
      <c r="D324" s="171" t="n"/>
      <c r="E324" s="171" t="n"/>
      <c r="F324" s="171" t="n"/>
      <c r="G324" s="171" t="n"/>
      <c r="H324" s="171" t="n"/>
      <c r="I324" s="171" t="n"/>
      <c r="J324" s="171" t="n"/>
      <c r="K324" s="171" t="n"/>
      <c r="L324" s="171" t="n"/>
      <c r="M324" s="171" t="n"/>
      <c r="N324" s="171" t="n"/>
      <c r="O324" s="171" t="n"/>
      <c r="P324" s="171" t="n"/>
      <c r="Q324" s="171" t="n"/>
      <c r="R324" s="171" t="n"/>
      <c r="S324" s="171" t="n"/>
      <c r="T324" s="171" t="n"/>
      <c r="U324" s="171" t="n"/>
      <c r="V324" s="171" t="n"/>
      <c r="W324" s="171" t="n"/>
      <c r="X324" s="171" t="n"/>
      <c r="Y324" s="171" t="n"/>
      <c r="Z324" s="171" t="n"/>
      <c r="AA324" s="171" t="n"/>
      <c r="AB324" s="171" t="n"/>
      <c r="AC324" s="171" t="n"/>
      <c r="AD324" s="171" t="n"/>
      <c r="AE324" s="171" t="n"/>
      <c r="AF324" s="171" t="n"/>
      <c r="AG324" s="171" t="n"/>
      <c r="AH324" s="171" t="n"/>
    </row>
    <row r="325">
      <c r="A325" s="171" t="n"/>
      <c r="B325" s="171" t="n"/>
      <c r="C325" s="171" t="n"/>
      <c r="D325" s="171" t="n"/>
      <c r="E325" s="171" t="n"/>
      <c r="F325" s="171" t="n"/>
      <c r="G325" s="171" t="n"/>
      <c r="H325" s="171" t="n"/>
      <c r="I325" s="171" t="n"/>
      <c r="J325" s="171" t="n"/>
      <c r="K325" s="171" t="n"/>
      <c r="L325" s="171" t="n"/>
      <c r="M325" s="171" t="n"/>
      <c r="N325" s="171" t="n"/>
      <c r="O325" s="171" t="n"/>
      <c r="P325" s="171" t="n"/>
      <c r="Q325" s="171" t="n"/>
      <c r="R325" s="171" t="n"/>
      <c r="S325" s="171" t="n"/>
      <c r="T325" s="171" t="n"/>
      <c r="U325" s="171" t="n"/>
      <c r="V325" s="171" t="n"/>
      <c r="W325" s="171" t="n"/>
      <c r="X325" s="171" t="n"/>
      <c r="Y325" s="171" t="n"/>
      <c r="Z325" s="171" t="n"/>
      <c r="AA325" s="171" t="n"/>
      <c r="AB325" s="171" t="n"/>
      <c r="AC325" s="171" t="n"/>
      <c r="AD325" s="171" t="n"/>
      <c r="AE325" s="171" t="n"/>
      <c r="AF325" s="171" t="n"/>
      <c r="AG325" s="171" t="n"/>
      <c r="AH325" s="171" t="n"/>
    </row>
    <row r="326">
      <c r="A326" s="171" t="n"/>
      <c r="B326" s="171" t="n"/>
      <c r="C326" s="171" t="n"/>
      <c r="D326" s="171" t="n"/>
      <c r="E326" s="171" t="n"/>
      <c r="F326" s="171" t="n"/>
      <c r="G326" s="171" t="n"/>
      <c r="H326" s="171" t="n"/>
      <c r="I326" s="171" t="n"/>
      <c r="J326" s="171" t="n"/>
      <c r="K326" s="171" t="n"/>
      <c r="L326" s="171" t="n"/>
      <c r="M326" s="171" t="n"/>
      <c r="N326" s="171" t="n"/>
      <c r="O326" s="171" t="n"/>
      <c r="P326" s="171" t="n"/>
      <c r="Q326" s="171" t="n"/>
      <c r="R326" s="171" t="n"/>
      <c r="S326" s="171" t="n"/>
      <c r="T326" s="171" t="n"/>
      <c r="U326" s="171" t="n"/>
      <c r="V326" s="171" t="n"/>
      <c r="W326" s="171" t="n"/>
      <c r="X326" s="171" t="n"/>
      <c r="Y326" s="171" t="n"/>
      <c r="Z326" s="171" t="n"/>
      <c r="AA326" s="171" t="n"/>
      <c r="AB326" s="171" t="n"/>
      <c r="AC326" s="171" t="n"/>
      <c r="AD326" s="171" t="n"/>
      <c r="AE326" s="171" t="n"/>
      <c r="AF326" s="171" t="n"/>
      <c r="AG326" s="171" t="n"/>
      <c r="AH326" s="171" t="n"/>
    </row>
    <row r="327">
      <c r="A327" s="171" t="n"/>
      <c r="B327" s="171" t="n"/>
      <c r="C327" s="171" t="n"/>
      <c r="D327" s="171" t="n"/>
      <c r="E327" s="171" t="n"/>
      <c r="F327" s="171" t="n"/>
      <c r="G327" s="171" t="n"/>
      <c r="H327" s="171" t="n"/>
      <c r="I327" s="171" t="n"/>
      <c r="J327" s="171" t="n"/>
      <c r="K327" s="171" t="n"/>
      <c r="L327" s="171" t="n"/>
      <c r="M327" s="171" t="n"/>
      <c r="N327" s="171" t="n"/>
      <c r="O327" s="171" t="n"/>
      <c r="P327" s="171" t="n"/>
      <c r="Q327" s="171" t="n"/>
      <c r="R327" s="171" t="n"/>
      <c r="S327" s="171" t="n"/>
      <c r="T327" s="171" t="n"/>
      <c r="U327" s="171" t="n"/>
      <c r="V327" s="171" t="n"/>
      <c r="W327" s="171" t="n"/>
      <c r="X327" s="171" t="n"/>
      <c r="Y327" s="171" t="n"/>
      <c r="Z327" s="171" t="n"/>
      <c r="AA327" s="171" t="n"/>
      <c r="AB327" s="171" t="n"/>
      <c r="AC327" s="171" t="n"/>
      <c r="AD327" s="171" t="n"/>
      <c r="AE327" s="171" t="n"/>
      <c r="AF327" s="171" t="n"/>
      <c r="AG327" s="171" t="n"/>
      <c r="AH327" s="171" t="n"/>
    </row>
    <row r="328">
      <c r="A328" s="171" t="n"/>
      <c r="B328" s="171" t="n"/>
      <c r="C328" s="171" t="n"/>
      <c r="D328" s="171" t="n"/>
      <c r="E328" s="171" t="n"/>
      <c r="F328" s="171" t="n"/>
      <c r="G328" s="171" t="n"/>
      <c r="H328" s="171" t="n"/>
      <c r="I328" s="171" t="n"/>
      <c r="J328" s="171" t="n"/>
      <c r="K328" s="171" t="n"/>
      <c r="L328" s="171" t="n"/>
      <c r="M328" s="171" t="n"/>
      <c r="N328" s="171" t="n"/>
      <c r="O328" s="171" t="n"/>
      <c r="P328" s="171" t="n"/>
      <c r="Q328" s="171" t="n"/>
      <c r="R328" s="171" t="n"/>
      <c r="S328" s="171" t="n"/>
      <c r="T328" s="171" t="n"/>
      <c r="U328" s="171" t="n"/>
      <c r="V328" s="171" t="n"/>
      <c r="W328" s="171" t="n"/>
      <c r="X328" s="171" t="n"/>
      <c r="Y328" s="171" t="n"/>
      <c r="Z328" s="171" t="n"/>
      <c r="AA328" s="171" t="n"/>
      <c r="AB328" s="171" t="n"/>
      <c r="AC328" s="171" t="n"/>
      <c r="AD328" s="171" t="n"/>
      <c r="AE328" s="171" t="n"/>
      <c r="AF328" s="171" t="n"/>
      <c r="AG328" s="171" t="n"/>
      <c r="AH328" s="171" t="n"/>
    </row>
    <row r="329">
      <c r="A329" s="171" t="n"/>
      <c r="B329" s="171" t="n"/>
      <c r="C329" s="171" t="n"/>
      <c r="D329" s="171" t="n"/>
      <c r="E329" s="171" t="n"/>
      <c r="F329" s="171" t="n"/>
      <c r="G329" s="171" t="n"/>
      <c r="H329" s="171" t="n"/>
      <c r="I329" s="171" t="n"/>
      <c r="J329" s="171" t="n"/>
      <c r="K329" s="171" t="n"/>
      <c r="L329" s="171" t="n"/>
      <c r="M329" s="171" t="n"/>
      <c r="N329" s="171" t="n"/>
      <c r="O329" s="171" t="n"/>
      <c r="P329" s="171" t="n"/>
      <c r="Q329" s="171" t="n"/>
      <c r="R329" s="171" t="n"/>
      <c r="S329" s="171" t="n"/>
      <c r="T329" s="171" t="n"/>
      <c r="U329" s="171" t="n"/>
      <c r="V329" s="171" t="n"/>
      <c r="W329" s="171" t="n"/>
      <c r="X329" s="171" t="n"/>
      <c r="Y329" s="171" t="n"/>
      <c r="Z329" s="171" t="n"/>
      <c r="AA329" s="171" t="n"/>
      <c r="AB329" s="171" t="n"/>
      <c r="AC329" s="171" t="n"/>
      <c r="AD329" s="171" t="n"/>
      <c r="AE329" s="171" t="n"/>
      <c r="AF329" s="171" t="n"/>
      <c r="AG329" s="171" t="n"/>
      <c r="AH329" s="171" t="n"/>
    </row>
    <row r="330">
      <c r="A330" s="171" t="n"/>
      <c r="B330" s="171" t="n"/>
      <c r="C330" s="171" t="n"/>
      <c r="D330" s="171" t="n"/>
      <c r="E330" s="171" t="n"/>
      <c r="F330" s="171" t="n"/>
      <c r="G330" s="171" t="n"/>
      <c r="H330" s="171" t="n"/>
      <c r="I330" s="171" t="n"/>
      <c r="J330" s="171" t="n"/>
      <c r="K330" s="171" t="n"/>
      <c r="L330" s="171" t="n"/>
      <c r="M330" s="171" t="n"/>
      <c r="N330" s="171" t="n"/>
      <c r="O330" s="171" t="n"/>
      <c r="P330" s="171" t="n"/>
      <c r="Q330" s="171" t="n"/>
      <c r="R330" s="171" t="n"/>
      <c r="S330" s="171" t="n"/>
      <c r="T330" s="171" t="n"/>
      <c r="U330" s="171" t="n"/>
      <c r="V330" s="171" t="n"/>
      <c r="W330" s="171" t="n"/>
      <c r="X330" s="171" t="n"/>
      <c r="Y330" s="171" t="n"/>
      <c r="Z330" s="171" t="n"/>
      <c r="AA330" s="171" t="n"/>
      <c r="AB330" s="171" t="n"/>
      <c r="AC330" s="171" t="n"/>
      <c r="AD330" s="171" t="n"/>
      <c r="AE330" s="171" t="n"/>
      <c r="AF330" s="171" t="n"/>
      <c r="AG330" s="171" t="n"/>
      <c r="AH330" s="171" t="n"/>
    </row>
    <row r="331">
      <c r="A331" s="171" t="n"/>
      <c r="B331" s="171" t="n"/>
      <c r="C331" s="171" t="n"/>
      <c r="D331" s="171" t="n"/>
      <c r="E331" s="171" t="n"/>
      <c r="F331" s="171" t="n"/>
      <c r="G331" s="171" t="n"/>
      <c r="H331" s="171" t="n"/>
      <c r="I331" s="171" t="n"/>
      <c r="J331" s="171" t="n"/>
      <c r="K331" s="171" t="n"/>
      <c r="L331" s="171" t="n"/>
      <c r="M331" s="171" t="n"/>
      <c r="N331" s="171" t="n"/>
      <c r="O331" s="171" t="n"/>
      <c r="P331" s="171" t="n"/>
      <c r="Q331" s="171" t="n"/>
      <c r="R331" s="171" t="n"/>
      <c r="S331" s="171" t="n"/>
      <c r="T331" s="171" t="n"/>
      <c r="U331" s="171" t="n"/>
      <c r="V331" s="171" t="n"/>
      <c r="W331" s="171" t="n"/>
      <c r="X331" s="171" t="n"/>
      <c r="Y331" s="171" t="n"/>
      <c r="Z331" s="171" t="n"/>
      <c r="AA331" s="171" t="n"/>
      <c r="AB331" s="171" t="n"/>
      <c r="AC331" s="171" t="n"/>
      <c r="AD331" s="171" t="n"/>
      <c r="AE331" s="171" t="n"/>
      <c r="AF331" s="171" t="n"/>
      <c r="AG331" s="171" t="n"/>
      <c r="AH331" s="171" t="n"/>
    </row>
    <row r="332">
      <c r="A332" s="171" t="n"/>
      <c r="B332" s="171" t="n"/>
      <c r="C332" s="171" t="n"/>
      <c r="D332" s="171" t="n"/>
      <c r="E332" s="171" t="n"/>
      <c r="F332" s="171" t="n"/>
      <c r="G332" s="171" t="n"/>
      <c r="H332" s="171" t="n"/>
      <c r="I332" s="171" t="n"/>
      <c r="J332" s="171" t="n"/>
      <c r="K332" s="171" t="n"/>
      <c r="L332" s="171" t="n"/>
      <c r="M332" s="171" t="n"/>
      <c r="N332" s="171" t="n"/>
      <c r="O332" s="171" t="n"/>
      <c r="P332" s="171" t="n"/>
      <c r="Q332" s="171" t="n"/>
      <c r="R332" s="171" t="n"/>
      <c r="S332" s="171" t="n"/>
      <c r="T332" s="171" t="n"/>
      <c r="U332" s="171" t="n"/>
      <c r="V332" s="171" t="n"/>
      <c r="W332" s="171" t="n"/>
      <c r="X332" s="171" t="n"/>
      <c r="Y332" s="171" t="n"/>
      <c r="Z332" s="171" t="n"/>
      <c r="AA332" s="171" t="n"/>
      <c r="AB332" s="171" t="n"/>
      <c r="AC332" s="171" t="n"/>
      <c r="AD332" s="171" t="n"/>
      <c r="AE332" s="171" t="n"/>
      <c r="AF332" s="171" t="n"/>
      <c r="AG332" s="171" t="n"/>
      <c r="AH332" s="171" t="n"/>
    </row>
    <row r="333">
      <c r="A333" s="171" t="n"/>
      <c r="B333" s="171" t="n"/>
      <c r="C333" s="171" t="n"/>
      <c r="D333" s="171" t="n"/>
      <c r="E333" s="171" t="n"/>
      <c r="F333" s="171" t="n"/>
      <c r="G333" s="171" t="n"/>
      <c r="H333" s="171" t="n"/>
      <c r="I333" s="171" t="n"/>
      <c r="J333" s="171" t="n"/>
      <c r="K333" s="171" t="n"/>
      <c r="L333" s="171" t="n"/>
      <c r="M333" s="171" t="n"/>
      <c r="N333" s="171" t="n"/>
      <c r="O333" s="171" t="n"/>
      <c r="P333" s="171" t="n"/>
      <c r="Q333" s="171" t="n"/>
      <c r="R333" s="171" t="n"/>
      <c r="S333" s="171" t="n"/>
      <c r="T333" s="171" t="n"/>
      <c r="U333" s="171" t="n"/>
      <c r="V333" s="171" t="n"/>
      <c r="W333" s="171" t="n"/>
      <c r="X333" s="171" t="n"/>
      <c r="Y333" s="171" t="n"/>
      <c r="Z333" s="171" t="n"/>
      <c r="AA333" s="171" t="n"/>
      <c r="AB333" s="171" t="n"/>
      <c r="AC333" s="171" t="n"/>
      <c r="AD333" s="171" t="n"/>
      <c r="AE333" s="171" t="n"/>
      <c r="AF333" s="171" t="n"/>
      <c r="AG333" s="171" t="n"/>
      <c r="AH333" s="171" t="n"/>
    </row>
    <row r="334">
      <c r="A334" s="171" t="n"/>
      <c r="B334" s="171" t="n"/>
      <c r="C334" s="171" t="n"/>
      <c r="D334" s="171" t="n"/>
      <c r="E334" s="171" t="n"/>
      <c r="F334" s="171" t="n"/>
      <c r="G334" s="171" t="n"/>
      <c r="H334" s="171" t="n"/>
      <c r="I334" s="171" t="n"/>
      <c r="J334" s="171" t="n"/>
      <c r="K334" s="171" t="n"/>
      <c r="L334" s="171" t="n"/>
      <c r="M334" s="171" t="n"/>
      <c r="N334" s="171" t="n"/>
      <c r="O334" s="171" t="n"/>
      <c r="P334" s="171" t="n"/>
      <c r="Q334" s="171" t="n"/>
      <c r="R334" s="171" t="n"/>
      <c r="S334" s="171" t="n"/>
      <c r="T334" s="171" t="n"/>
      <c r="U334" s="171" t="n"/>
      <c r="V334" s="171" t="n"/>
      <c r="W334" s="171" t="n"/>
      <c r="X334" s="171" t="n"/>
      <c r="Y334" s="171" t="n"/>
      <c r="Z334" s="171" t="n"/>
      <c r="AA334" s="171" t="n"/>
      <c r="AB334" s="171" t="n"/>
      <c r="AC334" s="171" t="n"/>
      <c r="AD334" s="171" t="n"/>
      <c r="AE334" s="171" t="n"/>
      <c r="AF334" s="171" t="n"/>
      <c r="AG334" s="171" t="n"/>
      <c r="AH334" s="171" t="n"/>
    </row>
    <row r="335">
      <c r="A335" s="171" t="n"/>
      <c r="B335" s="171" t="n"/>
      <c r="C335" s="171" t="n"/>
      <c r="D335" s="171" t="n"/>
      <c r="E335" s="171" t="n"/>
      <c r="F335" s="171" t="n"/>
      <c r="G335" s="171" t="n"/>
      <c r="H335" s="171" t="n"/>
      <c r="I335" s="171" t="n"/>
      <c r="J335" s="171" t="n"/>
      <c r="K335" s="171" t="n"/>
      <c r="L335" s="171" t="n"/>
      <c r="M335" s="171" t="n"/>
      <c r="N335" s="171" t="n"/>
      <c r="O335" s="171" t="n"/>
      <c r="P335" s="171" t="n"/>
      <c r="Q335" s="171" t="n"/>
      <c r="R335" s="171" t="n"/>
      <c r="S335" s="171" t="n"/>
      <c r="T335" s="171" t="n"/>
      <c r="U335" s="171" t="n"/>
      <c r="V335" s="171" t="n"/>
      <c r="W335" s="171" t="n"/>
      <c r="X335" s="171" t="n"/>
      <c r="Y335" s="171" t="n"/>
      <c r="Z335" s="171" t="n"/>
      <c r="AA335" s="171" t="n"/>
      <c r="AB335" s="171" t="n"/>
      <c r="AC335" s="171" t="n"/>
      <c r="AD335" s="171" t="n"/>
      <c r="AE335" s="171" t="n"/>
      <c r="AF335" s="171" t="n"/>
      <c r="AG335" s="171" t="n"/>
      <c r="AH335" s="171" t="n"/>
    </row>
    <row r="336">
      <c r="A336" s="171" t="n"/>
      <c r="B336" s="171" t="n"/>
      <c r="C336" s="171" t="n"/>
      <c r="D336" s="171" t="n"/>
      <c r="E336" s="171" t="n"/>
      <c r="F336" s="171" t="n"/>
      <c r="G336" s="171" t="n"/>
      <c r="H336" s="171" t="n"/>
      <c r="I336" s="171" t="n"/>
      <c r="J336" s="171" t="n"/>
      <c r="K336" s="171" t="n"/>
      <c r="L336" s="171" t="n"/>
      <c r="M336" s="171" t="n"/>
      <c r="N336" s="171" t="n"/>
      <c r="O336" s="171" t="n"/>
      <c r="P336" s="171" t="n"/>
      <c r="Q336" s="171" t="n"/>
      <c r="R336" s="171" t="n"/>
      <c r="S336" s="171" t="n"/>
      <c r="T336" s="171" t="n"/>
      <c r="U336" s="171" t="n"/>
      <c r="V336" s="171" t="n"/>
      <c r="W336" s="171" t="n"/>
      <c r="X336" s="171" t="n"/>
      <c r="Y336" s="171" t="n"/>
      <c r="Z336" s="171" t="n"/>
      <c r="AA336" s="171" t="n"/>
      <c r="AB336" s="171" t="n"/>
      <c r="AC336" s="171" t="n"/>
      <c r="AD336" s="171" t="n"/>
      <c r="AE336" s="171" t="n"/>
      <c r="AF336" s="171" t="n"/>
      <c r="AG336" s="171" t="n"/>
      <c r="AH336" s="171" t="n"/>
    </row>
    <row r="337">
      <c r="A337" s="171" t="n"/>
      <c r="B337" s="171" t="n"/>
      <c r="C337" s="171" t="n"/>
      <c r="D337" s="171" t="n"/>
      <c r="E337" s="171" t="n"/>
      <c r="F337" s="171" t="n"/>
      <c r="G337" s="171" t="n"/>
      <c r="H337" s="171" t="n"/>
      <c r="I337" s="171" t="n"/>
      <c r="J337" s="171" t="n"/>
      <c r="K337" s="171" t="n"/>
      <c r="L337" s="171" t="n"/>
      <c r="M337" s="171" t="n"/>
      <c r="N337" s="171" t="n"/>
      <c r="O337" s="171" t="n"/>
      <c r="P337" s="171" t="n"/>
      <c r="Q337" s="171" t="n"/>
      <c r="R337" s="171" t="n"/>
      <c r="S337" s="171" t="n"/>
      <c r="T337" s="171" t="n"/>
      <c r="U337" s="171" t="n"/>
      <c r="V337" s="171" t="n"/>
      <c r="W337" s="171" t="n"/>
      <c r="X337" s="171" t="n"/>
      <c r="Y337" s="171" t="n"/>
      <c r="Z337" s="171" t="n"/>
      <c r="AA337" s="171" t="n"/>
      <c r="AB337" s="171" t="n"/>
      <c r="AC337" s="171" t="n"/>
      <c r="AD337" s="171" t="n"/>
      <c r="AE337" s="171" t="n"/>
      <c r="AF337" s="171" t="n"/>
      <c r="AG337" s="171" t="n"/>
      <c r="AH337" s="171" t="n"/>
    </row>
    <row r="338">
      <c r="A338" s="171" t="n"/>
      <c r="B338" s="171" t="n"/>
      <c r="C338" s="171" t="n"/>
      <c r="D338" s="171" t="n"/>
      <c r="E338" s="171" t="n"/>
      <c r="F338" s="171" t="n"/>
      <c r="G338" s="171" t="n"/>
      <c r="H338" s="171" t="n"/>
      <c r="I338" s="171" t="n"/>
      <c r="J338" s="171" t="n"/>
      <c r="K338" s="171" t="n"/>
      <c r="L338" s="171" t="n"/>
      <c r="M338" s="171" t="n"/>
      <c r="N338" s="171" t="n"/>
      <c r="O338" s="171" t="n"/>
      <c r="P338" s="171" t="n"/>
      <c r="Q338" s="171" t="n"/>
      <c r="R338" s="171" t="n"/>
      <c r="S338" s="171" t="n"/>
      <c r="T338" s="171" t="n"/>
      <c r="U338" s="171" t="n"/>
      <c r="V338" s="171" t="n"/>
      <c r="W338" s="171" t="n"/>
      <c r="X338" s="171" t="n"/>
      <c r="Y338" s="171" t="n"/>
      <c r="Z338" s="171" t="n"/>
      <c r="AA338" s="171" t="n"/>
      <c r="AB338" s="171" t="n"/>
      <c r="AC338" s="171" t="n"/>
      <c r="AD338" s="171" t="n"/>
      <c r="AE338" s="171" t="n"/>
      <c r="AF338" s="171" t="n"/>
      <c r="AG338" s="171" t="n"/>
      <c r="AH338" s="171" t="n"/>
    </row>
    <row r="339">
      <c r="A339" s="171" t="n"/>
      <c r="B339" s="171" t="n"/>
      <c r="C339" s="171" t="n"/>
      <c r="D339" s="171" t="n"/>
      <c r="E339" s="171" t="n"/>
      <c r="F339" s="171" t="n"/>
      <c r="G339" s="171" t="n"/>
      <c r="H339" s="171" t="n"/>
      <c r="I339" s="171" t="n"/>
      <c r="J339" s="171" t="n"/>
      <c r="K339" s="171" t="n"/>
      <c r="L339" s="171" t="n"/>
      <c r="M339" s="171" t="n"/>
      <c r="N339" s="171" t="n"/>
      <c r="O339" s="171" t="n"/>
      <c r="P339" s="171" t="n"/>
      <c r="Q339" s="171" t="n"/>
      <c r="R339" s="171" t="n"/>
      <c r="S339" s="171" t="n"/>
      <c r="T339" s="171" t="n"/>
      <c r="U339" s="171" t="n"/>
      <c r="V339" s="171" t="n"/>
      <c r="W339" s="171" t="n"/>
      <c r="X339" s="171" t="n"/>
      <c r="Y339" s="171" t="n"/>
      <c r="Z339" s="171" t="n"/>
      <c r="AA339" s="171" t="n"/>
      <c r="AB339" s="171" t="n"/>
      <c r="AC339" s="171" t="n"/>
      <c r="AD339" s="171" t="n"/>
      <c r="AE339" s="171" t="n"/>
      <c r="AF339" s="171" t="n"/>
      <c r="AG339" s="171" t="n"/>
      <c r="AH339" s="171" t="n"/>
    </row>
    <row r="340">
      <c r="A340" s="171" t="n"/>
      <c r="B340" s="171" t="n"/>
      <c r="C340" s="171" t="n"/>
      <c r="D340" s="171" t="n"/>
      <c r="E340" s="171" t="n"/>
      <c r="F340" s="171" t="n"/>
      <c r="G340" s="171" t="n"/>
      <c r="H340" s="171" t="n"/>
      <c r="I340" s="171" t="n"/>
      <c r="J340" s="171" t="n"/>
      <c r="K340" s="171" t="n"/>
      <c r="L340" s="171" t="n"/>
      <c r="M340" s="171" t="n"/>
      <c r="N340" s="171" t="n"/>
      <c r="O340" s="171" t="n"/>
      <c r="P340" s="171" t="n"/>
      <c r="Q340" s="171" t="n"/>
      <c r="R340" s="171" t="n"/>
      <c r="S340" s="171" t="n"/>
      <c r="T340" s="171" t="n"/>
      <c r="U340" s="171" t="n"/>
      <c r="V340" s="171" t="n"/>
      <c r="W340" s="171" t="n"/>
      <c r="X340" s="171" t="n"/>
      <c r="Y340" s="171" t="n"/>
      <c r="Z340" s="171" t="n"/>
      <c r="AA340" s="171" t="n"/>
      <c r="AB340" s="171" t="n"/>
      <c r="AC340" s="171" t="n"/>
      <c r="AD340" s="171" t="n"/>
      <c r="AE340" s="171" t="n"/>
      <c r="AF340" s="171" t="n"/>
      <c r="AG340" s="171" t="n"/>
      <c r="AH340" s="171" t="n"/>
    </row>
    <row r="341">
      <c r="A341" s="171" t="n"/>
      <c r="B341" s="171" t="n"/>
      <c r="C341" s="171" t="n"/>
      <c r="D341" s="171" t="n"/>
      <c r="E341" s="171" t="n"/>
      <c r="F341" s="171" t="n"/>
      <c r="G341" s="171" t="n"/>
      <c r="H341" s="171" t="n"/>
      <c r="I341" s="171" t="n"/>
      <c r="J341" s="171" t="n"/>
      <c r="K341" s="171" t="n"/>
      <c r="L341" s="171" t="n"/>
      <c r="M341" s="171" t="n"/>
      <c r="N341" s="171" t="n"/>
      <c r="O341" s="171" t="n"/>
      <c r="P341" s="171" t="n"/>
      <c r="Q341" s="171" t="n"/>
      <c r="R341" s="171" t="n"/>
      <c r="S341" s="171" t="n"/>
      <c r="T341" s="171" t="n"/>
      <c r="U341" s="171" t="n"/>
      <c r="V341" s="171" t="n"/>
      <c r="W341" s="171" t="n"/>
      <c r="X341" s="171" t="n"/>
      <c r="Y341" s="171" t="n"/>
      <c r="Z341" s="171" t="n"/>
      <c r="AA341" s="171" t="n"/>
      <c r="AB341" s="171" t="n"/>
      <c r="AC341" s="171" t="n"/>
      <c r="AD341" s="171" t="n"/>
      <c r="AE341" s="171" t="n"/>
      <c r="AF341" s="171" t="n"/>
      <c r="AG341" s="171" t="n"/>
      <c r="AH341" s="171" t="n"/>
    </row>
    <row r="342">
      <c r="A342" s="171" t="n"/>
      <c r="B342" s="171" t="n"/>
      <c r="C342" s="171" t="n"/>
      <c r="D342" s="171" t="n"/>
      <c r="E342" s="171" t="n"/>
      <c r="F342" s="171" t="n"/>
      <c r="G342" s="171" t="n"/>
      <c r="H342" s="171" t="n"/>
      <c r="I342" s="171" t="n"/>
      <c r="J342" s="171" t="n"/>
      <c r="K342" s="171" t="n"/>
      <c r="L342" s="171" t="n"/>
      <c r="M342" s="171" t="n"/>
      <c r="N342" s="171" t="n"/>
      <c r="O342" s="171" t="n"/>
      <c r="P342" s="171" t="n"/>
      <c r="Q342" s="171" t="n"/>
      <c r="R342" s="171" t="n"/>
      <c r="S342" s="171" t="n"/>
      <c r="T342" s="171" t="n"/>
      <c r="U342" s="171" t="n"/>
      <c r="V342" s="171" t="n"/>
      <c r="W342" s="171" t="n"/>
      <c r="X342" s="171" t="n"/>
      <c r="Y342" s="171" t="n"/>
      <c r="Z342" s="171" t="n"/>
      <c r="AA342" s="171" t="n"/>
      <c r="AB342" s="171" t="n"/>
      <c r="AC342" s="171" t="n"/>
      <c r="AD342" s="171" t="n"/>
      <c r="AE342" s="171" t="n"/>
      <c r="AF342" s="171" t="n"/>
      <c r="AG342" s="171" t="n"/>
      <c r="AH342" s="171" t="n"/>
    </row>
    <row r="343">
      <c r="A343" s="171" t="n"/>
      <c r="B343" s="171" t="n"/>
      <c r="C343" s="171" t="n"/>
      <c r="D343" s="171" t="n"/>
      <c r="E343" s="171" t="n"/>
      <c r="F343" s="171" t="n"/>
      <c r="G343" s="171" t="n"/>
      <c r="H343" s="171" t="n"/>
      <c r="I343" s="171" t="n"/>
      <c r="J343" s="171" t="n"/>
      <c r="K343" s="171" t="n"/>
      <c r="L343" s="171" t="n"/>
      <c r="M343" s="171" t="n"/>
      <c r="N343" s="171" t="n"/>
      <c r="O343" s="171" t="n"/>
      <c r="P343" s="171" t="n"/>
      <c r="Q343" s="171" t="n"/>
      <c r="R343" s="171" t="n"/>
      <c r="S343" s="171" t="n"/>
      <c r="T343" s="171" t="n"/>
      <c r="U343" s="171" t="n"/>
      <c r="V343" s="171" t="n"/>
      <c r="W343" s="171" t="n"/>
      <c r="X343" s="171" t="n"/>
      <c r="Y343" s="171" t="n"/>
      <c r="Z343" s="171" t="n"/>
      <c r="AA343" s="171" t="n"/>
      <c r="AB343" s="171" t="n"/>
      <c r="AC343" s="171" t="n"/>
      <c r="AD343" s="171" t="n"/>
      <c r="AE343" s="171" t="n"/>
      <c r="AF343" s="171" t="n"/>
      <c r="AG343" s="171" t="n"/>
      <c r="AH343" s="171" t="n"/>
    </row>
    <row r="344">
      <c r="A344" s="171" t="n"/>
      <c r="B344" s="171" t="n"/>
      <c r="C344" s="171" t="n"/>
      <c r="D344" s="171" t="n"/>
      <c r="E344" s="171" t="n"/>
      <c r="F344" s="171" t="n"/>
      <c r="G344" s="171" t="n"/>
      <c r="H344" s="171" t="n"/>
      <c r="I344" s="171" t="n"/>
      <c r="J344" s="171" t="n"/>
      <c r="K344" s="171" t="n"/>
      <c r="L344" s="171" t="n"/>
      <c r="M344" s="171" t="n"/>
      <c r="N344" s="171" t="n"/>
      <c r="O344" s="171" t="n"/>
      <c r="P344" s="171" t="n"/>
      <c r="Q344" s="171" t="n"/>
      <c r="R344" s="171" t="n"/>
      <c r="S344" s="171" t="n"/>
      <c r="T344" s="171" t="n"/>
      <c r="U344" s="171" t="n"/>
      <c r="V344" s="171" t="n"/>
      <c r="W344" s="171" t="n"/>
      <c r="X344" s="171" t="n"/>
      <c r="Y344" s="171" t="n"/>
      <c r="Z344" s="171" t="n"/>
      <c r="AA344" s="171" t="n"/>
      <c r="AB344" s="171" t="n"/>
      <c r="AC344" s="171" t="n"/>
      <c r="AD344" s="171" t="n"/>
      <c r="AE344" s="171" t="n"/>
      <c r="AF344" s="171" t="n"/>
      <c r="AG344" s="171" t="n"/>
      <c r="AH344" s="171" t="n"/>
    </row>
    <row r="345">
      <c r="A345" s="171" t="n"/>
      <c r="B345" s="171" t="n"/>
      <c r="C345" s="171" t="n"/>
      <c r="D345" s="171" t="n"/>
      <c r="E345" s="171" t="n"/>
      <c r="F345" s="171" t="n"/>
      <c r="G345" s="171" t="n"/>
      <c r="H345" s="171" t="n"/>
      <c r="I345" s="171" t="n"/>
      <c r="J345" s="171" t="n"/>
      <c r="K345" s="171" t="n"/>
      <c r="L345" s="171" t="n"/>
      <c r="M345" s="171" t="n"/>
      <c r="N345" s="171" t="n"/>
      <c r="O345" s="171" t="n"/>
      <c r="P345" s="171" t="n"/>
      <c r="Q345" s="171" t="n"/>
      <c r="R345" s="171" t="n"/>
      <c r="S345" s="171" t="n"/>
      <c r="T345" s="171" t="n"/>
      <c r="U345" s="171" t="n"/>
      <c r="V345" s="171" t="n"/>
      <c r="W345" s="171" t="n"/>
      <c r="X345" s="171" t="n"/>
      <c r="Y345" s="171" t="n"/>
      <c r="Z345" s="171" t="n"/>
      <c r="AA345" s="171" t="n"/>
      <c r="AB345" s="171" t="n"/>
      <c r="AC345" s="171" t="n"/>
      <c r="AD345" s="171" t="n"/>
      <c r="AE345" s="171" t="n"/>
      <c r="AF345" s="171" t="n"/>
      <c r="AG345" s="171" t="n"/>
      <c r="AH345" s="171" t="n"/>
    </row>
    <row r="346">
      <c r="A346" s="171" t="n"/>
      <c r="B346" s="171" t="n"/>
      <c r="C346" s="171" t="n"/>
      <c r="D346" s="171" t="n"/>
      <c r="E346" s="171" t="n"/>
      <c r="F346" s="171" t="n"/>
      <c r="G346" s="171" t="n"/>
      <c r="H346" s="171" t="n"/>
      <c r="I346" s="171" t="n"/>
      <c r="J346" s="171" t="n"/>
      <c r="K346" s="171" t="n"/>
      <c r="L346" s="171" t="n"/>
      <c r="M346" s="171" t="n"/>
      <c r="N346" s="171" t="n"/>
      <c r="O346" s="171" t="n"/>
      <c r="P346" s="171" t="n"/>
      <c r="Q346" s="171" t="n"/>
      <c r="R346" s="171" t="n"/>
      <c r="S346" s="171" t="n"/>
      <c r="T346" s="171" t="n"/>
      <c r="U346" s="171" t="n"/>
      <c r="V346" s="171" t="n"/>
      <c r="W346" s="171" t="n"/>
      <c r="X346" s="171" t="n"/>
      <c r="Y346" s="171" t="n"/>
      <c r="Z346" s="171" t="n"/>
      <c r="AA346" s="171" t="n"/>
      <c r="AB346" s="171" t="n"/>
      <c r="AC346" s="171" t="n"/>
      <c r="AD346" s="171" t="n"/>
      <c r="AE346" s="171" t="n"/>
      <c r="AF346" s="171" t="n"/>
      <c r="AG346" s="171" t="n"/>
      <c r="AH346" s="171" t="n"/>
    </row>
    <row r="347">
      <c r="A347" s="171" t="n"/>
      <c r="B347" s="171" t="n"/>
      <c r="C347" s="171" t="n"/>
      <c r="D347" s="171" t="n"/>
      <c r="E347" s="171" t="n"/>
      <c r="F347" s="171" t="n"/>
      <c r="G347" s="171" t="n"/>
      <c r="H347" s="171" t="n"/>
      <c r="I347" s="171" t="n"/>
      <c r="J347" s="171" t="n"/>
      <c r="K347" s="171" t="n"/>
      <c r="L347" s="171" t="n"/>
      <c r="M347" s="171" t="n"/>
      <c r="N347" s="171" t="n"/>
      <c r="O347" s="171" t="n"/>
      <c r="P347" s="171" t="n"/>
      <c r="Q347" s="171" t="n"/>
      <c r="R347" s="171" t="n"/>
      <c r="S347" s="171" t="n"/>
      <c r="T347" s="171" t="n"/>
      <c r="U347" s="171" t="n"/>
      <c r="V347" s="171" t="n"/>
      <c r="W347" s="171" t="n"/>
      <c r="X347" s="171" t="n"/>
      <c r="Y347" s="171" t="n"/>
      <c r="Z347" s="171" t="n"/>
      <c r="AA347" s="171" t="n"/>
      <c r="AB347" s="171" t="n"/>
      <c r="AC347" s="171" t="n"/>
      <c r="AD347" s="171" t="n"/>
      <c r="AE347" s="171" t="n"/>
      <c r="AF347" s="171" t="n"/>
      <c r="AG347" s="171" t="n"/>
      <c r="AH347" s="171" t="n"/>
    </row>
    <row r="348">
      <c r="A348" s="171" t="n"/>
      <c r="B348" s="171" t="n"/>
      <c r="C348" s="171" t="n"/>
      <c r="D348" s="171" t="n"/>
      <c r="E348" s="171" t="n"/>
      <c r="F348" s="171" t="n"/>
      <c r="G348" s="171" t="n"/>
      <c r="H348" s="171" t="n"/>
      <c r="I348" s="171" t="n"/>
      <c r="J348" s="171" t="n"/>
      <c r="K348" s="171" t="n"/>
      <c r="L348" s="171" t="n"/>
      <c r="M348" s="171" t="n"/>
      <c r="N348" s="171" t="n"/>
      <c r="O348" s="171" t="n"/>
      <c r="P348" s="171" t="n"/>
      <c r="Q348" s="171" t="n"/>
      <c r="R348" s="171" t="n"/>
      <c r="S348" s="171" t="n"/>
      <c r="T348" s="171" t="n"/>
      <c r="U348" s="171" t="n"/>
      <c r="V348" s="171" t="n"/>
      <c r="W348" s="171" t="n"/>
      <c r="X348" s="171" t="n"/>
      <c r="Y348" s="171" t="n"/>
      <c r="Z348" s="171" t="n"/>
      <c r="AA348" s="171" t="n"/>
      <c r="AB348" s="171" t="n"/>
      <c r="AC348" s="171" t="n"/>
      <c r="AD348" s="171" t="n"/>
      <c r="AE348" s="171" t="n"/>
      <c r="AF348" s="171" t="n"/>
      <c r="AG348" s="171" t="n"/>
      <c r="AH348" s="171" t="n"/>
    </row>
    <row r="349">
      <c r="A349" s="171" t="n"/>
      <c r="B349" s="171" t="n"/>
      <c r="C349" s="171" t="n"/>
      <c r="D349" s="171" t="n"/>
      <c r="E349" s="171" t="n"/>
      <c r="F349" s="171" t="n"/>
      <c r="G349" s="171" t="n"/>
      <c r="H349" s="171" t="n"/>
      <c r="I349" s="171" t="n"/>
      <c r="J349" s="171" t="n"/>
      <c r="K349" s="171" t="n"/>
      <c r="L349" s="171" t="n"/>
      <c r="M349" s="171" t="n"/>
      <c r="N349" s="171" t="n"/>
      <c r="O349" s="171" t="n"/>
      <c r="P349" s="171" t="n"/>
      <c r="Q349" s="171" t="n"/>
      <c r="R349" s="171" t="n"/>
      <c r="S349" s="171" t="n"/>
      <c r="T349" s="171" t="n"/>
      <c r="U349" s="171" t="n"/>
      <c r="V349" s="171" t="n"/>
      <c r="W349" s="171" t="n"/>
      <c r="X349" s="171" t="n"/>
      <c r="Y349" s="171" t="n"/>
      <c r="Z349" s="171" t="n"/>
      <c r="AA349" s="171" t="n"/>
      <c r="AB349" s="171" t="n"/>
      <c r="AC349" s="171" t="n"/>
      <c r="AD349" s="171" t="n"/>
      <c r="AE349" s="171" t="n"/>
      <c r="AF349" s="171" t="n"/>
      <c r="AG349" s="171" t="n"/>
      <c r="AH349" s="171" t="n"/>
    </row>
    <row r="350">
      <c r="A350" s="171" t="n"/>
      <c r="B350" s="171" t="n"/>
      <c r="C350" s="171" t="n"/>
      <c r="D350" s="171" t="n"/>
      <c r="E350" s="171" t="n"/>
      <c r="F350" s="171" t="n"/>
      <c r="G350" s="171" t="n"/>
      <c r="H350" s="171" t="n"/>
      <c r="I350" s="171" t="n"/>
      <c r="J350" s="171" t="n"/>
      <c r="K350" s="171" t="n"/>
      <c r="L350" s="171" t="n"/>
      <c r="M350" s="171" t="n"/>
      <c r="N350" s="171" t="n"/>
      <c r="O350" s="171" t="n"/>
      <c r="P350" s="171" t="n"/>
      <c r="Q350" s="171" t="n"/>
      <c r="R350" s="171" t="n"/>
      <c r="S350" s="171" t="n"/>
      <c r="T350" s="171" t="n"/>
      <c r="U350" s="171" t="n"/>
      <c r="V350" s="171" t="n"/>
      <c r="W350" s="171" t="n"/>
      <c r="X350" s="171" t="n"/>
      <c r="Y350" s="171" t="n"/>
      <c r="Z350" s="171" t="n"/>
      <c r="AA350" s="171" t="n"/>
      <c r="AB350" s="171" t="n"/>
      <c r="AC350" s="171" t="n"/>
      <c r="AD350" s="171" t="n"/>
      <c r="AE350" s="171" t="n"/>
      <c r="AF350" s="171" t="n"/>
      <c r="AG350" s="171" t="n"/>
      <c r="AH350" s="171" t="n"/>
    </row>
    <row r="351">
      <c r="A351" s="171" t="n"/>
      <c r="B351" s="171" t="n"/>
      <c r="C351" s="171" t="n"/>
      <c r="D351" s="171" t="n"/>
      <c r="E351" s="171" t="n"/>
      <c r="F351" s="171" t="n"/>
      <c r="G351" s="171" t="n"/>
      <c r="H351" s="171" t="n"/>
      <c r="I351" s="171" t="n"/>
      <c r="J351" s="171" t="n"/>
      <c r="K351" s="171" t="n"/>
      <c r="L351" s="171" t="n"/>
      <c r="M351" s="171" t="n"/>
      <c r="N351" s="171" t="n"/>
      <c r="O351" s="171" t="n"/>
      <c r="P351" s="171" t="n"/>
      <c r="Q351" s="171" t="n"/>
      <c r="R351" s="171" t="n"/>
      <c r="S351" s="171" t="n"/>
      <c r="T351" s="171" t="n"/>
      <c r="U351" s="171" t="n"/>
      <c r="V351" s="171" t="n"/>
      <c r="W351" s="171" t="n"/>
      <c r="X351" s="171" t="n"/>
      <c r="Y351" s="171" t="n"/>
      <c r="Z351" s="171" t="n"/>
      <c r="AA351" s="171" t="n"/>
      <c r="AB351" s="171" t="n"/>
      <c r="AC351" s="171" t="n"/>
      <c r="AD351" s="171" t="n"/>
      <c r="AE351" s="171" t="n"/>
      <c r="AF351" s="171" t="n"/>
      <c r="AG351" s="171" t="n"/>
      <c r="AH351" s="171" t="n"/>
    </row>
    <row r="352">
      <c r="A352" s="171" t="n"/>
      <c r="B352" s="171" t="n"/>
      <c r="C352" s="171" t="n"/>
      <c r="D352" s="171" t="n"/>
      <c r="E352" s="171" t="n"/>
      <c r="F352" s="171" t="n"/>
      <c r="G352" s="171" t="n"/>
      <c r="H352" s="171" t="n"/>
      <c r="I352" s="171" t="n"/>
      <c r="J352" s="171" t="n"/>
      <c r="K352" s="171" t="n"/>
      <c r="L352" s="171" t="n"/>
      <c r="M352" s="171" t="n"/>
      <c r="N352" s="171" t="n"/>
      <c r="O352" s="171" t="n"/>
      <c r="P352" s="171" t="n"/>
      <c r="Q352" s="171" t="n"/>
      <c r="R352" s="171" t="n"/>
      <c r="S352" s="171" t="n"/>
      <c r="T352" s="171" t="n"/>
      <c r="U352" s="171" t="n"/>
      <c r="V352" s="171" t="n"/>
      <c r="W352" s="171" t="n"/>
      <c r="X352" s="171" t="n"/>
      <c r="Y352" s="171" t="n"/>
      <c r="Z352" s="171" t="n"/>
      <c r="AA352" s="171" t="n"/>
      <c r="AB352" s="171" t="n"/>
      <c r="AC352" s="171" t="n"/>
      <c r="AD352" s="171" t="n"/>
      <c r="AE352" s="171" t="n"/>
      <c r="AF352" s="171" t="n"/>
      <c r="AG352" s="171" t="n"/>
      <c r="AH352" s="171" t="n"/>
    </row>
    <row r="353">
      <c r="A353" s="171" t="n"/>
      <c r="B353" s="171" t="n"/>
      <c r="C353" s="171" t="n"/>
      <c r="D353" s="171" t="n"/>
      <c r="E353" s="171" t="n"/>
      <c r="F353" s="171" t="n"/>
      <c r="G353" s="171" t="n"/>
      <c r="H353" s="171" t="n"/>
      <c r="I353" s="171" t="n"/>
      <c r="J353" s="171" t="n"/>
      <c r="K353" s="171" t="n"/>
      <c r="L353" s="171" t="n"/>
      <c r="M353" s="171" t="n"/>
      <c r="N353" s="171" t="n"/>
      <c r="O353" s="171" t="n"/>
      <c r="P353" s="171" t="n"/>
      <c r="Q353" s="171" t="n"/>
      <c r="R353" s="171" t="n"/>
      <c r="S353" s="171" t="n"/>
      <c r="T353" s="171" t="n"/>
      <c r="U353" s="171" t="n"/>
      <c r="V353" s="171" t="n"/>
      <c r="W353" s="171" t="n"/>
      <c r="X353" s="171" t="n"/>
      <c r="Y353" s="171" t="n"/>
      <c r="Z353" s="171" t="n"/>
      <c r="AA353" s="171" t="n"/>
      <c r="AB353" s="171" t="n"/>
      <c r="AC353" s="171" t="n"/>
      <c r="AD353" s="171" t="n"/>
      <c r="AE353" s="171" t="n"/>
      <c r="AF353" s="171" t="n"/>
      <c r="AG353" s="171" t="n"/>
      <c r="AH353" s="171" t="n"/>
    </row>
    <row r="354">
      <c r="A354" s="171" t="n"/>
      <c r="B354" s="171" t="n"/>
      <c r="C354" s="171" t="n"/>
      <c r="D354" s="171" t="n"/>
      <c r="E354" s="171" t="n"/>
      <c r="F354" s="171" t="n"/>
      <c r="G354" s="171" t="n"/>
      <c r="H354" s="171" t="n"/>
      <c r="I354" s="171" t="n"/>
      <c r="J354" s="171" t="n"/>
      <c r="K354" s="171" t="n"/>
      <c r="L354" s="171" t="n"/>
      <c r="M354" s="171" t="n"/>
      <c r="N354" s="171" t="n"/>
      <c r="O354" s="171" t="n"/>
      <c r="P354" s="171" t="n"/>
      <c r="Q354" s="171" t="n"/>
      <c r="R354" s="171" t="n"/>
      <c r="S354" s="171" t="n"/>
      <c r="T354" s="171" t="n"/>
      <c r="U354" s="171" t="n"/>
      <c r="V354" s="171" t="n"/>
      <c r="W354" s="171" t="n"/>
      <c r="X354" s="171" t="n"/>
      <c r="Y354" s="171" t="n"/>
      <c r="Z354" s="171" t="n"/>
      <c r="AA354" s="171" t="n"/>
      <c r="AB354" s="171" t="n"/>
      <c r="AC354" s="171" t="n"/>
      <c r="AD354" s="171" t="n"/>
      <c r="AE354" s="171" t="n"/>
      <c r="AF354" s="171" t="n"/>
      <c r="AG354" s="171" t="n"/>
      <c r="AH354" s="171" t="n"/>
    </row>
    <row r="355">
      <c r="A355" s="171" t="n"/>
      <c r="B355" s="171" t="n"/>
      <c r="C355" s="171" t="n"/>
      <c r="D355" s="171" t="n"/>
      <c r="E355" s="171" t="n"/>
      <c r="F355" s="171" t="n"/>
      <c r="G355" s="171" t="n"/>
      <c r="H355" s="171" t="n"/>
      <c r="I355" s="171" t="n"/>
      <c r="J355" s="171" t="n"/>
      <c r="K355" s="171" t="n"/>
      <c r="L355" s="171" t="n"/>
      <c r="M355" s="171" t="n"/>
      <c r="N355" s="171" t="n"/>
      <c r="O355" s="171" t="n"/>
      <c r="P355" s="171" t="n"/>
      <c r="Q355" s="171" t="n"/>
      <c r="R355" s="171" t="n"/>
      <c r="S355" s="171" t="n"/>
      <c r="T355" s="171" t="n"/>
      <c r="U355" s="171" t="n"/>
      <c r="V355" s="171" t="n"/>
      <c r="W355" s="171" t="n"/>
      <c r="X355" s="171" t="n"/>
      <c r="Y355" s="171" t="n"/>
      <c r="Z355" s="171" t="n"/>
      <c r="AA355" s="171" t="n"/>
      <c r="AB355" s="171" t="n"/>
      <c r="AC355" s="171" t="n"/>
      <c r="AD355" s="171" t="n"/>
      <c r="AE355" s="171" t="n"/>
      <c r="AF355" s="171" t="n"/>
      <c r="AG355" s="171" t="n"/>
      <c r="AH355" s="171" t="n"/>
    </row>
    <row r="356">
      <c r="A356" s="171" t="n"/>
      <c r="B356" s="171" t="n"/>
      <c r="C356" s="171" t="n"/>
      <c r="D356" s="171" t="n"/>
      <c r="E356" s="171" t="n"/>
      <c r="F356" s="171" t="n"/>
      <c r="G356" s="171" t="n"/>
      <c r="H356" s="171" t="n"/>
      <c r="I356" s="171" t="n"/>
      <c r="J356" s="171" t="n"/>
      <c r="K356" s="171" t="n"/>
      <c r="L356" s="171" t="n"/>
      <c r="M356" s="171" t="n"/>
      <c r="N356" s="171" t="n"/>
      <c r="O356" s="171" t="n"/>
      <c r="P356" s="171" t="n"/>
      <c r="Q356" s="171" t="n"/>
      <c r="R356" s="171" t="n"/>
      <c r="S356" s="171" t="n"/>
      <c r="T356" s="171" t="n"/>
      <c r="U356" s="171" t="n"/>
      <c r="V356" s="171" t="n"/>
      <c r="W356" s="171" t="n"/>
      <c r="X356" s="171" t="n"/>
      <c r="Y356" s="171" t="n"/>
      <c r="Z356" s="171" t="n"/>
      <c r="AA356" s="171" t="n"/>
      <c r="AB356" s="171" t="n"/>
      <c r="AC356" s="171" t="n"/>
      <c r="AD356" s="171" t="n"/>
      <c r="AE356" s="171" t="n"/>
      <c r="AF356" s="171" t="n"/>
      <c r="AG356" s="171" t="n"/>
      <c r="AH356" s="171" t="n"/>
    </row>
    <row r="357">
      <c r="A357" s="171" t="n"/>
      <c r="B357" s="171" t="n"/>
      <c r="C357" s="171" t="n"/>
      <c r="D357" s="171" t="n"/>
      <c r="E357" s="171" t="n"/>
      <c r="F357" s="171" t="n"/>
      <c r="G357" s="171" t="n"/>
      <c r="H357" s="171" t="n"/>
      <c r="I357" s="171" t="n"/>
      <c r="J357" s="171" t="n"/>
      <c r="K357" s="171" t="n"/>
      <c r="L357" s="171" t="n"/>
      <c r="M357" s="171" t="n"/>
      <c r="N357" s="171" t="n"/>
      <c r="O357" s="171" t="n"/>
      <c r="P357" s="171" t="n"/>
      <c r="Q357" s="171" t="n"/>
      <c r="R357" s="171" t="n"/>
      <c r="S357" s="171" t="n"/>
      <c r="T357" s="171" t="n"/>
      <c r="U357" s="171" t="n"/>
      <c r="V357" s="171" t="n"/>
      <c r="W357" s="171" t="n"/>
      <c r="X357" s="171" t="n"/>
      <c r="Y357" s="171" t="n"/>
      <c r="Z357" s="171" t="n"/>
      <c r="AA357" s="171" t="n"/>
      <c r="AB357" s="171" t="n"/>
      <c r="AC357" s="171" t="n"/>
      <c r="AD357" s="171" t="n"/>
      <c r="AE357" s="171" t="n"/>
      <c r="AF357" s="171" t="n"/>
      <c r="AG357" s="171" t="n"/>
      <c r="AH357" s="171" t="n"/>
    </row>
    <row r="358">
      <c r="A358" s="171" t="n"/>
      <c r="B358" s="171" t="n"/>
      <c r="C358" s="171" t="n"/>
      <c r="D358" s="171" t="n"/>
      <c r="E358" s="171" t="n"/>
      <c r="F358" s="171" t="n"/>
      <c r="G358" s="171" t="n"/>
      <c r="H358" s="171" t="n"/>
      <c r="I358" s="171" t="n"/>
      <c r="J358" s="171" t="n"/>
      <c r="K358" s="171" t="n"/>
      <c r="L358" s="171" t="n"/>
      <c r="M358" s="171" t="n"/>
      <c r="N358" s="171" t="n"/>
      <c r="O358" s="171" t="n"/>
      <c r="P358" s="171" t="n"/>
      <c r="Q358" s="171" t="n"/>
      <c r="R358" s="171" t="n"/>
      <c r="S358" s="171" t="n"/>
      <c r="T358" s="171" t="n"/>
      <c r="U358" s="171" t="n"/>
      <c r="V358" s="171" t="n"/>
      <c r="W358" s="171" t="n"/>
      <c r="X358" s="171" t="n"/>
      <c r="Y358" s="171" t="n"/>
      <c r="Z358" s="171" t="n"/>
      <c r="AA358" s="171" t="n"/>
      <c r="AB358" s="171" t="n"/>
      <c r="AC358" s="171" t="n"/>
      <c r="AD358" s="171" t="n"/>
      <c r="AE358" s="171" t="n"/>
      <c r="AF358" s="171" t="n"/>
      <c r="AG358" s="171" t="n"/>
      <c r="AH358" s="171" t="n"/>
    </row>
    <row r="359">
      <c r="A359" s="171" t="n"/>
      <c r="B359" s="171" t="n"/>
      <c r="C359" s="171" t="n"/>
      <c r="D359" s="171" t="n"/>
      <c r="E359" s="171" t="n"/>
      <c r="F359" s="171" t="n"/>
      <c r="G359" s="171" t="n"/>
      <c r="H359" s="171" t="n"/>
      <c r="I359" s="171" t="n"/>
      <c r="J359" s="171" t="n"/>
      <c r="K359" s="171" t="n"/>
      <c r="L359" s="171" t="n"/>
      <c r="M359" s="171" t="n"/>
      <c r="N359" s="171" t="n"/>
      <c r="O359" s="171" t="n"/>
      <c r="P359" s="171" t="n"/>
      <c r="Q359" s="171" t="n"/>
      <c r="R359" s="171" t="n"/>
      <c r="S359" s="171" t="n"/>
      <c r="T359" s="171" t="n"/>
      <c r="U359" s="171" t="n"/>
      <c r="V359" s="171" t="n"/>
      <c r="W359" s="171" t="n"/>
      <c r="X359" s="171" t="n"/>
      <c r="Y359" s="171" t="n"/>
      <c r="Z359" s="171" t="n"/>
      <c r="AA359" s="171" t="n"/>
      <c r="AB359" s="171" t="n"/>
      <c r="AC359" s="171" t="n"/>
      <c r="AD359" s="171" t="n"/>
      <c r="AE359" s="171" t="n"/>
      <c r="AF359" s="171" t="n"/>
      <c r="AG359" s="171" t="n"/>
      <c r="AH359" s="171" t="n"/>
    </row>
    <row r="360">
      <c r="A360" s="171" t="n"/>
      <c r="B360" s="171" t="n"/>
      <c r="C360" s="171" t="n"/>
      <c r="D360" s="171" t="n"/>
      <c r="E360" s="171" t="n"/>
      <c r="F360" s="171" t="n"/>
      <c r="G360" s="171" t="n"/>
      <c r="H360" s="171" t="n"/>
      <c r="I360" s="171" t="n"/>
      <c r="J360" s="171" t="n"/>
      <c r="K360" s="171" t="n"/>
      <c r="L360" s="171" t="n"/>
      <c r="M360" s="171" t="n"/>
      <c r="N360" s="171" t="n"/>
      <c r="O360" s="171" t="n"/>
      <c r="P360" s="171" t="n"/>
      <c r="Q360" s="171" t="n"/>
      <c r="R360" s="171" t="n"/>
      <c r="S360" s="171" t="n"/>
      <c r="T360" s="171" t="n"/>
      <c r="U360" s="171" t="n"/>
      <c r="V360" s="171" t="n"/>
      <c r="W360" s="171" t="n"/>
      <c r="X360" s="171" t="n"/>
      <c r="Y360" s="171" t="n"/>
      <c r="Z360" s="171" t="n"/>
      <c r="AA360" s="171" t="n"/>
      <c r="AB360" s="171" t="n"/>
      <c r="AC360" s="171" t="n"/>
      <c r="AD360" s="171" t="n"/>
      <c r="AE360" s="171" t="n"/>
      <c r="AF360" s="171" t="n"/>
      <c r="AG360" s="171" t="n"/>
      <c r="AH360" s="171" t="n"/>
    </row>
    <row r="361">
      <c r="A361" s="171" t="n"/>
      <c r="B361" s="171" t="n"/>
      <c r="C361" s="171" t="n"/>
      <c r="D361" s="171" t="n"/>
      <c r="E361" s="171" t="n"/>
      <c r="F361" s="171" t="n"/>
      <c r="G361" s="171" t="n"/>
      <c r="H361" s="171" t="n"/>
      <c r="I361" s="171" t="n"/>
      <c r="J361" s="171" t="n"/>
      <c r="K361" s="171" t="n"/>
      <c r="L361" s="171" t="n"/>
      <c r="M361" s="171" t="n"/>
      <c r="N361" s="171" t="n"/>
      <c r="O361" s="171" t="n"/>
      <c r="P361" s="171" t="n"/>
      <c r="Q361" s="171" t="n"/>
      <c r="R361" s="171" t="n"/>
      <c r="S361" s="171" t="n"/>
      <c r="T361" s="171" t="n"/>
      <c r="U361" s="171" t="n"/>
      <c r="V361" s="171" t="n"/>
      <c r="W361" s="171" t="n"/>
      <c r="X361" s="171" t="n"/>
      <c r="Y361" s="171" t="n"/>
      <c r="Z361" s="171" t="n"/>
      <c r="AA361" s="171" t="n"/>
      <c r="AB361" s="171" t="n"/>
      <c r="AC361" s="171" t="n"/>
      <c r="AD361" s="171" t="n"/>
      <c r="AE361" s="171" t="n"/>
      <c r="AF361" s="171" t="n"/>
      <c r="AG361" s="171" t="n"/>
      <c r="AH361" s="171" t="n"/>
    </row>
    <row r="362">
      <c r="A362" s="171" t="n"/>
      <c r="B362" s="171" t="n"/>
      <c r="C362" s="171" t="n"/>
      <c r="D362" s="171" t="n"/>
      <c r="E362" s="171" t="n"/>
      <c r="F362" s="171" t="n"/>
      <c r="G362" s="171" t="n"/>
      <c r="H362" s="171" t="n"/>
      <c r="I362" s="171" t="n"/>
      <c r="J362" s="171" t="n"/>
      <c r="K362" s="171" t="n"/>
      <c r="L362" s="171" t="n"/>
      <c r="M362" s="171" t="n"/>
      <c r="N362" s="171" t="n"/>
      <c r="O362" s="171" t="n"/>
      <c r="P362" s="171" t="n"/>
      <c r="Q362" s="171" t="n"/>
      <c r="R362" s="171" t="n"/>
      <c r="S362" s="171" t="n"/>
      <c r="T362" s="171" t="n"/>
      <c r="U362" s="171" t="n"/>
      <c r="V362" s="171" t="n"/>
      <c r="W362" s="171" t="n"/>
      <c r="X362" s="171" t="n"/>
      <c r="Y362" s="171" t="n"/>
      <c r="Z362" s="171" t="n"/>
      <c r="AA362" s="171" t="n"/>
      <c r="AB362" s="171" t="n"/>
      <c r="AC362" s="171" t="n"/>
      <c r="AD362" s="171" t="n"/>
      <c r="AE362" s="171" t="n"/>
      <c r="AF362" s="171" t="n"/>
      <c r="AG362" s="171" t="n"/>
      <c r="AH362" s="171" t="n"/>
    </row>
    <row r="363">
      <c r="A363" s="171" t="n"/>
      <c r="B363" s="171" t="n"/>
      <c r="C363" s="171" t="n"/>
      <c r="D363" s="171" t="n"/>
      <c r="E363" s="171" t="n"/>
      <c r="F363" s="171" t="n"/>
      <c r="G363" s="171" t="n"/>
      <c r="H363" s="171" t="n"/>
      <c r="I363" s="171" t="n"/>
      <c r="J363" s="171" t="n"/>
      <c r="K363" s="171" t="n"/>
      <c r="L363" s="171" t="n"/>
      <c r="M363" s="171" t="n"/>
      <c r="N363" s="171" t="n"/>
      <c r="O363" s="171" t="n"/>
      <c r="P363" s="171" t="n"/>
      <c r="Q363" s="171" t="n"/>
      <c r="R363" s="171" t="n"/>
      <c r="S363" s="171" t="n"/>
      <c r="T363" s="171" t="n"/>
      <c r="U363" s="171" t="n"/>
      <c r="V363" s="171" t="n"/>
      <c r="W363" s="171" t="n"/>
      <c r="X363" s="171" t="n"/>
      <c r="Y363" s="171" t="n"/>
      <c r="Z363" s="171" t="n"/>
      <c r="AA363" s="171" t="n"/>
      <c r="AB363" s="171" t="n"/>
      <c r="AC363" s="171" t="n"/>
      <c r="AD363" s="171" t="n"/>
      <c r="AE363" s="171" t="n"/>
      <c r="AF363" s="171" t="n"/>
      <c r="AG363" s="171" t="n"/>
      <c r="AH363" s="171" t="n"/>
    </row>
    <row r="364">
      <c r="A364" s="171" t="n"/>
      <c r="B364" s="171" t="n"/>
      <c r="C364" s="171" t="n"/>
      <c r="D364" s="171" t="n"/>
      <c r="E364" s="171" t="n"/>
      <c r="F364" s="171" t="n"/>
      <c r="G364" s="171" t="n"/>
      <c r="H364" s="171" t="n"/>
      <c r="I364" s="171" t="n"/>
      <c r="J364" s="171" t="n"/>
      <c r="K364" s="171" t="n"/>
      <c r="L364" s="171" t="n"/>
      <c r="M364" s="171" t="n"/>
      <c r="N364" s="171" t="n"/>
      <c r="O364" s="171" t="n"/>
      <c r="P364" s="171" t="n"/>
      <c r="Q364" s="171" t="n"/>
      <c r="R364" s="171" t="n"/>
      <c r="S364" s="171" t="n"/>
      <c r="T364" s="171" t="n"/>
      <c r="U364" s="171" t="n"/>
      <c r="V364" s="171" t="n"/>
      <c r="W364" s="171" t="n"/>
      <c r="X364" s="171" t="n"/>
      <c r="Y364" s="171" t="n"/>
      <c r="Z364" s="171" t="n"/>
      <c r="AA364" s="171" t="n"/>
      <c r="AB364" s="171" t="n"/>
      <c r="AC364" s="171" t="n"/>
      <c r="AD364" s="171" t="n"/>
      <c r="AE364" s="171" t="n"/>
      <c r="AF364" s="171" t="n"/>
      <c r="AG364" s="171" t="n"/>
      <c r="AH364" s="171" t="n"/>
    </row>
    <row r="365">
      <c r="A365" s="171" t="n"/>
      <c r="B365" s="171" t="n"/>
      <c r="C365" s="171" t="n"/>
      <c r="D365" s="171" t="n"/>
      <c r="E365" s="171" t="n"/>
      <c r="F365" s="171" t="n"/>
      <c r="G365" s="171" t="n"/>
      <c r="H365" s="171" t="n"/>
      <c r="I365" s="171" t="n"/>
      <c r="J365" s="171" t="n"/>
      <c r="K365" s="171" t="n"/>
      <c r="L365" s="171" t="n"/>
      <c r="M365" s="171" t="n"/>
      <c r="N365" s="171" t="n"/>
      <c r="O365" s="171" t="n"/>
      <c r="P365" s="171" t="n"/>
      <c r="Q365" s="171" t="n"/>
      <c r="R365" s="171" t="n"/>
      <c r="S365" s="171" t="n"/>
      <c r="T365" s="171" t="n"/>
      <c r="U365" s="171" t="n"/>
      <c r="V365" s="171" t="n"/>
      <c r="W365" s="171" t="n"/>
      <c r="X365" s="171" t="n"/>
      <c r="Y365" s="171" t="n"/>
      <c r="Z365" s="171" t="n"/>
      <c r="AA365" s="171" t="n"/>
      <c r="AB365" s="171" t="n"/>
      <c r="AC365" s="171" t="n"/>
      <c r="AD365" s="171" t="n"/>
      <c r="AE365" s="171" t="n"/>
      <c r="AF365" s="171" t="n"/>
      <c r="AG365" s="171" t="n"/>
      <c r="AH365" s="171" t="n"/>
    </row>
    <row r="366">
      <c r="A366" s="171" t="n"/>
      <c r="B366" s="171" t="n"/>
      <c r="C366" s="171" t="n"/>
      <c r="D366" s="171" t="n"/>
      <c r="E366" s="171" t="n"/>
      <c r="F366" s="171" t="n"/>
      <c r="G366" s="171" t="n"/>
      <c r="H366" s="171" t="n"/>
      <c r="I366" s="171" t="n"/>
      <c r="J366" s="171" t="n"/>
      <c r="K366" s="171" t="n"/>
      <c r="L366" s="171" t="n"/>
      <c r="M366" s="171" t="n"/>
      <c r="N366" s="171" t="n"/>
      <c r="O366" s="171" t="n"/>
      <c r="P366" s="171" t="n"/>
      <c r="Q366" s="171" t="n"/>
      <c r="R366" s="171" t="n"/>
      <c r="S366" s="171" t="n"/>
      <c r="T366" s="171" t="n"/>
      <c r="U366" s="171" t="n"/>
      <c r="V366" s="171" t="n"/>
      <c r="W366" s="171" t="n"/>
      <c r="X366" s="171" t="n"/>
      <c r="Y366" s="171" t="n"/>
      <c r="Z366" s="171" t="n"/>
      <c r="AA366" s="171" t="n"/>
      <c r="AB366" s="171" t="n"/>
      <c r="AC366" s="171" t="n"/>
      <c r="AD366" s="171" t="n"/>
      <c r="AE366" s="171" t="n"/>
      <c r="AF366" s="171" t="n"/>
      <c r="AG366" s="171" t="n"/>
      <c r="AH366" s="171" t="n"/>
    </row>
    <row r="367">
      <c r="A367" s="171" t="n"/>
      <c r="B367" s="171" t="n"/>
      <c r="C367" s="171" t="n"/>
      <c r="D367" s="171" t="n"/>
      <c r="E367" s="171" t="n"/>
      <c r="F367" s="171" t="n"/>
      <c r="G367" s="171" t="n"/>
      <c r="H367" s="171" t="n"/>
      <c r="I367" s="171" t="n"/>
      <c r="J367" s="171" t="n"/>
      <c r="K367" s="171" t="n"/>
      <c r="L367" s="171" t="n"/>
      <c r="M367" s="171" t="n"/>
      <c r="N367" s="171" t="n"/>
      <c r="O367" s="171" t="n"/>
      <c r="P367" s="171" t="n"/>
      <c r="Q367" s="171" t="n"/>
      <c r="R367" s="171" t="n"/>
      <c r="S367" s="171" t="n"/>
      <c r="T367" s="171" t="n"/>
      <c r="U367" s="171" t="n"/>
      <c r="V367" s="171" t="n"/>
      <c r="W367" s="171" t="n"/>
      <c r="X367" s="171" t="n"/>
      <c r="Y367" s="171" t="n"/>
      <c r="Z367" s="171" t="n"/>
      <c r="AA367" s="171" t="n"/>
      <c r="AB367" s="171" t="n"/>
      <c r="AC367" s="171" t="n"/>
      <c r="AD367" s="171" t="n"/>
      <c r="AE367" s="171" t="n"/>
      <c r="AF367" s="171" t="n"/>
      <c r="AG367" s="171" t="n"/>
      <c r="AH367" s="171" t="n"/>
    </row>
    <row r="368">
      <c r="A368" s="171" t="n"/>
      <c r="B368" s="171" t="n"/>
      <c r="C368" s="171" t="n"/>
      <c r="D368" s="171" t="n"/>
      <c r="E368" s="171" t="n"/>
      <c r="F368" s="171" t="n"/>
      <c r="G368" s="171" t="n"/>
      <c r="H368" s="171" t="n"/>
      <c r="I368" s="171" t="n"/>
      <c r="J368" s="171" t="n"/>
      <c r="K368" s="171" t="n"/>
      <c r="L368" s="171" t="n"/>
      <c r="M368" s="171" t="n"/>
      <c r="N368" s="171" t="n"/>
      <c r="O368" s="171" t="n"/>
      <c r="P368" s="171" t="n"/>
      <c r="Q368" s="171" t="n"/>
      <c r="R368" s="171" t="n"/>
      <c r="S368" s="171" t="n"/>
      <c r="T368" s="171" t="n"/>
      <c r="U368" s="171" t="n"/>
      <c r="V368" s="171" t="n"/>
      <c r="W368" s="171" t="n"/>
      <c r="X368" s="171" t="n"/>
      <c r="Y368" s="171" t="n"/>
      <c r="Z368" s="171" t="n"/>
      <c r="AA368" s="171" t="n"/>
      <c r="AB368" s="171" t="n"/>
      <c r="AC368" s="171" t="n"/>
      <c r="AD368" s="171" t="n"/>
      <c r="AE368" s="171" t="n"/>
      <c r="AF368" s="171" t="n"/>
      <c r="AG368" s="171" t="n"/>
      <c r="AH368" s="171" t="n"/>
    </row>
    <row r="369">
      <c r="A369" s="171" t="n"/>
      <c r="B369" s="171" t="n"/>
      <c r="C369" s="171" t="n"/>
      <c r="D369" s="171" t="n"/>
      <c r="E369" s="171" t="n"/>
      <c r="F369" s="171" t="n"/>
      <c r="G369" s="171" t="n"/>
      <c r="H369" s="171" t="n"/>
      <c r="I369" s="171" t="n"/>
      <c r="J369" s="171" t="n"/>
      <c r="K369" s="171" t="n"/>
      <c r="L369" s="171" t="n"/>
      <c r="M369" s="171" t="n"/>
      <c r="N369" s="171" t="n"/>
      <c r="O369" s="171" t="n"/>
      <c r="P369" s="171" t="n"/>
      <c r="Q369" s="171" t="n"/>
      <c r="R369" s="171" t="n"/>
      <c r="S369" s="171" t="n"/>
      <c r="T369" s="171" t="n"/>
      <c r="U369" s="171" t="n"/>
      <c r="V369" s="171" t="n"/>
      <c r="W369" s="171" t="n"/>
      <c r="X369" s="171" t="n"/>
      <c r="Y369" s="171" t="n"/>
      <c r="Z369" s="171" t="n"/>
      <c r="AA369" s="171" t="n"/>
      <c r="AB369" s="171" t="n"/>
      <c r="AC369" s="171" t="n"/>
      <c r="AD369" s="171" t="n"/>
      <c r="AE369" s="171" t="n"/>
      <c r="AF369" s="171" t="n"/>
      <c r="AG369" s="171" t="n"/>
      <c r="AH369" s="171" t="n"/>
    </row>
    <row r="370">
      <c r="A370" s="171" t="n"/>
      <c r="B370" s="171" t="n"/>
      <c r="C370" s="171" t="n"/>
      <c r="D370" s="171" t="n"/>
      <c r="E370" s="171" t="n"/>
      <c r="F370" s="171" t="n"/>
      <c r="G370" s="171" t="n"/>
      <c r="H370" s="171" t="n"/>
      <c r="I370" s="171" t="n"/>
      <c r="J370" s="171" t="n"/>
      <c r="K370" s="171" t="n"/>
      <c r="L370" s="171" t="n"/>
      <c r="M370" s="171" t="n"/>
      <c r="N370" s="171" t="n"/>
      <c r="O370" s="171" t="n"/>
      <c r="P370" s="171" t="n"/>
      <c r="Q370" s="171" t="n"/>
      <c r="R370" s="171" t="n"/>
      <c r="S370" s="171" t="n"/>
      <c r="T370" s="171" t="n"/>
      <c r="U370" s="171" t="n"/>
      <c r="V370" s="171" t="n"/>
      <c r="W370" s="171" t="n"/>
      <c r="X370" s="171" t="n"/>
      <c r="Y370" s="171" t="n"/>
      <c r="Z370" s="171" t="n"/>
      <c r="AA370" s="171" t="n"/>
      <c r="AB370" s="171" t="n"/>
      <c r="AC370" s="171" t="n"/>
      <c r="AD370" s="171" t="n"/>
      <c r="AE370" s="171" t="n"/>
      <c r="AF370" s="171" t="n"/>
      <c r="AG370" s="171" t="n"/>
      <c r="AH370" s="171" t="n"/>
    </row>
    <row r="371">
      <c r="A371" s="171" t="n"/>
      <c r="B371" s="171" t="n"/>
      <c r="C371" s="171" t="n"/>
      <c r="D371" s="171" t="n"/>
      <c r="E371" s="171" t="n"/>
      <c r="F371" s="171" t="n"/>
      <c r="G371" s="171" t="n"/>
      <c r="H371" s="171" t="n"/>
      <c r="I371" s="171" t="n"/>
      <c r="J371" s="171" t="n"/>
      <c r="K371" s="171" t="n"/>
      <c r="L371" s="171" t="n"/>
      <c r="M371" s="171" t="n"/>
      <c r="N371" s="171" t="n"/>
      <c r="O371" s="171" t="n"/>
      <c r="P371" s="171" t="n"/>
      <c r="Q371" s="171" t="n"/>
      <c r="R371" s="171" t="n"/>
      <c r="S371" s="171" t="n"/>
      <c r="T371" s="171" t="n"/>
      <c r="U371" s="171" t="n"/>
      <c r="V371" s="171" t="n"/>
      <c r="W371" s="171" t="n"/>
      <c r="X371" s="171" t="n"/>
      <c r="Y371" s="171" t="n"/>
      <c r="Z371" s="171" t="n"/>
      <c r="AA371" s="171" t="n"/>
      <c r="AB371" s="171" t="n"/>
      <c r="AC371" s="171" t="n"/>
      <c r="AD371" s="171" t="n"/>
      <c r="AE371" s="171" t="n"/>
      <c r="AF371" s="171" t="n"/>
      <c r="AG371" s="171" t="n"/>
      <c r="AH371" s="171" t="n"/>
    </row>
    <row r="372">
      <c r="A372" s="171" t="n"/>
      <c r="B372" s="171" t="n"/>
      <c r="C372" s="171" t="n"/>
      <c r="D372" s="171" t="n"/>
      <c r="E372" s="171" t="n"/>
      <c r="F372" s="171" t="n"/>
      <c r="G372" s="171" t="n"/>
      <c r="H372" s="171" t="n"/>
      <c r="I372" s="171" t="n"/>
      <c r="J372" s="171" t="n"/>
      <c r="K372" s="171" t="n"/>
      <c r="L372" s="171" t="n"/>
      <c r="M372" s="171" t="n"/>
      <c r="N372" s="171" t="n"/>
      <c r="O372" s="171" t="n"/>
      <c r="P372" s="171" t="n"/>
      <c r="Q372" s="171" t="n"/>
      <c r="R372" s="171" t="n"/>
      <c r="S372" s="171" t="n"/>
      <c r="T372" s="171" t="n"/>
      <c r="U372" s="171" t="n"/>
      <c r="V372" s="171" t="n"/>
      <c r="W372" s="171" t="n"/>
      <c r="X372" s="171" t="n"/>
      <c r="Y372" s="171" t="n"/>
      <c r="Z372" s="171" t="n"/>
      <c r="AA372" s="171" t="n"/>
      <c r="AB372" s="171" t="n"/>
      <c r="AC372" s="171" t="n"/>
      <c r="AD372" s="171" t="n"/>
      <c r="AE372" s="171" t="n"/>
      <c r="AF372" s="171" t="n"/>
      <c r="AG372" s="171" t="n"/>
      <c r="AH372" s="171" t="n"/>
    </row>
    <row r="373">
      <c r="A373" s="171" t="n"/>
      <c r="B373" s="171" t="n"/>
      <c r="C373" s="171" t="n"/>
      <c r="D373" s="171" t="n"/>
      <c r="E373" s="171" t="n"/>
      <c r="F373" s="171" t="n"/>
      <c r="G373" s="171" t="n"/>
      <c r="H373" s="171" t="n"/>
      <c r="I373" s="171" t="n"/>
      <c r="J373" s="171" t="n"/>
      <c r="K373" s="171" t="n"/>
      <c r="L373" s="171" t="n"/>
      <c r="M373" s="171" t="n"/>
      <c r="N373" s="171" t="n"/>
      <c r="O373" s="171" t="n"/>
      <c r="P373" s="171" t="n"/>
      <c r="Q373" s="171" t="n"/>
      <c r="R373" s="171" t="n"/>
      <c r="S373" s="171" t="n"/>
      <c r="T373" s="171" t="n"/>
      <c r="U373" s="171" t="n"/>
      <c r="V373" s="171" t="n"/>
      <c r="W373" s="171" t="n"/>
      <c r="X373" s="171" t="n"/>
      <c r="Y373" s="171" t="n"/>
      <c r="Z373" s="171" t="n"/>
      <c r="AA373" s="171" t="n"/>
      <c r="AB373" s="171" t="n"/>
      <c r="AC373" s="171" t="n"/>
      <c r="AD373" s="171" t="n"/>
      <c r="AE373" s="171" t="n"/>
      <c r="AF373" s="171" t="n"/>
      <c r="AG373" s="171" t="n"/>
      <c r="AH373" s="171" t="n"/>
    </row>
    <row r="374">
      <c r="A374" s="171" t="n"/>
      <c r="B374" s="171" t="n"/>
      <c r="C374" s="171" t="n"/>
      <c r="D374" s="171" t="n"/>
      <c r="E374" s="171" t="n"/>
      <c r="F374" s="171" t="n"/>
      <c r="G374" s="171" t="n"/>
      <c r="H374" s="171" t="n"/>
      <c r="I374" s="171" t="n"/>
      <c r="J374" s="171" t="n"/>
      <c r="K374" s="171" t="n"/>
      <c r="L374" s="171" t="n"/>
      <c r="M374" s="171" t="n"/>
      <c r="N374" s="171" t="n"/>
      <c r="O374" s="171" t="n"/>
      <c r="P374" s="171" t="n"/>
      <c r="Q374" s="171" t="n"/>
      <c r="R374" s="171" t="n"/>
      <c r="S374" s="171" t="n"/>
      <c r="T374" s="171" t="n"/>
      <c r="U374" s="171" t="n"/>
      <c r="V374" s="171" t="n"/>
      <c r="W374" s="171" t="n"/>
      <c r="X374" s="171" t="n"/>
      <c r="Y374" s="171" t="n"/>
      <c r="Z374" s="171" t="n"/>
      <c r="AA374" s="171" t="n"/>
      <c r="AB374" s="171" t="n"/>
      <c r="AC374" s="171" t="n"/>
      <c r="AD374" s="171" t="n"/>
      <c r="AE374" s="171" t="n"/>
      <c r="AF374" s="171" t="n"/>
      <c r="AG374" s="171" t="n"/>
      <c r="AH374" s="171" t="n"/>
    </row>
    <row r="375">
      <c r="A375" s="171" t="n"/>
      <c r="B375" s="171" t="n"/>
      <c r="C375" s="171" t="n"/>
      <c r="D375" s="171" t="n"/>
      <c r="E375" s="171" t="n"/>
      <c r="F375" s="171" t="n"/>
      <c r="G375" s="171" t="n"/>
      <c r="H375" s="171" t="n"/>
      <c r="I375" s="171" t="n"/>
      <c r="J375" s="171" t="n"/>
      <c r="K375" s="171" t="n"/>
      <c r="L375" s="171" t="n"/>
      <c r="M375" s="171" t="n"/>
      <c r="N375" s="171" t="n"/>
      <c r="O375" s="171" t="n"/>
      <c r="P375" s="171" t="n"/>
      <c r="Q375" s="171" t="n"/>
      <c r="R375" s="171" t="n"/>
      <c r="S375" s="171" t="n"/>
      <c r="T375" s="171" t="n"/>
      <c r="U375" s="171" t="n"/>
      <c r="V375" s="171" t="n"/>
      <c r="W375" s="171" t="n"/>
      <c r="X375" s="171" t="n"/>
      <c r="Y375" s="171" t="n"/>
      <c r="Z375" s="171" t="n"/>
      <c r="AA375" s="171" t="n"/>
      <c r="AB375" s="171" t="n"/>
      <c r="AC375" s="171" t="n"/>
      <c r="AD375" s="171" t="n"/>
      <c r="AE375" s="171" t="n"/>
      <c r="AF375" s="171" t="n"/>
      <c r="AG375" s="171" t="n"/>
      <c r="AH375" s="171" t="n"/>
    </row>
    <row r="376">
      <c r="A376" s="171" t="n"/>
      <c r="B376" s="171" t="n"/>
      <c r="C376" s="171" t="n"/>
      <c r="D376" s="171" t="n"/>
      <c r="E376" s="171" t="n"/>
      <c r="F376" s="171" t="n"/>
      <c r="G376" s="171" t="n"/>
      <c r="H376" s="171" t="n"/>
      <c r="I376" s="171" t="n"/>
      <c r="J376" s="171" t="n"/>
      <c r="K376" s="171" t="n"/>
      <c r="L376" s="171" t="n"/>
      <c r="M376" s="171" t="n"/>
      <c r="N376" s="171" t="n"/>
      <c r="O376" s="171" t="n"/>
      <c r="P376" s="171" t="n"/>
      <c r="Q376" s="171" t="n"/>
      <c r="R376" s="171" t="n"/>
      <c r="S376" s="171" t="n"/>
      <c r="T376" s="171" t="n"/>
      <c r="U376" s="171" t="n"/>
      <c r="V376" s="171" t="n"/>
      <c r="W376" s="171" t="n"/>
      <c r="X376" s="171" t="n"/>
      <c r="Y376" s="171" t="n"/>
      <c r="Z376" s="171" t="n"/>
      <c r="AA376" s="171" t="n"/>
      <c r="AB376" s="171" t="n"/>
      <c r="AC376" s="171" t="n"/>
      <c r="AD376" s="171" t="n"/>
      <c r="AE376" s="171" t="n"/>
      <c r="AF376" s="171" t="n"/>
      <c r="AG376" s="171" t="n"/>
      <c r="AH376" s="171" t="n"/>
    </row>
    <row r="377">
      <c r="A377" s="171" t="n"/>
      <c r="B377" s="171" t="n"/>
      <c r="C377" s="171" t="n"/>
      <c r="D377" s="171" t="n"/>
      <c r="E377" s="171" t="n"/>
      <c r="F377" s="171" t="n"/>
      <c r="G377" s="171" t="n"/>
      <c r="H377" s="171" t="n"/>
      <c r="I377" s="171" t="n"/>
      <c r="J377" s="171" t="n"/>
      <c r="K377" s="171" t="n"/>
      <c r="L377" s="171" t="n"/>
      <c r="M377" s="171" t="n"/>
      <c r="N377" s="171" t="n"/>
      <c r="O377" s="171" t="n"/>
      <c r="P377" s="171" t="n"/>
      <c r="Q377" s="171" t="n"/>
      <c r="R377" s="171" t="n"/>
      <c r="S377" s="171" t="n"/>
      <c r="T377" s="171" t="n"/>
      <c r="U377" s="171" t="n"/>
      <c r="V377" s="171" t="n"/>
      <c r="W377" s="171" t="n"/>
      <c r="X377" s="171" t="n"/>
      <c r="Y377" s="171" t="n"/>
      <c r="Z377" s="171" t="n"/>
      <c r="AA377" s="171" t="n"/>
      <c r="AB377" s="171" t="n"/>
      <c r="AC377" s="171" t="n"/>
      <c r="AD377" s="171" t="n"/>
      <c r="AE377" s="171" t="n"/>
      <c r="AF377" s="171" t="n"/>
      <c r="AG377" s="171" t="n"/>
      <c r="AH377" s="171" t="n"/>
    </row>
    <row r="378">
      <c r="A378" s="171" t="n"/>
      <c r="B378" s="171" t="n"/>
      <c r="C378" s="171" t="n"/>
      <c r="D378" s="171" t="n"/>
      <c r="E378" s="171" t="n"/>
      <c r="F378" s="171" t="n"/>
      <c r="G378" s="171" t="n"/>
      <c r="H378" s="171" t="n"/>
      <c r="I378" s="171" t="n"/>
      <c r="J378" s="171" t="n"/>
      <c r="K378" s="171" t="n"/>
      <c r="L378" s="171" t="n"/>
      <c r="M378" s="171" t="n"/>
      <c r="N378" s="171" t="n"/>
      <c r="O378" s="171" t="n"/>
      <c r="P378" s="171" t="n"/>
      <c r="Q378" s="171" t="n"/>
      <c r="R378" s="171" t="n"/>
      <c r="S378" s="171" t="n"/>
      <c r="T378" s="171" t="n"/>
      <c r="U378" s="171" t="n"/>
      <c r="V378" s="171" t="n"/>
      <c r="W378" s="171" t="n"/>
      <c r="X378" s="171" t="n"/>
      <c r="Y378" s="171" t="n"/>
      <c r="Z378" s="171" t="n"/>
      <c r="AA378" s="171" t="n"/>
      <c r="AB378" s="171" t="n"/>
      <c r="AC378" s="171" t="n"/>
      <c r="AD378" s="171" t="n"/>
      <c r="AE378" s="171" t="n"/>
      <c r="AF378" s="171" t="n"/>
      <c r="AG378" s="171" t="n"/>
      <c r="AH378" s="171" t="n"/>
    </row>
    <row r="379">
      <c r="A379" s="171" t="n"/>
      <c r="B379" s="171" t="n"/>
      <c r="C379" s="171" t="n"/>
      <c r="D379" s="171" t="n"/>
      <c r="E379" s="171" t="n"/>
      <c r="F379" s="171" t="n"/>
      <c r="G379" s="171" t="n"/>
      <c r="H379" s="171" t="n"/>
      <c r="I379" s="171" t="n"/>
      <c r="J379" s="171" t="n"/>
      <c r="K379" s="171" t="n"/>
      <c r="L379" s="171" t="n"/>
      <c r="M379" s="171" t="n"/>
      <c r="N379" s="171" t="n"/>
      <c r="O379" s="171" t="n"/>
      <c r="P379" s="171" t="n"/>
      <c r="Q379" s="171" t="n"/>
      <c r="R379" s="171" t="n"/>
      <c r="S379" s="171" t="n"/>
      <c r="T379" s="171" t="n"/>
      <c r="U379" s="171" t="n"/>
      <c r="V379" s="171" t="n"/>
      <c r="W379" s="171" t="n"/>
      <c r="X379" s="171" t="n"/>
      <c r="Y379" s="171" t="n"/>
      <c r="Z379" s="171" t="n"/>
      <c r="AA379" s="171" t="n"/>
      <c r="AB379" s="171" t="n"/>
      <c r="AC379" s="171" t="n"/>
      <c r="AD379" s="171" t="n"/>
      <c r="AE379" s="171" t="n"/>
      <c r="AF379" s="171" t="n"/>
      <c r="AG379" s="171" t="n"/>
      <c r="AH379" s="171" t="n"/>
    </row>
    <row r="380">
      <c r="A380" s="171" t="n"/>
      <c r="B380" s="171" t="n"/>
      <c r="C380" s="171" t="n"/>
      <c r="D380" s="171" t="n"/>
      <c r="E380" s="171" t="n"/>
      <c r="F380" s="171" t="n"/>
      <c r="G380" s="171" t="n"/>
      <c r="H380" s="171" t="n"/>
      <c r="I380" s="171" t="n"/>
      <c r="J380" s="171" t="n"/>
      <c r="K380" s="171" t="n"/>
      <c r="L380" s="171" t="n"/>
      <c r="M380" s="171" t="n"/>
      <c r="N380" s="171" t="n"/>
      <c r="O380" s="171" t="n"/>
      <c r="P380" s="171" t="n"/>
      <c r="Q380" s="171" t="n"/>
      <c r="R380" s="171" t="n"/>
      <c r="S380" s="171" t="n"/>
      <c r="T380" s="171" t="n"/>
      <c r="U380" s="171" t="n"/>
      <c r="V380" s="171" t="n"/>
      <c r="W380" s="171" t="n"/>
      <c r="X380" s="171" t="n"/>
      <c r="Y380" s="171" t="n"/>
      <c r="Z380" s="171" t="n"/>
      <c r="AA380" s="171" t="n"/>
      <c r="AB380" s="171" t="n"/>
      <c r="AC380" s="171" t="n"/>
      <c r="AD380" s="171" t="n"/>
      <c r="AE380" s="171" t="n"/>
      <c r="AF380" s="171" t="n"/>
      <c r="AG380" s="171" t="n"/>
      <c r="AH380" s="171" t="n"/>
    </row>
    <row r="381">
      <c r="A381" s="171" t="n"/>
      <c r="B381" s="171" t="n"/>
      <c r="C381" s="171" t="n"/>
      <c r="D381" s="171" t="n"/>
      <c r="E381" s="171" t="n"/>
      <c r="F381" s="171" t="n"/>
      <c r="G381" s="171" t="n"/>
      <c r="H381" s="171" t="n"/>
      <c r="I381" s="171" t="n"/>
      <c r="J381" s="171" t="n"/>
      <c r="K381" s="171" t="n"/>
      <c r="L381" s="171" t="n"/>
      <c r="M381" s="171" t="n"/>
      <c r="N381" s="171" t="n"/>
      <c r="O381" s="171" t="n"/>
      <c r="P381" s="171" t="n"/>
      <c r="Q381" s="171" t="n"/>
      <c r="R381" s="171" t="n"/>
      <c r="S381" s="171" t="n"/>
      <c r="T381" s="171" t="n"/>
      <c r="U381" s="171" t="n"/>
      <c r="V381" s="171" t="n"/>
      <c r="W381" s="171" t="n"/>
      <c r="X381" s="171" t="n"/>
      <c r="Y381" s="171" t="n"/>
      <c r="Z381" s="171" t="n"/>
      <c r="AA381" s="171" t="n"/>
      <c r="AB381" s="171" t="n"/>
      <c r="AC381" s="171" t="n"/>
      <c r="AD381" s="171" t="n"/>
      <c r="AE381" s="171" t="n"/>
      <c r="AF381" s="171" t="n"/>
      <c r="AG381" s="171" t="n"/>
      <c r="AH381" s="171" t="n"/>
    </row>
    <row r="382">
      <c r="A382" s="171" t="n"/>
      <c r="B382" s="171" t="n"/>
      <c r="C382" s="171" t="n"/>
      <c r="D382" s="171" t="n"/>
      <c r="E382" s="171" t="n"/>
      <c r="F382" s="171" t="n"/>
      <c r="G382" s="171" t="n"/>
      <c r="H382" s="171" t="n"/>
      <c r="I382" s="171" t="n"/>
      <c r="J382" s="171" t="n"/>
      <c r="K382" s="171" t="n"/>
      <c r="L382" s="171" t="n"/>
      <c r="M382" s="171" t="n"/>
      <c r="N382" s="171" t="n"/>
      <c r="O382" s="171" t="n"/>
      <c r="P382" s="171" t="n"/>
      <c r="Q382" s="171" t="n"/>
      <c r="R382" s="171" t="n"/>
      <c r="S382" s="171" t="n"/>
      <c r="T382" s="171" t="n"/>
      <c r="U382" s="171" t="n"/>
      <c r="V382" s="171" t="n"/>
      <c r="W382" s="171" t="n"/>
      <c r="X382" s="171" t="n"/>
      <c r="Y382" s="171" t="n"/>
      <c r="Z382" s="171" t="n"/>
      <c r="AA382" s="171" t="n"/>
      <c r="AB382" s="171" t="n"/>
      <c r="AC382" s="171" t="n"/>
      <c r="AD382" s="171" t="n"/>
      <c r="AE382" s="171" t="n"/>
      <c r="AF382" s="171" t="n"/>
      <c r="AG382" s="171" t="n"/>
      <c r="AH382" s="171" t="n"/>
    </row>
    <row r="383">
      <c r="A383" s="171" t="n"/>
      <c r="B383" s="171" t="n"/>
      <c r="C383" s="171" t="n"/>
      <c r="D383" s="171" t="n"/>
      <c r="E383" s="171" t="n"/>
      <c r="F383" s="171" t="n"/>
      <c r="G383" s="171" t="n"/>
      <c r="H383" s="171" t="n"/>
      <c r="I383" s="171" t="n"/>
      <c r="J383" s="171" t="n"/>
      <c r="K383" s="171" t="n"/>
      <c r="L383" s="171" t="n"/>
      <c r="M383" s="171" t="n"/>
      <c r="N383" s="171" t="n"/>
      <c r="O383" s="171" t="n"/>
      <c r="P383" s="171" t="n"/>
      <c r="Q383" s="171" t="n"/>
      <c r="R383" s="171" t="n"/>
      <c r="S383" s="171" t="n"/>
      <c r="T383" s="171" t="n"/>
      <c r="U383" s="171" t="n"/>
      <c r="V383" s="171" t="n"/>
      <c r="W383" s="171" t="n"/>
      <c r="X383" s="171" t="n"/>
      <c r="Y383" s="171" t="n"/>
      <c r="Z383" s="171" t="n"/>
      <c r="AA383" s="171" t="n"/>
      <c r="AB383" s="171" t="n"/>
      <c r="AC383" s="171" t="n"/>
      <c r="AD383" s="171" t="n"/>
      <c r="AE383" s="171" t="n"/>
      <c r="AF383" s="171" t="n"/>
      <c r="AG383" s="171" t="n"/>
      <c r="AH383" s="171" t="n"/>
    </row>
    <row r="384">
      <c r="A384" s="171" t="n"/>
      <c r="B384" s="171" t="n"/>
      <c r="C384" s="171" t="n"/>
      <c r="D384" s="171" t="n"/>
      <c r="E384" s="171" t="n"/>
      <c r="F384" s="171" t="n"/>
      <c r="G384" s="171" t="n"/>
      <c r="H384" s="171" t="n"/>
      <c r="I384" s="171" t="n"/>
      <c r="J384" s="171" t="n"/>
      <c r="K384" s="171" t="n"/>
      <c r="L384" s="171" t="n"/>
      <c r="M384" s="171" t="n"/>
      <c r="N384" s="171" t="n"/>
      <c r="O384" s="171" t="n"/>
      <c r="P384" s="171" t="n"/>
      <c r="Q384" s="171" t="n"/>
      <c r="R384" s="171" t="n"/>
      <c r="S384" s="171" t="n"/>
      <c r="T384" s="171" t="n"/>
      <c r="U384" s="171" t="n"/>
      <c r="V384" s="171" t="n"/>
      <c r="W384" s="171" t="n"/>
      <c r="X384" s="171" t="n"/>
      <c r="Y384" s="171" t="n"/>
      <c r="Z384" s="171" t="n"/>
      <c r="AA384" s="171" t="n"/>
      <c r="AB384" s="171" t="n"/>
      <c r="AC384" s="171" t="n"/>
      <c r="AD384" s="171" t="n"/>
      <c r="AE384" s="171" t="n"/>
      <c r="AF384" s="171" t="n"/>
      <c r="AG384" s="171" t="n"/>
      <c r="AH384" s="171" t="n"/>
    </row>
    <row r="385">
      <c r="A385" s="171" t="n"/>
      <c r="B385" s="171" t="n"/>
      <c r="C385" s="171" t="n"/>
      <c r="D385" s="171" t="n"/>
      <c r="E385" s="171" t="n"/>
      <c r="F385" s="171" t="n"/>
      <c r="G385" s="171" t="n"/>
      <c r="H385" s="171" t="n"/>
      <c r="I385" s="171" t="n"/>
      <c r="J385" s="171" t="n"/>
      <c r="K385" s="171" t="n"/>
      <c r="L385" s="171" t="n"/>
      <c r="M385" s="171" t="n"/>
      <c r="N385" s="171" t="n"/>
      <c r="O385" s="171" t="n"/>
      <c r="P385" s="171" t="n"/>
      <c r="Q385" s="171" t="n"/>
      <c r="R385" s="171" t="n"/>
      <c r="S385" s="171" t="n"/>
      <c r="T385" s="171" t="n"/>
      <c r="U385" s="171" t="n"/>
      <c r="V385" s="171" t="n"/>
      <c r="W385" s="171" t="n"/>
      <c r="X385" s="171" t="n"/>
      <c r="Y385" s="171" t="n"/>
      <c r="Z385" s="171" t="n"/>
      <c r="AA385" s="171" t="n"/>
      <c r="AB385" s="171" t="n"/>
      <c r="AC385" s="171" t="n"/>
      <c r="AD385" s="171" t="n"/>
      <c r="AE385" s="171" t="n"/>
      <c r="AF385" s="171" t="n"/>
      <c r="AG385" s="171" t="n"/>
      <c r="AH385" s="171" t="n"/>
    </row>
    <row r="386">
      <c r="A386" s="171" t="n"/>
      <c r="B386" s="171" t="n"/>
      <c r="C386" s="171" t="n"/>
      <c r="D386" s="171" t="n"/>
      <c r="E386" s="171" t="n"/>
      <c r="F386" s="171" t="n"/>
      <c r="G386" s="171" t="n"/>
      <c r="H386" s="171" t="n"/>
      <c r="I386" s="171" t="n"/>
      <c r="J386" s="171" t="n"/>
      <c r="K386" s="171" t="n"/>
      <c r="L386" s="171" t="n"/>
      <c r="M386" s="171" t="n"/>
      <c r="N386" s="171" t="n"/>
      <c r="O386" s="171" t="n"/>
      <c r="P386" s="171" t="n"/>
      <c r="Q386" s="171" t="n"/>
      <c r="R386" s="171" t="n"/>
      <c r="S386" s="171" t="n"/>
      <c r="T386" s="171" t="n"/>
      <c r="U386" s="171" t="n"/>
      <c r="V386" s="171" t="n"/>
      <c r="W386" s="171" t="n"/>
      <c r="X386" s="171" t="n"/>
      <c r="Y386" s="171" t="n"/>
      <c r="Z386" s="171" t="n"/>
      <c r="AA386" s="171" t="n"/>
      <c r="AB386" s="171" t="n"/>
      <c r="AC386" s="171" t="n"/>
      <c r="AD386" s="171" t="n"/>
      <c r="AE386" s="171" t="n"/>
      <c r="AF386" s="171" t="n"/>
      <c r="AG386" s="171" t="n"/>
      <c r="AH386" s="171" t="n"/>
    </row>
    <row r="387">
      <c r="A387" s="171" t="n"/>
      <c r="B387" s="171" t="n"/>
      <c r="C387" s="171" t="n"/>
      <c r="D387" s="171" t="n"/>
      <c r="E387" s="171" t="n"/>
      <c r="F387" s="171" t="n"/>
      <c r="G387" s="171" t="n"/>
      <c r="H387" s="171" t="n"/>
      <c r="I387" s="171" t="n"/>
      <c r="J387" s="171" t="n"/>
      <c r="K387" s="171" t="n"/>
      <c r="L387" s="171" t="n"/>
      <c r="M387" s="171" t="n"/>
      <c r="N387" s="171" t="n"/>
      <c r="O387" s="171" t="n"/>
      <c r="P387" s="171" t="n"/>
      <c r="Q387" s="171" t="n"/>
      <c r="R387" s="171" t="n"/>
      <c r="S387" s="171" t="n"/>
      <c r="T387" s="171" t="n"/>
      <c r="U387" s="171" t="n"/>
      <c r="V387" s="171" t="n"/>
      <c r="W387" s="171" t="n"/>
      <c r="X387" s="171" t="n"/>
      <c r="Y387" s="171" t="n"/>
      <c r="Z387" s="171" t="n"/>
      <c r="AA387" s="171" t="n"/>
      <c r="AB387" s="171" t="n"/>
      <c r="AC387" s="171" t="n"/>
      <c r="AD387" s="171" t="n"/>
      <c r="AE387" s="171" t="n"/>
      <c r="AF387" s="171" t="n"/>
      <c r="AG387" s="171" t="n"/>
      <c r="AH387" s="171" t="n"/>
    </row>
    <row r="388">
      <c r="A388" s="171" t="n"/>
      <c r="B388" s="171" t="n"/>
      <c r="C388" s="171" t="n"/>
      <c r="D388" s="171" t="n"/>
      <c r="E388" s="171" t="n"/>
      <c r="F388" s="171" t="n"/>
      <c r="G388" s="171" t="n"/>
      <c r="H388" s="171" t="n"/>
      <c r="I388" s="171" t="n"/>
      <c r="J388" s="171" t="n"/>
      <c r="K388" s="171" t="n"/>
      <c r="L388" s="171" t="n"/>
      <c r="M388" s="171" t="n"/>
      <c r="N388" s="171" t="n"/>
      <c r="O388" s="171" t="n"/>
      <c r="P388" s="171" t="n"/>
      <c r="Q388" s="171" t="n"/>
      <c r="R388" s="171" t="n"/>
      <c r="S388" s="171" t="n"/>
      <c r="T388" s="171" t="n"/>
      <c r="U388" s="171" t="n"/>
      <c r="V388" s="171" t="n"/>
      <c r="W388" s="171" t="n"/>
      <c r="X388" s="171" t="n"/>
      <c r="Y388" s="171" t="n"/>
      <c r="Z388" s="171" t="n"/>
      <c r="AA388" s="171" t="n"/>
      <c r="AB388" s="171" t="n"/>
      <c r="AC388" s="171" t="n"/>
      <c r="AD388" s="171" t="n"/>
      <c r="AE388" s="171" t="n"/>
      <c r="AF388" s="171" t="n"/>
      <c r="AG388" s="171" t="n"/>
      <c r="AH388" s="171" t="n"/>
    </row>
    <row r="389">
      <c r="A389" s="171" t="n"/>
      <c r="B389" s="171" t="n"/>
      <c r="C389" s="171" t="n"/>
      <c r="D389" s="171" t="n"/>
      <c r="E389" s="171" t="n"/>
      <c r="F389" s="171" t="n"/>
      <c r="G389" s="171" t="n"/>
      <c r="H389" s="171" t="n"/>
      <c r="I389" s="171" t="n"/>
      <c r="J389" s="171" t="n"/>
      <c r="K389" s="171" t="n"/>
      <c r="L389" s="171" t="n"/>
      <c r="M389" s="171" t="n"/>
      <c r="N389" s="171" t="n"/>
      <c r="O389" s="171" t="n"/>
      <c r="P389" s="171" t="n"/>
      <c r="Q389" s="171" t="n"/>
      <c r="R389" s="171" t="n"/>
      <c r="S389" s="171" t="n"/>
      <c r="T389" s="171" t="n"/>
      <c r="U389" s="171" t="n"/>
      <c r="V389" s="171" t="n"/>
      <c r="W389" s="171" t="n"/>
      <c r="X389" s="171" t="n"/>
      <c r="Y389" s="171" t="n"/>
      <c r="Z389" s="171" t="n"/>
      <c r="AA389" s="171" t="n"/>
      <c r="AB389" s="171" t="n"/>
      <c r="AC389" s="171" t="n"/>
      <c r="AD389" s="171" t="n"/>
      <c r="AE389" s="171" t="n"/>
      <c r="AF389" s="171" t="n"/>
      <c r="AG389" s="171" t="n"/>
      <c r="AH389" s="171" t="n"/>
    </row>
    <row r="390">
      <c r="A390" s="171" t="n"/>
      <c r="B390" s="171" t="n"/>
      <c r="C390" s="171" t="n"/>
      <c r="D390" s="171" t="n"/>
      <c r="E390" s="171" t="n"/>
      <c r="F390" s="171" t="n"/>
      <c r="G390" s="171" t="n"/>
      <c r="H390" s="171" t="n"/>
      <c r="I390" s="171" t="n"/>
      <c r="J390" s="171" t="n"/>
      <c r="K390" s="171" t="n"/>
      <c r="L390" s="171" t="n"/>
      <c r="M390" s="171" t="n"/>
      <c r="N390" s="171" t="n"/>
      <c r="O390" s="171" t="n"/>
      <c r="P390" s="171" t="n"/>
      <c r="Q390" s="171" t="n"/>
      <c r="R390" s="171" t="n"/>
      <c r="S390" s="171" t="n"/>
      <c r="T390" s="171" t="n"/>
      <c r="U390" s="171" t="n"/>
      <c r="V390" s="171" t="n"/>
      <c r="W390" s="171" t="n"/>
      <c r="X390" s="171" t="n"/>
      <c r="Y390" s="171" t="n"/>
      <c r="Z390" s="171" t="n"/>
      <c r="AA390" s="171" t="n"/>
      <c r="AB390" s="171" t="n"/>
      <c r="AC390" s="171" t="n"/>
      <c r="AD390" s="171" t="n"/>
      <c r="AE390" s="171" t="n"/>
      <c r="AF390" s="171" t="n"/>
      <c r="AG390" s="171" t="n"/>
      <c r="AH390" s="171" t="n"/>
    </row>
    <row r="391">
      <c r="A391" s="171" t="n"/>
      <c r="B391" s="171" t="n"/>
      <c r="C391" s="171" t="n"/>
      <c r="D391" s="171" t="n"/>
      <c r="E391" s="171" t="n"/>
      <c r="F391" s="171" t="n"/>
      <c r="G391" s="171" t="n"/>
      <c r="H391" s="171" t="n"/>
      <c r="I391" s="171" t="n"/>
      <c r="J391" s="171" t="n"/>
      <c r="K391" s="171" t="n"/>
      <c r="L391" s="171" t="n"/>
      <c r="M391" s="171" t="n"/>
      <c r="N391" s="171" t="n"/>
      <c r="O391" s="171" t="n"/>
      <c r="P391" s="171" t="n"/>
      <c r="Q391" s="171" t="n"/>
      <c r="R391" s="171" t="n"/>
      <c r="S391" s="171" t="n"/>
      <c r="T391" s="171" t="n"/>
      <c r="U391" s="171" t="n"/>
      <c r="V391" s="171" t="n"/>
      <c r="W391" s="171" t="n"/>
      <c r="X391" s="171" t="n"/>
      <c r="Y391" s="171" t="n"/>
      <c r="Z391" s="171" t="n"/>
      <c r="AA391" s="171" t="n"/>
      <c r="AB391" s="171" t="n"/>
      <c r="AC391" s="171" t="n"/>
      <c r="AD391" s="171" t="n"/>
      <c r="AE391" s="171" t="n"/>
      <c r="AF391" s="171" t="n"/>
      <c r="AG391" s="171" t="n"/>
      <c r="AH391" s="171" t="n"/>
    </row>
    <row r="392">
      <c r="A392" s="171" t="n"/>
      <c r="B392" s="171" t="n"/>
      <c r="C392" s="171" t="n"/>
      <c r="D392" s="171" t="n"/>
      <c r="E392" s="171" t="n"/>
      <c r="F392" s="171" t="n"/>
      <c r="G392" s="171" t="n"/>
      <c r="H392" s="171" t="n"/>
      <c r="I392" s="171" t="n"/>
      <c r="J392" s="171" t="n"/>
      <c r="K392" s="171" t="n"/>
      <c r="L392" s="171" t="n"/>
      <c r="M392" s="171" t="n"/>
      <c r="N392" s="171" t="n"/>
      <c r="O392" s="171" t="n"/>
      <c r="P392" s="171" t="n"/>
      <c r="Q392" s="171" t="n"/>
      <c r="R392" s="171" t="n"/>
      <c r="S392" s="171" t="n"/>
      <c r="T392" s="171" t="n"/>
      <c r="U392" s="171" t="n"/>
      <c r="V392" s="171" t="n"/>
      <c r="W392" s="171" t="n"/>
      <c r="X392" s="171" t="n"/>
      <c r="Y392" s="171" t="n"/>
      <c r="Z392" s="171" t="n"/>
      <c r="AA392" s="171" t="n"/>
      <c r="AB392" s="171" t="n"/>
      <c r="AC392" s="171" t="n"/>
      <c r="AD392" s="171" t="n"/>
      <c r="AE392" s="171" t="n"/>
      <c r="AF392" s="171" t="n"/>
      <c r="AG392" s="171" t="n"/>
      <c r="AH392" s="171" t="n"/>
    </row>
    <row r="393">
      <c r="A393" s="171" t="n"/>
      <c r="B393" s="171" t="n"/>
      <c r="C393" s="171" t="n"/>
      <c r="D393" s="171" t="n"/>
      <c r="E393" s="171" t="n"/>
      <c r="F393" s="171" t="n"/>
      <c r="G393" s="171" t="n"/>
      <c r="H393" s="171" t="n"/>
      <c r="I393" s="171" t="n"/>
      <c r="J393" s="171" t="n"/>
      <c r="K393" s="171" t="n"/>
      <c r="L393" s="171" t="n"/>
      <c r="M393" s="171" t="n"/>
      <c r="N393" s="171" t="n"/>
      <c r="O393" s="171" t="n"/>
      <c r="P393" s="171" t="n"/>
      <c r="Q393" s="171" t="n"/>
      <c r="R393" s="171" t="n"/>
      <c r="S393" s="171" t="n"/>
      <c r="T393" s="171" t="n"/>
      <c r="U393" s="171" t="n"/>
      <c r="V393" s="171" t="n"/>
      <c r="W393" s="171" t="n"/>
      <c r="X393" s="171" t="n"/>
      <c r="Y393" s="171" t="n"/>
      <c r="Z393" s="171" t="n"/>
      <c r="AA393" s="171" t="n"/>
      <c r="AB393" s="171" t="n"/>
      <c r="AC393" s="171" t="n"/>
      <c r="AD393" s="171" t="n"/>
      <c r="AE393" s="171" t="n"/>
      <c r="AF393" s="171" t="n"/>
      <c r="AG393" s="171" t="n"/>
      <c r="AH393" s="171" t="n"/>
    </row>
    <row r="394">
      <c r="A394" s="171" t="n"/>
      <c r="B394" s="171" t="n"/>
      <c r="C394" s="171" t="n"/>
      <c r="D394" s="171" t="n"/>
      <c r="E394" s="171" t="n"/>
      <c r="F394" s="171" t="n"/>
      <c r="G394" s="171" t="n"/>
      <c r="H394" s="171" t="n"/>
      <c r="I394" s="171" t="n"/>
      <c r="J394" s="171" t="n"/>
      <c r="K394" s="171" t="n"/>
      <c r="L394" s="171" t="n"/>
      <c r="M394" s="171" t="n"/>
      <c r="N394" s="171" t="n"/>
      <c r="O394" s="171" t="n"/>
      <c r="P394" s="171" t="n"/>
      <c r="Q394" s="171" t="n"/>
      <c r="R394" s="171" t="n"/>
      <c r="S394" s="171" t="n"/>
      <c r="T394" s="171" t="n"/>
      <c r="U394" s="171" t="n"/>
      <c r="V394" s="171" t="n"/>
      <c r="W394" s="171" t="n"/>
      <c r="X394" s="171" t="n"/>
      <c r="Y394" s="171" t="n"/>
      <c r="Z394" s="171" t="n"/>
      <c r="AA394" s="171" t="n"/>
      <c r="AB394" s="171" t="n"/>
      <c r="AC394" s="171" t="n"/>
      <c r="AD394" s="171" t="n"/>
      <c r="AE394" s="171" t="n"/>
      <c r="AF394" s="171" t="n"/>
      <c r="AG394" s="171" t="n"/>
      <c r="AH394" s="171" t="n"/>
    </row>
    <row r="395">
      <c r="A395" s="171" t="n"/>
      <c r="B395" s="171" t="n"/>
      <c r="C395" s="171" t="n"/>
      <c r="D395" s="171" t="n"/>
      <c r="E395" s="171" t="n"/>
      <c r="F395" s="171" t="n"/>
      <c r="G395" s="171" t="n"/>
      <c r="H395" s="171" t="n"/>
      <c r="I395" s="171" t="n"/>
      <c r="J395" s="171" t="n"/>
      <c r="K395" s="171" t="n"/>
      <c r="L395" s="171" t="n"/>
      <c r="M395" s="171" t="n"/>
      <c r="N395" s="171" t="n"/>
      <c r="O395" s="171" t="n"/>
      <c r="P395" s="171" t="n"/>
      <c r="Q395" s="171" t="n"/>
      <c r="R395" s="171" t="n"/>
      <c r="S395" s="171" t="n"/>
      <c r="T395" s="171" t="n"/>
      <c r="U395" s="171" t="n"/>
      <c r="V395" s="171" t="n"/>
      <c r="W395" s="171" t="n"/>
      <c r="X395" s="171" t="n"/>
      <c r="Y395" s="171" t="n"/>
      <c r="Z395" s="171" t="n"/>
      <c r="AA395" s="171" t="n"/>
      <c r="AB395" s="171" t="n"/>
      <c r="AC395" s="171" t="n"/>
      <c r="AD395" s="171" t="n"/>
      <c r="AE395" s="171" t="n"/>
      <c r="AF395" s="171" t="n"/>
      <c r="AG395" s="171" t="n"/>
      <c r="AH395" s="171" t="n"/>
    </row>
    <row r="396">
      <c r="A396" s="171" t="n"/>
      <c r="B396" s="171" t="n"/>
      <c r="C396" s="171" t="n"/>
      <c r="D396" s="171" t="n"/>
      <c r="E396" s="171" t="n"/>
      <c r="F396" s="171" t="n"/>
      <c r="G396" s="171" t="n"/>
      <c r="H396" s="171" t="n"/>
      <c r="I396" s="171" t="n"/>
      <c r="J396" s="171" t="n"/>
      <c r="K396" s="171" t="n"/>
      <c r="L396" s="171" t="n"/>
      <c r="M396" s="171" t="n"/>
      <c r="N396" s="171" t="n"/>
      <c r="O396" s="171" t="n"/>
      <c r="P396" s="171" t="n"/>
      <c r="Q396" s="171" t="n"/>
      <c r="R396" s="171" t="n"/>
      <c r="S396" s="171" t="n"/>
      <c r="T396" s="171" t="n"/>
      <c r="U396" s="171" t="n"/>
      <c r="V396" s="171" t="n"/>
      <c r="W396" s="171" t="n"/>
      <c r="X396" s="171" t="n"/>
      <c r="Y396" s="171" t="n"/>
      <c r="Z396" s="171" t="n"/>
      <c r="AA396" s="171" t="n"/>
      <c r="AB396" s="171" t="n"/>
      <c r="AC396" s="171" t="n"/>
      <c r="AD396" s="171" t="n"/>
      <c r="AE396" s="171" t="n"/>
      <c r="AF396" s="171" t="n"/>
      <c r="AG396" s="171" t="n"/>
      <c r="AH396" s="171" t="n"/>
    </row>
    <row r="397">
      <c r="A397" s="171" t="n"/>
      <c r="B397" s="171" t="n"/>
      <c r="C397" s="171" t="n"/>
      <c r="D397" s="171" t="n"/>
      <c r="E397" s="171" t="n"/>
      <c r="F397" s="171" t="n"/>
      <c r="G397" s="171" t="n"/>
      <c r="H397" s="171" t="n"/>
      <c r="I397" s="171" t="n"/>
      <c r="J397" s="171" t="n"/>
      <c r="K397" s="171" t="n"/>
      <c r="L397" s="171" t="n"/>
      <c r="M397" s="171" t="n"/>
      <c r="N397" s="171" t="n"/>
      <c r="O397" s="171" t="n"/>
      <c r="P397" s="171" t="n"/>
      <c r="Q397" s="171" t="n"/>
      <c r="R397" s="171" t="n"/>
      <c r="S397" s="171" t="n"/>
      <c r="T397" s="171" t="n"/>
      <c r="U397" s="171" t="n"/>
      <c r="V397" s="171" t="n"/>
      <c r="W397" s="171" t="n"/>
      <c r="X397" s="171" t="n"/>
      <c r="Y397" s="171" t="n"/>
      <c r="Z397" s="171" t="n"/>
      <c r="AA397" s="171" t="n"/>
      <c r="AB397" s="171" t="n"/>
      <c r="AC397" s="171" t="n"/>
      <c r="AD397" s="171" t="n"/>
      <c r="AE397" s="171" t="n"/>
      <c r="AF397" s="171" t="n"/>
      <c r="AG397" s="171" t="n"/>
      <c r="AH397" s="171" t="n"/>
    </row>
    <row r="398">
      <c r="A398" s="171" t="n"/>
      <c r="B398" s="171" t="n"/>
      <c r="C398" s="171" t="n"/>
      <c r="D398" s="171" t="n"/>
      <c r="E398" s="171" t="n"/>
      <c r="F398" s="171" t="n"/>
      <c r="G398" s="171" t="n"/>
      <c r="H398" s="171" t="n"/>
      <c r="I398" s="171" t="n"/>
      <c r="J398" s="171" t="n"/>
      <c r="K398" s="171" t="n"/>
      <c r="L398" s="171" t="n"/>
      <c r="M398" s="171" t="n"/>
      <c r="N398" s="171" t="n"/>
      <c r="O398" s="171" t="n"/>
      <c r="P398" s="171" t="n"/>
      <c r="Q398" s="171" t="n"/>
      <c r="R398" s="171" t="n"/>
      <c r="S398" s="171" t="n"/>
      <c r="T398" s="171" t="n"/>
      <c r="U398" s="171" t="n"/>
      <c r="V398" s="171" t="n"/>
      <c r="W398" s="171" t="n"/>
      <c r="X398" s="171" t="n"/>
      <c r="Y398" s="171" t="n"/>
      <c r="Z398" s="171" t="n"/>
      <c r="AA398" s="171" t="n"/>
      <c r="AB398" s="171" t="n"/>
      <c r="AC398" s="171" t="n"/>
      <c r="AD398" s="171" t="n"/>
      <c r="AE398" s="171" t="n"/>
      <c r="AF398" s="171" t="n"/>
      <c r="AG398" s="171" t="n"/>
      <c r="AH398" s="171" t="n"/>
    </row>
    <row r="399">
      <c r="A399" s="171" t="n"/>
      <c r="B399" s="171" t="n"/>
      <c r="C399" s="171" t="n"/>
      <c r="D399" s="171" t="n"/>
      <c r="E399" s="171" t="n"/>
      <c r="F399" s="171" t="n"/>
      <c r="G399" s="171" t="n"/>
      <c r="H399" s="171" t="n"/>
      <c r="I399" s="171" t="n"/>
      <c r="J399" s="171" t="n"/>
      <c r="K399" s="171" t="n"/>
      <c r="L399" s="171" t="n"/>
      <c r="M399" s="171" t="n"/>
      <c r="N399" s="171" t="n"/>
      <c r="O399" s="171" t="n"/>
      <c r="P399" s="171" t="n"/>
      <c r="Q399" s="171" t="n"/>
      <c r="R399" s="171" t="n"/>
      <c r="S399" s="171" t="n"/>
      <c r="T399" s="171" t="n"/>
      <c r="U399" s="171" t="n"/>
      <c r="V399" s="171" t="n"/>
      <c r="W399" s="171" t="n"/>
      <c r="X399" s="171" t="n"/>
      <c r="Y399" s="171" t="n"/>
      <c r="Z399" s="171" t="n"/>
      <c r="AA399" s="171" t="n"/>
      <c r="AB399" s="171" t="n"/>
      <c r="AC399" s="171" t="n"/>
      <c r="AD399" s="171" t="n"/>
      <c r="AE399" s="171" t="n"/>
      <c r="AF399" s="171" t="n"/>
      <c r="AG399" s="171" t="n"/>
      <c r="AH399" s="171" t="n"/>
    </row>
    <row r="400">
      <c r="A400" s="171" t="n"/>
      <c r="B400" s="171" t="n"/>
      <c r="C400" s="171" t="n"/>
      <c r="D400" s="171" t="n"/>
      <c r="E400" s="171" t="n"/>
      <c r="F400" s="171" t="n"/>
      <c r="G400" s="171" t="n"/>
      <c r="H400" s="171" t="n"/>
      <c r="I400" s="171" t="n"/>
      <c r="J400" s="171" t="n"/>
      <c r="K400" s="171" t="n"/>
      <c r="L400" s="171" t="n"/>
      <c r="M400" s="171" t="n"/>
      <c r="N400" s="171" t="n"/>
      <c r="O400" s="171" t="n"/>
      <c r="P400" s="171" t="n"/>
      <c r="Q400" s="171" t="n"/>
      <c r="R400" s="171" t="n"/>
      <c r="S400" s="171" t="n"/>
      <c r="T400" s="171" t="n"/>
      <c r="U400" s="171" t="n"/>
      <c r="V400" s="171" t="n"/>
      <c r="W400" s="171" t="n"/>
      <c r="X400" s="171" t="n"/>
      <c r="Y400" s="171" t="n"/>
      <c r="Z400" s="171" t="n"/>
      <c r="AA400" s="171" t="n"/>
      <c r="AB400" s="171" t="n"/>
      <c r="AC400" s="171" t="n"/>
      <c r="AD400" s="171" t="n"/>
      <c r="AE400" s="171" t="n"/>
      <c r="AF400" s="171" t="n"/>
      <c r="AG400" s="171" t="n"/>
      <c r="AH400" s="171" t="n"/>
    </row>
  </sheetData>
  <mergeCells count="7">
    <mergeCell ref="H5:L5"/>
    <mergeCell ref="A17:A26"/>
    <mergeCell ref="A7:A16"/>
    <mergeCell ref="N4:Z4"/>
    <mergeCell ref="H4:L4"/>
    <mergeCell ref="B27:L27"/>
    <mergeCell ref="A5:G5"/>
  </mergeCells>
  <printOptions horizontalCentered="1"/>
  <pageMargins left="0.3" right="0.3" top="0.4" bottom="0.4" header="0.1574803149606299" footer="0.1574803149606299"/>
  <pageSetup orientation="landscape" paperSize="9" fitToHeight="1" fitToWidth="1"/>
  <headerFooter>
    <oddHeader/>
    <oddFooter>&amp;C&amp;8 &amp;P / 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1">
    <tabColor rgb="00C00000"/>
    <outlinePr summaryBelow="1" summaryRight="1"/>
    <pageSetUpPr/>
  </sheetPr>
  <dimension ref="A1:L42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7.4"/>
  <cols>
    <col width="14.8" customWidth="1" style="22" min="1" max="1"/>
    <col width="11.8" customWidth="1" style="22" min="2" max="2"/>
    <col width="11.8" customWidth="1" style="22" min="3" max="3"/>
    <col width="26.8" customWidth="1" style="22" min="4" max="4"/>
    <col width="10.8" customWidth="1" style="22" min="5" max="5"/>
    <col width="10.8" customWidth="1" style="22" min="6" max="6"/>
    <col width="8.800000000000001" customWidth="1" style="22" min="7" max="7"/>
    <col width="11.8" customWidth="1" style="22" min="8" max="8"/>
    <col width="10.8" customWidth="1" style="22" min="9" max="9"/>
    <col width="24.8" customWidth="1" style="22" min="10" max="10"/>
    <col width="9.800000000000001" customWidth="1" style="22" min="11" max="11"/>
    <col width="24.8" customWidth="1" style="22" min="12" max="12"/>
  </cols>
  <sheetData>
    <row r="1">
      <c r="A1" s="229" t="inlineStr">
        <is>
          <t>접수일자</t>
        </is>
      </c>
      <c r="B1" s="46" t="inlineStr">
        <is>
          <t>구분</t>
        </is>
      </c>
      <c r="C1" s="46" t="inlineStr">
        <is>
          <t>권역</t>
        </is>
      </c>
      <c r="D1" s="46" t="inlineStr">
        <is>
          <t>상호</t>
        </is>
      </c>
      <c r="E1" s="46" t="inlineStr">
        <is>
          <t>용량</t>
        </is>
      </c>
      <c r="F1" s="46" t="inlineStr">
        <is>
          <t>지역</t>
        </is>
      </c>
      <c r="G1" s="50" t="inlineStr">
        <is>
          <t>시간</t>
        </is>
      </c>
      <c r="H1" s="51" t="inlineStr">
        <is>
          <t>수수료</t>
        </is>
      </c>
      <c r="I1" s="46" t="inlineStr">
        <is>
          <t>검사자</t>
        </is>
      </c>
      <c r="J1" s="46" t="inlineStr">
        <is>
          <t>비고</t>
        </is>
      </c>
      <c r="K1" s="46" t="inlineStr">
        <is>
          <t>관리번호</t>
        </is>
      </c>
      <c r="L1" s="52" t="inlineStr">
        <is>
          <t>점검</t>
        </is>
      </c>
    </row>
    <row r="2">
      <c r="A2" s="229" t="n">
        <v>45303</v>
      </c>
      <c r="B2" s="46" t="inlineStr">
        <is>
          <t>정기검사</t>
        </is>
      </c>
      <c r="C2" s="46" t="inlineStr">
        <is>
          <t>부천지역</t>
        </is>
      </c>
      <c r="D2" s="46" t="inlineStr">
        <is>
          <t>수주중</t>
        </is>
      </c>
      <c r="E2" s="46" t="inlineStr">
        <is>
          <t>800/136</t>
        </is>
      </c>
      <c r="F2" s="46" t="inlineStr">
        <is>
          <t>고강동</t>
        </is>
      </c>
      <c r="G2" s="50" t="n">
        <v>0.5833333333333334</v>
      </c>
      <c r="H2" s="51" t="n">
        <v>891330</v>
      </c>
      <c r="I2" s="46" t="inlineStr">
        <is>
          <t>서수형</t>
        </is>
      </c>
      <c r="K2" s="46" t="n">
        <v>1</v>
      </c>
      <c r="L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">
      <c r="A3" s="229" t="n">
        <v>45303</v>
      </c>
      <c r="B3" s="46" t="inlineStr">
        <is>
          <t>정기검사</t>
        </is>
      </c>
      <c r="C3" s="46" t="inlineStr">
        <is>
          <t>부천지역</t>
        </is>
      </c>
      <c r="D3" s="46" t="inlineStr">
        <is>
          <t>원일초</t>
        </is>
      </c>
      <c r="E3" s="46" t="inlineStr">
        <is>
          <t>700/136</t>
        </is>
      </c>
      <c r="F3" s="46" t="inlineStr">
        <is>
          <t>원종동</t>
        </is>
      </c>
      <c r="G3" s="50" t="n">
        <v>0.625</v>
      </c>
      <c r="H3" s="51" t="n">
        <v>857450</v>
      </c>
      <c r="I3" s="46" t="inlineStr">
        <is>
          <t>장현민</t>
        </is>
      </c>
      <c r="K3" s="46" t="n">
        <v>2</v>
      </c>
      <c r="L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">
      <c r="A4" s="229" t="n">
        <v>45303</v>
      </c>
      <c r="B4" s="46" t="inlineStr">
        <is>
          <t>정기검사</t>
        </is>
      </c>
      <c r="C4" s="46" t="inlineStr">
        <is>
          <t>김포지역</t>
        </is>
      </c>
      <c r="D4" s="46" t="inlineStr">
        <is>
          <t>신곡초</t>
        </is>
      </c>
      <c r="E4" s="46" t="n">
        <v>155</v>
      </c>
      <c r="F4" s="46" t="inlineStr">
        <is>
          <t>신곡리</t>
        </is>
      </c>
      <c r="G4" s="50" t="n">
        <v>0.5833333333333334</v>
      </c>
      <c r="H4" s="51" t="n">
        <v>54120</v>
      </c>
      <c r="I4" s="46" t="inlineStr">
        <is>
          <t>당효진</t>
        </is>
      </c>
      <c r="K4" s="46" t="n">
        <v>3</v>
      </c>
      <c r="L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">
      <c r="A5" s="229" t="n">
        <v>45303</v>
      </c>
      <c r="B5" s="46" t="inlineStr">
        <is>
          <t>정기검사</t>
        </is>
      </c>
      <c r="C5" s="46" t="inlineStr">
        <is>
          <t>김포지역</t>
        </is>
      </c>
      <c r="D5" s="46" t="inlineStr">
        <is>
          <t>신곡중</t>
        </is>
      </c>
      <c r="E5" s="46" t="inlineStr">
        <is>
          <t>600/114</t>
        </is>
      </c>
      <c r="F5" s="46" t="inlineStr">
        <is>
          <t>신곡리</t>
        </is>
      </c>
      <c r="G5" s="50" t="n">
        <v>0.5416666666666666</v>
      </c>
      <c r="H5" s="51" t="n">
        <v>822030</v>
      </c>
      <c r="I5" s="46" t="inlineStr">
        <is>
          <t>우승택</t>
        </is>
      </c>
      <c r="K5" s="46" t="n">
        <v>4</v>
      </c>
      <c r="L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">
      <c r="A6" s="229" t="n">
        <v>45303</v>
      </c>
      <c r="B6" s="46" t="inlineStr">
        <is>
          <t>정기검사</t>
        </is>
      </c>
      <c r="C6" s="46" t="inlineStr">
        <is>
          <t>김포지역</t>
        </is>
      </c>
      <c r="D6" s="46" t="inlineStr">
        <is>
          <t>고창중</t>
        </is>
      </c>
      <c r="E6" s="46" t="n">
        <v>125</v>
      </c>
      <c r="F6" s="46" t="inlineStr">
        <is>
          <t>장기동</t>
        </is>
      </c>
      <c r="G6" s="50" t="n">
        <v>0.625</v>
      </c>
      <c r="H6" s="51" t="n">
        <v>51920</v>
      </c>
      <c r="I6" s="46" t="inlineStr">
        <is>
          <t>김영권</t>
        </is>
      </c>
      <c r="K6" s="46" t="n">
        <v>5</v>
      </c>
      <c r="L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">
      <c r="A7" s="229" t="n">
        <v>45303</v>
      </c>
      <c r="B7" s="46" t="inlineStr">
        <is>
          <t>정기검사</t>
        </is>
      </c>
      <c r="C7" s="46" t="inlineStr">
        <is>
          <t>김포지역</t>
        </is>
      </c>
      <c r="D7" s="46" t="inlineStr">
        <is>
          <t>운양중</t>
        </is>
      </c>
      <c r="E7" s="46" t="inlineStr">
        <is>
          <t>600/125</t>
        </is>
      </c>
      <c r="F7" s="46" t="inlineStr">
        <is>
          <t>장기동</t>
        </is>
      </c>
      <c r="G7" s="50" t="n">
        <v>0.4166666666666667</v>
      </c>
      <c r="H7" s="51" t="n">
        <v>1052700</v>
      </c>
      <c r="I7" s="46" t="inlineStr">
        <is>
          <t>허창수</t>
        </is>
      </c>
      <c r="K7" s="46" t="n">
        <v>6</v>
      </c>
      <c r="L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">
      <c r="A8" s="229" t="n">
        <v>45303</v>
      </c>
      <c r="B8" s="46" t="inlineStr">
        <is>
          <t>사용전검사</t>
        </is>
      </c>
      <c r="C8" s="46" t="inlineStr">
        <is>
          <t>부천지역</t>
        </is>
      </c>
      <c r="D8" s="46" t="inlineStr">
        <is>
          <t>AP통신 부분</t>
        </is>
      </c>
      <c r="E8" s="46" t="n"/>
      <c r="F8" s="46" t="inlineStr">
        <is>
          <t>약대동</t>
        </is>
      </c>
      <c r="G8" s="50" t="n"/>
      <c r="H8" s="51" t="n"/>
      <c r="I8" s="46" t="inlineStr">
        <is>
          <t>이덕기</t>
        </is>
      </c>
      <c r="K8" s="46" t="n">
        <v>7</v>
      </c>
      <c r="L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">
      <c r="A9" s="229" t="n">
        <v>45303</v>
      </c>
      <c r="B9" s="46" t="inlineStr">
        <is>
          <t>사용전검사</t>
        </is>
      </c>
      <c r="C9" s="46" t="inlineStr">
        <is>
          <t>부천지역</t>
        </is>
      </c>
      <c r="D9" s="46" t="inlineStr">
        <is>
          <t>원메디칼</t>
        </is>
      </c>
      <c r="E9" s="46" t="n">
        <v>30</v>
      </c>
      <c r="F9" s="46" t="inlineStr">
        <is>
          <t>춘의동</t>
        </is>
      </c>
      <c r="G9" s="50" t="n"/>
      <c r="H9" s="51" t="n"/>
      <c r="I9" s="46" t="inlineStr">
        <is>
          <t>김상규</t>
        </is>
      </c>
      <c r="K9" s="46" t="n">
        <v>8</v>
      </c>
      <c r="L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">
      <c r="A10" s="229" t="n">
        <v>45303</v>
      </c>
      <c r="B10" s="46" t="inlineStr">
        <is>
          <t>메모</t>
        </is>
      </c>
      <c r="C10" s="46" t="inlineStr">
        <is>
          <t>부천지역</t>
        </is>
      </c>
      <c r="D10" s="46" t="inlineStr">
        <is>
          <t>이종석휴가</t>
        </is>
      </c>
      <c r="E10" s="46" t="inlineStr">
        <is>
          <t>당효진</t>
        </is>
      </c>
      <c r="F10" s="46" t="n"/>
      <c r="G10" s="50" t="n"/>
      <c r="H10" s="51" t="n"/>
      <c r="I10" s="46" t="n"/>
      <c r="K10" s="46" t="n">
        <v>9</v>
      </c>
      <c r="L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">
      <c r="A11" s="229" t="n">
        <v>45303</v>
      </c>
      <c r="B11" s="46" t="inlineStr">
        <is>
          <t>메모</t>
        </is>
      </c>
      <c r="C11" s="46" t="inlineStr">
        <is>
          <t>부천지역</t>
        </is>
      </c>
      <c r="D11" s="46" t="inlineStr">
        <is>
          <t>민재홍병가</t>
        </is>
      </c>
      <c r="E11" s="46" t="inlineStr">
        <is>
          <t>우승택</t>
        </is>
      </c>
      <c r="F11" s="46" t="n"/>
      <c r="G11" s="50" t="n"/>
      <c r="H11" s="51" t="n"/>
      <c r="I11" s="46" t="n"/>
      <c r="K11" s="46" t="n">
        <v>10</v>
      </c>
      <c r="L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">
      <c r="A12" s="229" t="n">
        <v>45303</v>
      </c>
      <c r="B12" s="46" t="inlineStr">
        <is>
          <t>사용전검사</t>
        </is>
      </c>
      <c r="C12" s="46" t="inlineStr">
        <is>
          <t>김포지역</t>
        </is>
      </c>
      <c r="D12" s="46" t="inlineStr">
        <is>
          <t>형제태양광</t>
        </is>
      </c>
      <c r="E12" s="46" t="n">
        <v>154</v>
      </c>
      <c r="F12" s="46" t="inlineStr">
        <is>
          <t>원산리</t>
        </is>
      </c>
      <c r="G12" s="50" t="n"/>
      <c r="H12" s="51" t="n"/>
      <c r="I12" s="46" t="inlineStr">
        <is>
          <t>민경수</t>
        </is>
      </c>
      <c r="K12" s="46" t="n">
        <v>11</v>
      </c>
      <c r="L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">
      <c r="A13" s="229" t="n">
        <v>45303</v>
      </c>
      <c r="B13" s="46" t="inlineStr">
        <is>
          <t>사용전검사</t>
        </is>
      </c>
      <c r="C13" s="46" t="inlineStr">
        <is>
          <t>김포지역</t>
        </is>
      </c>
      <c r="D13" s="46" t="inlineStr">
        <is>
          <t>케이티</t>
        </is>
      </c>
      <c r="E13" s="46" t="n">
        <v>4</v>
      </c>
      <c r="F13" s="46" t="inlineStr">
        <is>
          <t>초원지리</t>
        </is>
      </c>
      <c r="G13" s="50" t="n"/>
      <c r="H13" s="51" t="n"/>
      <c r="I13" s="46" t="inlineStr">
        <is>
          <t>송두기</t>
        </is>
      </c>
      <c r="K13" s="46" t="n">
        <v>12</v>
      </c>
      <c r="L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">
      <c r="A14" s="229" t="n">
        <v>45303</v>
      </c>
      <c r="B14" s="46" t="inlineStr">
        <is>
          <t>사용전검사</t>
        </is>
      </c>
      <c r="C14" s="46" t="inlineStr">
        <is>
          <t>김포지역</t>
        </is>
      </c>
      <c r="D14" s="46" t="inlineStr">
        <is>
          <t>양원고</t>
        </is>
      </c>
      <c r="E14" s="46" t="n">
        <v>900</v>
      </c>
      <c r="F14" s="46" t="inlineStr">
        <is>
          <t>양곡리</t>
        </is>
      </c>
      <c r="G14" s="50" t="n"/>
      <c r="H14" s="51" t="n"/>
      <c r="I14" s="46" t="inlineStr">
        <is>
          <t>민경수</t>
        </is>
      </c>
      <c r="K14" s="46" t="n">
        <v>13</v>
      </c>
      <c r="L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">
      <c r="A15" s="229" t="n">
        <v>45304</v>
      </c>
      <c r="B15" s="46" t="inlineStr">
        <is>
          <t>정기검사</t>
        </is>
      </c>
      <c r="C15" s="46" t="inlineStr">
        <is>
          <t>김포지역</t>
        </is>
      </c>
      <c r="D15" s="46" t="inlineStr">
        <is>
          <t>대형케미칼</t>
        </is>
      </c>
      <c r="E15" s="46" t="n">
        <v>500</v>
      </c>
      <c r="F15" s="46" t="inlineStr">
        <is>
          <t>송마리</t>
        </is>
      </c>
      <c r="G15" s="50" t="n">
        <v>0.4791666666666667</v>
      </c>
      <c r="H15" s="51" t="n">
        <v>737000</v>
      </c>
      <c r="I15" s="46" t="inlineStr">
        <is>
          <t>김영권</t>
        </is>
      </c>
      <c r="K15" s="46" t="n">
        <v>14</v>
      </c>
      <c r="L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">
      <c r="A16" s="229" t="n">
        <v>45304</v>
      </c>
      <c r="B16" s="46" t="inlineStr">
        <is>
          <t>정기검사</t>
        </is>
      </c>
      <c r="C16" s="46" t="inlineStr">
        <is>
          <t>김포지역</t>
        </is>
      </c>
      <c r="D16" s="46" t="inlineStr">
        <is>
          <t>메리트아이티</t>
        </is>
      </c>
      <c r="E16" s="46" t="inlineStr">
        <is>
          <t>400/264</t>
        </is>
      </c>
      <c r="F16" s="46" t="inlineStr">
        <is>
          <t>양곡리</t>
        </is>
      </c>
      <c r="G16" s="50" t="n">
        <v>0.4166666666666667</v>
      </c>
      <c r="H16" s="51" t="n">
        <v>765160</v>
      </c>
      <c r="I16" s="46" t="inlineStr">
        <is>
          <t>서수형</t>
        </is>
      </c>
      <c r="K16" s="46" t="n">
        <v>15</v>
      </c>
      <c r="L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">
      <c r="A17" s="229" t="n">
        <v>45304</v>
      </c>
      <c r="B17" s="46" t="inlineStr">
        <is>
          <t>사용전검사</t>
        </is>
      </c>
      <c r="C17" s="46" t="inlineStr">
        <is>
          <t>부천지역</t>
        </is>
      </c>
      <c r="D17" s="46" t="inlineStr">
        <is>
          <t>씨제이헬로비전</t>
        </is>
      </c>
      <c r="E17" s="46" t="n">
        <v>160</v>
      </c>
      <c r="F17" s="46" t="inlineStr">
        <is>
          <t>송내동</t>
        </is>
      </c>
      <c r="G17" s="50" t="n"/>
      <c r="H17" s="51" t="n"/>
      <c r="I17" s="46" t="inlineStr">
        <is>
          <t>장현민</t>
        </is>
      </c>
      <c r="K17" s="46" t="n">
        <v>16</v>
      </c>
      <c r="L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">
      <c r="A18" s="229" t="n">
        <v>45304</v>
      </c>
      <c r="B18" s="46" t="inlineStr">
        <is>
          <t>사용전검사</t>
        </is>
      </c>
      <c r="C18" s="46" t="inlineStr">
        <is>
          <t>부천지역</t>
        </is>
      </c>
      <c r="D18" s="46" t="inlineStr">
        <is>
          <t>한국수자원공사</t>
        </is>
      </c>
      <c r="E18" s="46" t="n">
        <v>500</v>
      </c>
      <c r="F18" s="46" t="inlineStr">
        <is>
          <t>내동</t>
        </is>
      </c>
      <c r="G18" s="50" t="n"/>
      <c r="H18" s="51" t="n"/>
      <c r="I18" s="46" t="inlineStr">
        <is>
          <t>우승택</t>
        </is>
      </c>
      <c r="K18" s="46" t="n">
        <v>17</v>
      </c>
      <c r="L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">
      <c r="A19" s="229" t="n">
        <v>45304</v>
      </c>
      <c r="B19" s="46" t="inlineStr">
        <is>
          <t>사용전검사</t>
        </is>
      </c>
      <c r="C19" s="46" t="inlineStr">
        <is>
          <t>부천지역</t>
        </is>
      </c>
      <c r="D19" s="46" t="inlineStr">
        <is>
          <t>부동산임대</t>
        </is>
      </c>
      <c r="E19" s="46" t="n">
        <v>20</v>
      </c>
      <c r="F19" s="46" t="inlineStr">
        <is>
          <t>중동</t>
        </is>
      </c>
      <c r="G19" s="50" t="n"/>
      <c r="H19" s="51" t="n"/>
      <c r="I19" s="46" t="inlineStr">
        <is>
          <t>송낙명</t>
        </is>
      </c>
      <c r="K19" s="46" t="n">
        <v>18</v>
      </c>
      <c r="L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">
      <c r="A20" s="229" t="n">
        <v>45304</v>
      </c>
      <c r="B20" s="46" t="inlineStr">
        <is>
          <t>메모</t>
        </is>
      </c>
      <c r="C20" s="46" t="inlineStr">
        <is>
          <t>부천지역</t>
        </is>
      </c>
      <c r="D20" s="46" t="inlineStr">
        <is>
          <t>이종석휴가</t>
        </is>
      </c>
      <c r="E20" s="46" t="n"/>
      <c r="F20" s="46" t="n"/>
      <c r="G20" s="50" t="n"/>
      <c r="H20" s="51" t="n"/>
      <c r="I20" s="46" t="n"/>
      <c r="K20" s="46" t="n">
        <v>19</v>
      </c>
      <c r="L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">
      <c r="A21" s="229" t="n">
        <v>45304</v>
      </c>
      <c r="B21" s="46" t="inlineStr">
        <is>
          <t>메모</t>
        </is>
      </c>
      <c r="C21" s="46" t="inlineStr">
        <is>
          <t>부천지역</t>
        </is>
      </c>
      <c r="D21" s="46" t="inlineStr">
        <is>
          <t>민재홍병가</t>
        </is>
      </c>
      <c r="E21" s="46" t="inlineStr">
        <is>
          <t>우승택-장현민</t>
        </is>
      </c>
      <c r="F21" s="46" t="n"/>
      <c r="G21" s="50" t="n"/>
      <c r="H21" s="51" t="n"/>
      <c r="I21" s="46" t="n"/>
      <c r="K21" s="46" t="n">
        <v>20</v>
      </c>
      <c r="L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">
      <c r="A22" s="229" t="n">
        <v>45304</v>
      </c>
      <c r="B22" s="46" t="inlineStr">
        <is>
          <t>메모</t>
        </is>
      </c>
      <c r="C22" s="46" t="inlineStr">
        <is>
          <t>부천지역</t>
        </is>
      </c>
      <c r="D22" s="46" t="inlineStr">
        <is>
          <t>이덕기휴가</t>
        </is>
      </c>
      <c r="E22" s="46" t="n"/>
      <c r="F22" s="46" t="n"/>
      <c r="G22" s="50" t="n"/>
      <c r="H22" s="51" t="n"/>
      <c r="I22" s="46" t="n"/>
      <c r="K22" s="46" t="n">
        <v>21</v>
      </c>
      <c r="L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">
      <c r="A23" s="229" t="n">
        <v>45304</v>
      </c>
      <c r="B23" s="46" t="inlineStr">
        <is>
          <t>메모</t>
        </is>
      </c>
      <c r="C23" s="46" t="inlineStr">
        <is>
          <t>부천지역</t>
        </is>
      </c>
      <c r="D23" s="46" t="inlineStr">
        <is>
          <t>당효진휴가</t>
        </is>
      </c>
      <c r="E23" s="46" t="n"/>
      <c r="F23" s="46" t="n"/>
      <c r="G23" s="50" t="n"/>
      <c r="H23" s="51" t="n"/>
      <c r="I23" s="46" t="n"/>
      <c r="K23" s="46" t="n">
        <v>22</v>
      </c>
      <c r="L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">
      <c r="A24" s="229" t="n">
        <v>45304</v>
      </c>
      <c r="B24" s="46" t="inlineStr">
        <is>
          <t>사용전검사</t>
        </is>
      </c>
      <c r="C24" s="46" t="inlineStr">
        <is>
          <t>부천지역</t>
        </is>
      </c>
      <c r="D24" s="46" t="inlineStr">
        <is>
          <t>구가네양꼬치</t>
        </is>
      </c>
      <c r="E24" s="46" t="n">
        <v>60</v>
      </c>
      <c r="F24" s="46" t="inlineStr">
        <is>
          <t>중동</t>
        </is>
      </c>
      <c r="G24" s="50" t="n"/>
      <c r="H24" s="51" t="n"/>
      <c r="I24" s="46" t="inlineStr">
        <is>
          <t>김상규</t>
        </is>
      </c>
      <c r="K24" s="46" t="n">
        <v>23</v>
      </c>
      <c r="L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">
      <c r="A25" s="229" t="n">
        <v>45304</v>
      </c>
      <c r="B25" s="46" t="inlineStr">
        <is>
          <t>사용전검사</t>
        </is>
      </c>
      <c r="C25" s="46" t="inlineStr">
        <is>
          <t>김포지역</t>
        </is>
      </c>
      <c r="D25" s="46" t="inlineStr">
        <is>
          <t>고정리1호</t>
        </is>
      </c>
      <c r="E25" s="46" t="n">
        <v>58</v>
      </c>
      <c r="F25" s="46" t="inlineStr">
        <is>
          <t>고정리</t>
        </is>
      </c>
      <c r="G25" s="50" t="n"/>
      <c r="H25" s="51" t="n"/>
      <c r="I25" s="46" t="inlineStr">
        <is>
          <t>민경수</t>
        </is>
      </c>
      <c r="K25" s="46" t="n">
        <v>24</v>
      </c>
      <c r="L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">
      <c r="A26" s="229" t="n">
        <v>45304</v>
      </c>
      <c r="B26" s="46" t="inlineStr">
        <is>
          <t>사용전검사</t>
        </is>
      </c>
      <c r="C26" s="46" t="inlineStr">
        <is>
          <t>김포지역</t>
        </is>
      </c>
      <c r="D26" s="46" t="inlineStr">
        <is>
          <t>고정리2호</t>
        </is>
      </c>
      <c r="E26" s="46" t="n">
        <v>59</v>
      </c>
      <c r="F26" s="46" t="inlineStr">
        <is>
          <t>고정리</t>
        </is>
      </c>
      <c r="G26" s="50" t="n"/>
      <c r="H26" s="51" t="n"/>
      <c r="I26" s="46" t="inlineStr">
        <is>
          <t>송두기</t>
        </is>
      </c>
      <c r="K26" s="46" t="n">
        <v>25</v>
      </c>
      <c r="L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">
      <c r="A27" s="229" t="n">
        <v>45304</v>
      </c>
      <c r="B27" s="46" t="inlineStr">
        <is>
          <t>사용전검사</t>
        </is>
      </c>
      <c r="C27" s="46" t="inlineStr">
        <is>
          <t>김포지역</t>
        </is>
      </c>
      <c r="D27" s="46" t="inlineStr">
        <is>
          <t>모했태양광</t>
        </is>
      </c>
      <c r="E27" s="46" t="n"/>
      <c r="F27" s="46" t="inlineStr">
        <is>
          <t>학운리</t>
        </is>
      </c>
      <c r="G27" s="50" t="n"/>
      <c r="H27" s="51" t="n"/>
      <c r="I27" s="46" t="inlineStr">
        <is>
          <t>정신배</t>
        </is>
      </c>
      <c r="K27" s="46" t="n">
        <v>26</v>
      </c>
      <c r="L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">
      <c r="A28" s="229" t="n">
        <v>45304</v>
      </c>
      <c r="B28" s="46" t="inlineStr">
        <is>
          <t>사용전검사</t>
        </is>
      </c>
      <c r="C28" s="46" t="inlineStr">
        <is>
          <t>김포지역</t>
        </is>
      </c>
      <c r="D28" s="46" t="inlineStr">
        <is>
          <t>남광정공</t>
        </is>
      </c>
      <c r="E28" s="46" t="n">
        <v>340</v>
      </c>
      <c r="F28" s="46" t="inlineStr">
        <is>
          <t>송마리</t>
        </is>
      </c>
      <c r="G28" s="50" t="n"/>
      <c r="H28" s="51" t="n"/>
      <c r="I28" s="46" t="inlineStr">
        <is>
          <t>허창수</t>
        </is>
      </c>
      <c r="K28" s="46" t="n">
        <v>27</v>
      </c>
      <c r="L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">
      <c r="A29" s="229" t="n">
        <v>45304</v>
      </c>
      <c r="B29" s="46" t="inlineStr">
        <is>
          <t>사용전검사</t>
        </is>
      </c>
      <c r="C29" s="46" t="inlineStr">
        <is>
          <t>김포지역</t>
        </is>
      </c>
      <c r="D29" s="46" t="inlineStr">
        <is>
          <t>주호산업</t>
        </is>
      </c>
      <c r="E29" s="46" t="n">
        <v>156</v>
      </c>
      <c r="F29" s="46" t="inlineStr">
        <is>
          <t>학운리</t>
        </is>
      </c>
      <c r="G29" s="50" t="n"/>
      <c r="H29" s="51" t="n"/>
      <c r="I29" s="46" t="inlineStr">
        <is>
          <t>송낙명</t>
        </is>
      </c>
      <c r="K29" s="46" t="n">
        <v>28</v>
      </c>
      <c r="L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">
      <c r="A30" s="229" t="n">
        <v>45305</v>
      </c>
      <c r="B30" s="46" t="inlineStr">
        <is>
          <t>정기검사</t>
        </is>
      </c>
      <c r="C30" s="46" t="inlineStr">
        <is>
          <t>부천지역</t>
        </is>
      </c>
      <c r="D30" s="46" t="inlineStr">
        <is>
          <t>범박중학교</t>
        </is>
      </c>
      <c r="E30" s="46" t="n">
        <v>261</v>
      </c>
      <c r="F30" s="46" t="inlineStr">
        <is>
          <t>범박동</t>
        </is>
      </c>
      <c r="G30" s="50" t="n">
        <v>0.5416666666666666</v>
      </c>
      <c r="H30" s="51" t="n">
        <v>506220</v>
      </c>
      <c r="I30" s="46" t="inlineStr">
        <is>
          <t>우승택</t>
        </is>
      </c>
      <c r="K30" s="46" t="n">
        <v>29</v>
      </c>
      <c r="L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">
      <c r="A31" s="229" t="n">
        <v>45305</v>
      </c>
      <c r="B31" s="46" t="inlineStr">
        <is>
          <t>정기검사</t>
        </is>
      </c>
      <c r="C31" s="46" t="inlineStr">
        <is>
          <t>부천지역</t>
        </is>
      </c>
      <c r="D31" s="46" t="inlineStr">
        <is>
          <t>신용근</t>
        </is>
      </c>
      <c r="E31" s="46" t="inlineStr">
        <is>
          <t>400/145</t>
        </is>
      </c>
      <c r="F31" s="46" t="inlineStr">
        <is>
          <t>심곡동</t>
        </is>
      </c>
      <c r="G31" s="50" t="n">
        <v>0.4166666666666667</v>
      </c>
      <c r="H31" s="51" t="n">
        <v>757460</v>
      </c>
      <c r="I31" s="46" t="inlineStr">
        <is>
          <t>장현민</t>
        </is>
      </c>
      <c r="K31" s="46" t="n">
        <v>30</v>
      </c>
      <c r="L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">
      <c r="A32" s="229" t="n">
        <v>45305</v>
      </c>
      <c r="B32" s="46" t="inlineStr">
        <is>
          <t>정기검사</t>
        </is>
      </c>
      <c r="C32" s="46" t="inlineStr">
        <is>
          <t>부천지역</t>
        </is>
      </c>
      <c r="D32" s="46" t="inlineStr">
        <is>
          <t>그랜드코아</t>
        </is>
      </c>
      <c r="E32" s="46" t="n">
        <v>600</v>
      </c>
      <c r="F32" s="46" t="inlineStr">
        <is>
          <t>상동</t>
        </is>
      </c>
      <c r="G32" s="50" t="n">
        <v>0.3958333333333333</v>
      </c>
      <c r="H32" s="51" t="n">
        <v>770880</v>
      </c>
      <c r="I32" s="46" t="inlineStr">
        <is>
          <t>김상규</t>
        </is>
      </c>
      <c r="K32" s="46" t="n">
        <v>31</v>
      </c>
      <c r="L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">
      <c r="A33" s="229" t="n">
        <v>45305</v>
      </c>
      <c r="B33" s="46" t="inlineStr">
        <is>
          <t>정기검사</t>
        </is>
      </c>
      <c r="C33" s="46" t="inlineStr">
        <is>
          <t>김포지역</t>
        </is>
      </c>
      <c r="D33" s="46" t="inlineStr">
        <is>
          <t>범수산업</t>
        </is>
      </c>
      <c r="E33" s="46" t="n">
        <v>299</v>
      </c>
      <c r="F33" s="46" t="inlineStr">
        <is>
          <t>대벽리</t>
        </is>
      </c>
      <c r="G33" s="50" t="n">
        <v>0.5208333333333334</v>
      </c>
      <c r="H33" s="51" t="n">
        <v>521070</v>
      </c>
      <c r="I33" s="46" t="inlineStr">
        <is>
          <t>서수형</t>
        </is>
      </c>
      <c r="K33" s="46" t="n">
        <v>32</v>
      </c>
      <c r="L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">
      <c r="A34" s="229" t="n">
        <v>45305</v>
      </c>
      <c r="B34" s="46" t="inlineStr">
        <is>
          <t>정기검사</t>
        </is>
      </c>
      <c r="C34" s="46" t="inlineStr">
        <is>
          <t>김포지역</t>
        </is>
      </c>
      <c r="D34" s="46" t="inlineStr">
        <is>
          <t>코아스</t>
        </is>
      </c>
      <c r="E34" s="46" t="n">
        <v>450</v>
      </c>
      <c r="F34" s="46" t="inlineStr">
        <is>
          <t>풍무동</t>
        </is>
      </c>
      <c r="G34" s="50" t="n">
        <v>0.4166666666666667</v>
      </c>
      <c r="H34" s="51" t="n">
        <v>720060</v>
      </c>
      <c r="I34" s="46" t="inlineStr">
        <is>
          <t>정신배</t>
        </is>
      </c>
      <c r="K34" s="46" t="n">
        <v>33</v>
      </c>
      <c r="L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">
      <c r="A35" s="229" t="n">
        <v>45305</v>
      </c>
      <c r="B35" s="46" t="inlineStr">
        <is>
          <t>정기검사</t>
        </is>
      </c>
      <c r="C35" s="46" t="inlineStr">
        <is>
          <t>김포지역</t>
        </is>
      </c>
      <c r="D35" s="46" t="inlineStr">
        <is>
          <t>엠프라자</t>
        </is>
      </c>
      <c r="E35" s="46" t="inlineStr">
        <is>
          <t>400/118</t>
        </is>
      </c>
      <c r="F35" s="46" t="inlineStr">
        <is>
          <t>장기동</t>
        </is>
      </c>
      <c r="G35" s="50" t="n">
        <v>0.3958333333333333</v>
      </c>
      <c r="H35" s="51" t="n">
        <v>754490</v>
      </c>
      <c r="I35" s="46" t="inlineStr">
        <is>
          <t>김영권</t>
        </is>
      </c>
      <c r="K35" s="46" t="n">
        <v>34</v>
      </c>
      <c r="L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">
      <c r="A36" s="229" t="n">
        <v>45305</v>
      </c>
      <c r="B36" s="46" t="inlineStr">
        <is>
          <t>메모</t>
        </is>
      </c>
      <c r="C36" s="46" t="inlineStr">
        <is>
          <t>부천지역</t>
        </is>
      </c>
      <c r="D36" s="46" t="inlineStr">
        <is>
          <t>민재홍병가</t>
        </is>
      </c>
      <c r="E36" s="46" t="inlineStr">
        <is>
          <t>우승택-장현민</t>
        </is>
      </c>
      <c r="F36" s="46" t="n"/>
      <c r="G36" s="50" t="n"/>
      <c r="H36" s="51" t="n"/>
      <c r="I36" s="46" t="n"/>
      <c r="K36" s="46" t="n">
        <v>35</v>
      </c>
      <c r="L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">
      <c r="A37" s="229" t="n">
        <v>45305</v>
      </c>
      <c r="B37" s="46" t="inlineStr">
        <is>
          <t>메모</t>
        </is>
      </c>
      <c r="C37" s="46" t="inlineStr">
        <is>
          <t>부천지역</t>
        </is>
      </c>
      <c r="D37" s="46" t="inlineStr">
        <is>
          <t>이덕기휴가</t>
        </is>
      </c>
      <c r="E37" s="46" t="n"/>
      <c r="F37" s="46" t="n"/>
      <c r="G37" s="50" t="n"/>
      <c r="H37" s="51" t="n"/>
      <c r="I37" s="46" t="n"/>
      <c r="K37" s="46" t="n">
        <v>36</v>
      </c>
      <c r="L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">
      <c r="A38" s="229" t="n">
        <v>45305</v>
      </c>
      <c r="B38" s="46" t="inlineStr">
        <is>
          <t>사용전검사</t>
        </is>
      </c>
      <c r="C38" s="46" t="inlineStr">
        <is>
          <t>김포지역</t>
        </is>
      </c>
      <c r="D38" s="46" t="inlineStr">
        <is>
          <t>약암마을</t>
        </is>
      </c>
      <c r="E38" s="46" t="n">
        <v>19</v>
      </c>
      <c r="F38" s="46" t="inlineStr">
        <is>
          <t>약암리</t>
        </is>
      </c>
      <c r="G38" s="50" t="n"/>
      <c r="H38" s="51" t="n"/>
      <c r="I38" s="46" t="inlineStr">
        <is>
          <t>이종석</t>
        </is>
      </c>
      <c r="K38" s="46" t="n">
        <v>37</v>
      </c>
      <c r="L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">
      <c r="A39" s="229" t="n">
        <v>45305</v>
      </c>
      <c r="B39" s="46" t="inlineStr">
        <is>
          <t>사용전검사</t>
        </is>
      </c>
      <c r="C39" s="46" t="inlineStr">
        <is>
          <t>김포지역</t>
        </is>
      </c>
      <c r="D39" s="46" t="inlineStr">
        <is>
          <t>엡비동을산1</t>
        </is>
      </c>
      <c r="E39" s="46" t="n">
        <v>117</v>
      </c>
      <c r="F39" s="46" t="inlineStr">
        <is>
          <t>동을산리</t>
        </is>
      </c>
      <c r="G39" s="50" t="n"/>
      <c r="H39" s="51" t="n"/>
      <c r="I39" s="46" t="inlineStr">
        <is>
          <t>허창수</t>
        </is>
      </c>
      <c r="K39" s="46" t="n">
        <v>38</v>
      </c>
      <c r="L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">
      <c r="A40" s="229" t="n">
        <v>45305</v>
      </c>
      <c r="B40" s="46" t="inlineStr">
        <is>
          <t>사용전검사</t>
        </is>
      </c>
      <c r="C40" s="46" t="inlineStr">
        <is>
          <t>김포지역</t>
        </is>
      </c>
      <c r="D40" s="46" t="inlineStr">
        <is>
          <t>엡비산2</t>
        </is>
      </c>
      <c r="E40" s="46" t="n">
        <v>118</v>
      </c>
      <c r="F40" s="46" t="inlineStr">
        <is>
          <t>동을산리</t>
        </is>
      </c>
      <c r="G40" s="50" t="n"/>
      <c r="H40" s="51" t="n"/>
      <c r="I40" s="46" t="inlineStr">
        <is>
          <t>허창수</t>
        </is>
      </c>
      <c r="K40" s="46" t="n">
        <v>39</v>
      </c>
      <c r="L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">
      <c r="A41" s="229" t="n">
        <v>45306</v>
      </c>
      <c r="B41" s="46" t="inlineStr">
        <is>
          <t>정기검사</t>
        </is>
      </c>
      <c r="C41" s="46" t="inlineStr">
        <is>
          <t>부천지역</t>
        </is>
      </c>
      <c r="D41" s="46" t="inlineStr">
        <is>
          <t>lgsk아파트</t>
        </is>
      </c>
      <c r="E41" s="46" t="inlineStr">
        <is>
          <t>1600/480</t>
        </is>
      </c>
      <c r="F41" s="46" t="inlineStr">
        <is>
          <t>상동</t>
        </is>
      </c>
      <c r="G41" s="50" t="n">
        <v>0.4166666666666667</v>
      </c>
      <c r="H41" s="51" t="n">
        <v>1071840</v>
      </c>
      <c r="I41" s="46" t="inlineStr">
        <is>
          <t>이종석</t>
        </is>
      </c>
      <c r="K41" s="46" t="n">
        <v>40</v>
      </c>
      <c r="L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">
      <c r="A42" s="229" t="n">
        <v>45306</v>
      </c>
      <c r="B42" s="46" t="inlineStr">
        <is>
          <t>정기검사</t>
        </is>
      </c>
      <c r="C42" s="46" t="inlineStr">
        <is>
          <t>부천지역</t>
        </is>
      </c>
      <c r="D42" s="46" t="inlineStr">
        <is>
          <t>스카이빌딩</t>
        </is>
      </c>
      <c r="E42" s="46" t="n">
        <v>500</v>
      </c>
      <c r="F42" s="46" t="inlineStr">
        <is>
          <t>원종동</t>
        </is>
      </c>
      <c r="G42" s="50" t="n">
        <v>0.25</v>
      </c>
      <c r="H42" s="51" t="n">
        <v>958100</v>
      </c>
      <c r="I42" s="46" t="inlineStr">
        <is>
          <t>장현민-서수형</t>
        </is>
      </c>
      <c r="K42" s="46" t="n">
        <v>41</v>
      </c>
      <c r="L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">
      <c r="A43" s="229" t="n">
        <v>45306</v>
      </c>
      <c r="B43" s="46" t="inlineStr">
        <is>
          <t>정기검사</t>
        </is>
      </c>
      <c r="C43" s="46" t="inlineStr">
        <is>
          <t>김포지역</t>
        </is>
      </c>
      <c r="D43" s="46" t="inlineStr">
        <is>
          <t>김포쌍용예가</t>
        </is>
      </c>
      <c r="E43" s="46" t="n">
        <v>250</v>
      </c>
      <c r="F43" s="46" t="inlineStr">
        <is>
          <t>장기동</t>
        </is>
      </c>
      <c r="G43" s="50" t="n">
        <v>0.25</v>
      </c>
      <c r="H43" s="51" t="n">
        <v>635910</v>
      </c>
      <c r="I43" s="46" t="inlineStr">
        <is>
          <t>민경수</t>
        </is>
      </c>
      <c r="K43" s="46" t="n">
        <v>42</v>
      </c>
      <c r="L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">
      <c r="A44" s="229" t="n">
        <v>45306</v>
      </c>
      <c r="B44" s="46" t="inlineStr">
        <is>
          <t>메모</t>
        </is>
      </c>
      <c r="C44" s="46" t="inlineStr">
        <is>
          <t>부천지역</t>
        </is>
      </c>
      <c r="D44" s="46" t="inlineStr">
        <is>
          <t>민재홍병가</t>
        </is>
      </c>
      <c r="E44" s="46" t="inlineStr">
        <is>
          <t>우승택</t>
        </is>
      </c>
      <c r="F44" s="46" t="n"/>
      <c r="G44" s="50" t="n"/>
      <c r="H44" s="51" t="n"/>
      <c r="I44" s="46" t="n"/>
      <c r="K44" s="46" t="n">
        <v>43</v>
      </c>
      <c r="L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">
      <c r="A45" s="229" t="n">
        <v>45306</v>
      </c>
      <c r="B45" s="46" t="inlineStr">
        <is>
          <t>메모</t>
        </is>
      </c>
      <c r="C45" s="46" t="inlineStr">
        <is>
          <t>부천지역</t>
        </is>
      </c>
      <c r="D45" s="46" t="inlineStr">
        <is>
          <t>정신배휴가</t>
        </is>
      </c>
      <c r="E45" s="46" t="inlineStr">
        <is>
          <t>서수형</t>
        </is>
      </c>
      <c r="F45" s="46" t="n"/>
      <c r="G45" s="50" t="n"/>
      <c r="H45" s="51" t="n"/>
      <c r="I45" s="46" t="n"/>
      <c r="K45" s="46" t="n">
        <v>44</v>
      </c>
      <c r="L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">
      <c r="A46" s="229" t="n">
        <v>45306</v>
      </c>
      <c r="B46" s="46" t="inlineStr">
        <is>
          <t>메모</t>
        </is>
      </c>
      <c r="C46" s="46" t="inlineStr">
        <is>
          <t>부천지역</t>
        </is>
      </c>
      <c r="D46" s="46" t="inlineStr">
        <is>
          <t>이덕기휴가</t>
        </is>
      </c>
      <c r="E46" s="46" t="inlineStr">
        <is>
          <t>장현민</t>
        </is>
      </c>
      <c r="F46" s="46" t="n"/>
      <c r="G46" s="50" t="n"/>
      <c r="H46" s="51" t="n"/>
      <c r="I46" s="46" t="n"/>
      <c r="K46" s="46" t="n">
        <v>45</v>
      </c>
      <c r="L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">
      <c r="A47" s="229" t="n">
        <v>45306</v>
      </c>
      <c r="B47" s="46" t="inlineStr">
        <is>
          <t>사용전검사</t>
        </is>
      </c>
      <c r="C47" s="46" t="inlineStr">
        <is>
          <t>김포지역</t>
        </is>
      </c>
      <c r="D47" s="46" t="inlineStr">
        <is>
          <t>하성고등학교 부분</t>
        </is>
      </c>
      <c r="E47" s="46" t="n">
        <v>950</v>
      </c>
      <c r="F47" s="46" t="inlineStr">
        <is>
          <t>마곡리</t>
        </is>
      </c>
      <c r="G47" s="50" t="n"/>
      <c r="H47" s="51" t="n"/>
      <c r="I47" s="46" t="inlineStr">
        <is>
          <t>송두기</t>
        </is>
      </c>
      <c r="K47" s="46" t="n">
        <v>46</v>
      </c>
      <c r="L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">
      <c r="A48" s="229" t="n">
        <v>45306</v>
      </c>
      <c r="B48" s="46" t="inlineStr">
        <is>
          <t>사용전검사</t>
        </is>
      </c>
      <c r="C48" s="46" t="inlineStr">
        <is>
          <t>김포지역</t>
        </is>
      </c>
      <c r="D48" s="46" t="inlineStr">
        <is>
          <t>석정1리</t>
        </is>
      </c>
      <c r="E48" s="46" t="n">
        <v>10</v>
      </c>
      <c r="F48" s="46" t="inlineStr">
        <is>
          <t>석정리</t>
        </is>
      </c>
      <c r="G48" s="50" t="n"/>
      <c r="H48" s="51" t="n"/>
      <c r="I48" s="46" t="inlineStr">
        <is>
          <t>김상규</t>
        </is>
      </c>
      <c r="K48" s="46" t="n">
        <v>47</v>
      </c>
      <c r="L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">
      <c r="A49" s="229" t="n">
        <v>45306</v>
      </c>
      <c r="B49" s="46" t="inlineStr">
        <is>
          <t>사용전검사</t>
        </is>
      </c>
      <c r="C49" s="46" t="inlineStr">
        <is>
          <t>김포지역</t>
        </is>
      </c>
      <c r="D49" s="46" t="inlineStr">
        <is>
          <t>김미선</t>
        </is>
      </c>
      <c r="E49" s="46" t="n">
        <v>61</v>
      </c>
      <c r="F49" s="46" t="inlineStr">
        <is>
          <t>학운리</t>
        </is>
      </c>
      <c r="G49" s="50" t="n"/>
      <c r="H49" s="51" t="n"/>
      <c r="I49" s="46" t="inlineStr">
        <is>
          <t>허창수</t>
        </is>
      </c>
      <c r="K49" s="46" t="n">
        <v>48</v>
      </c>
      <c r="L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">
      <c r="A50" s="229" t="n">
        <v>45306</v>
      </c>
      <c r="B50" s="46" t="inlineStr">
        <is>
          <t>사용전검사</t>
        </is>
      </c>
      <c r="C50" s="46" t="inlineStr">
        <is>
          <t>김포지역</t>
        </is>
      </c>
      <c r="D50" s="46" t="inlineStr">
        <is>
          <t>김미선</t>
        </is>
      </c>
      <c r="E50" s="46" t="n">
        <v>62</v>
      </c>
      <c r="F50" s="46" t="inlineStr">
        <is>
          <t>학운리</t>
        </is>
      </c>
      <c r="G50" s="50" t="n"/>
      <c r="H50" s="51" t="n"/>
      <c r="I50" s="46" t="inlineStr">
        <is>
          <t>허창수</t>
        </is>
      </c>
      <c r="K50" s="46" t="n">
        <v>49</v>
      </c>
      <c r="L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">
      <c r="A51" s="229" t="n">
        <v>45307</v>
      </c>
      <c r="B51" s="46" t="inlineStr">
        <is>
          <t>정기검사</t>
        </is>
      </c>
      <c r="C51" s="46" t="inlineStr">
        <is>
          <t>부천지역</t>
        </is>
      </c>
      <c r="D51" s="46" t="inlineStr">
        <is>
          <t>젠터스</t>
        </is>
      </c>
      <c r="E51" s="46" t="n">
        <v>200</v>
      </c>
      <c r="F51" s="46" t="inlineStr">
        <is>
          <t>오정동</t>
        </is>
      </c>
      <c r="G51" s="50" t="n">
        <v>0.5</v>
      </c>
      <c r="H51" s="51" t="n">
        <v>456720</v>
      </c>
      <c r="I51" s="46" t="inlineStr">
        <is>
          <t>장현민</t>
        </is>
      </c>
      <c r="K51" s="46" t="n">
        <v>50</v>
      </c>
      <c r="L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">
      <c r="A52" s="229" t="n">
        <v>45307</v>
      </c>
      <c r="B52" s="46" t="inlineStr">
        <is>
          <t>정기검사</t>
        </is>
      </c>
      <c r="C52" s="46" t="inlineStr">
        <is>
          <t>김포지역</t>
        </is>
      </c>
      <c r="D52" s="46" t="inlineStr">
        <is>
          <t>성도기계</t>
        </is>
      </c>
      <c r="E52" s="46" t="n">
        <v>500</v>
      </c>
      <c r="F52" s="46" t="inlineStr">
        <is>
          <t>학운리</t>
        </is>
      </c>
      <c r="G52" s="50" t="n">
        <v>0.5277777777777778</v>
      </c>
      <c r="H52" s="51" t="n">
        <v>737000</v>
      </c>
      <c r="I52" s="46" t="inlineStr">
        <is>
          <t>정신배</t>
        </is>
      </c>
      <c r="K52" s="46" t="n">
        <v>51</v>
      </c>
      <c r="L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">
      <c r="A53" s="229" t="n">
        <v>45307</v>
      </c>
      <c r="B53" s="46" t="inlineStr">
        <is>
          <t>정기검사</t>
        </is>
      </c>
      <c r="C53" s="46" t="inlineStr">
        <is>
          <t>김포지역</t>
        </is>
      </c>
      <c r="D53" s="46" t="inlineStr">
        <is>
          <t>대림테크</t>
        </is>
      </c>
      <c r="E53" s="46" t="n">
        <v>540</v>
      </c>
      <c r="F53" s="46" t="inlineStr">
        <is>
          <t>유현리</t>
        </is>
      </c>
      <c r="G53" s="50" t="n">
        <v>0.4791666666666667</v>
      </c>
      <c r="H53" s="51" t="n">
        <v>750530</v>
      </c>
      <c r="I53" s="46" t="inlineStr">
        <is>
          <t>허창수</t>
        </is>
      </c>
      <c r="K53" s="46" t="n">
        <v>52</v>
      </c>
      <c r="L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">
      <c r="A54" s="229" t="n">
        <v>45307</v>
      </c>
      <c r="B54" s="46" t="inlineStr">
        <is>
          <t>정기검사</t>
        </is>
      </c>
      <c r="C54" s="46" t="inlineStr">
        <is>
          <t>김포지역</t>
        </is>
      </c>
      <c r="D54" s="46" t="inlineStr">
        <is>
          <t>현도산업</t>
        </is>
      </c>
      <c r="E54" s="46" t="n">
        <v>600</v>
      </c>
      <c r="F54" s="46" t="inlineStr">
        <is>
          <t>갈산리</t>
        </is>
      </c>
      <c r="G54" s="50" t="n">
        <v>0.5</v>
      </c>
      <c r="H54" s="51" t="n">
        <v>770880</v>
      </c>
      <c r="I54" s="46" t="inlineStr">
        <is>
          <t>김상규</t>
        </is>
      </c>
      <c r="K54" s="46" t="n">
        <v>53</v>
      </c>
      <c r="L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">
      <c r="A55" s="229" t="n">
        <v>45307</v>
      </c>
      <c r="B55" s="46" t="inlineStr">
        <is>
          <t>사용전검사</t>
        </is>
      </c>
      <c r="C55" s="46" t="inlineStr">
        <is>
          <t>부천지역</t>
        </is>
      </c>
      <c r="D55" s="46" t="inlineStr">
        <is>
          <t>옥길문화센터</t>
        </is>
      </c>
      <c r="E55" s="46" t="inlineStr">
        <is>
          <t>부분</t>
        </is>
      </c>
      <c r="F55" s="46" t="n"/>
      <c r="G55" s="50" t="n"/>
      <c r="H55" s="51" t="n"/>
      <c r="I55" s="46" t="inlineStr">
        <is>
          <t>민경수</t>
        </is>
      </c>
      <c r="K55" s="46" t="n">
        <v>54</v>
      </c>
      <c r="L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">
      <c r="A56" s="229" t="n">
        <v>45307</v>
      </c>
      <c r="B56" s="46" t="inlineStr">
        <is>
          <t>사용전검사</t>
        </is>
      </c>
      <c r="C56" s="46" t="inlineStr">
        <is>
          <t>부천지역</t>
        </is>
      </c>
      <c r="D56" s="46" t="inlineStr">
        <is>
          <t>구통완전기설비</t>
        </is>
      </c>
      <c r="E56" s="46" t="n">
        <v>290</v>
      </c>
      <c r="F56" s="46" t="inlineStr">
        <is>
          <t>내동</t>
        </is>
      </c>
      <c r="G56" s="50" t="n"/>
      <c r="H56" s="51" t="n"/>
      <c r="I56" s="46" t="inlineStr">
        <is>
          <t>우승택</t>
        </is>
      </c>
      <c r="K56" s="46" t="n">
        <v>55</v>
      </c>
      <c r="L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">
      <c r="A57" s="229" t="n">
        <v>45307</v>
      </c>
      <c r="B57" s="46" t="inlineStr">
        <is>
          <t>사용전검사</t>
        </is>
      </c>
      <c r="C57" s="46" t="inlineStr">
        <is>
          <t>부천지역</t>
        </is>
      </c>
      <c r="D57" s="46" t="inlineStr">
        <is>
          <t>프라임하이테크</t>
        </is>
      </c>
      <c r="E57" s="46" t="inlineStr">
        <is>
          <t>부분</t>
        </is>
      </c>
      <c r="F57" s="46" t="inlineStr">
        <is>
          <t>원미동</t>
        </is>
      </c>
      <c r="G57" s="50" t="n"/>
      <c r="H57" s="51" t="n"/>
      <c r="I57" s="46" t="inlineStr">
        <is>
          <t>김영권</t>
        </is>
      </c>
      <c r="K57" s="46" t="n">
        <v>56</v>
      </c>
      <c r="L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">
      <c r="A58" s="229" t="n">
        <v>45307</v>
      </c>
      <c r="B58" s="46" t="inlineStr">
        <is>
          <t>사용전검사</t>
        </is>
      </c>
      <c r="C58" s="46" t="inlineStr">
        <is>
          <t>부천지역</t>
        </is>
      </c>
      <c r="D58" s="46" t="inlineStr">
        <is>
          <t>부천시청</t>
        </is>
      </c>
      <c r="E58" s="46" t="inlineStr">
        <is>
          <t>부분</t>
        </is>
      </c>
      <c r="F58" s="46" t="n"/>
      <c r="G58" s="50" t="n"/>
      <c r="H58" s="51" t="n"/>
      <c r="I58" s="46" t="inlineStr">
        <is>
          <t>민경수</t>
        </is>
      </c>
      <c r="K58" s="46" t="n">
        <v>57</v>
      </c>
      <c r="L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">
      <c r="A59" s="229" t="n">
        <v>45307</v>
      </c>
      <c r="B59" s="46" t="inlineStr">
        <is>
          <t>메모</t>
        </is>
      </c>
      <c r="C59" s="46" t="inlineStr">
        <is>
          <t>부천지역</t>
        </is>
      </c>
      <c r="D59" s="46" t="inlineStr">
        <is>
          <t>송두기휴가</t>
        </is>
      </c>
      <c r="E59" s="46" t="n"/>
      <c r="F59" s="46" t="n"/>
      <c r="G59" s="50" t="n"/>
      <c r="H59" s="51" t="n"/>
      <c r="I59" s="46" t="n"/>
      <c r="K59" s="46" t="n">
        <v>58</v>
      </c>
      <c r="L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">
      <c r="A60" s="229" t="n">
        <v>45307</v>
      </c>
      <c r="B60" s="46" t="inlineStr">
        <is>
          <t>메모</t>
        </is>
      </c>
      <c r="C60" s="46" t="inlineStr">
        <is>
          <t>부천지역</t>
        </is>
      </c>
      <c r="D60" s="46" t="inlineStr">
        <is>
          <t>민재홍병가</t>
        </is>
      </c>
      <c r="E60" s="46" t="n"/>
      <c r="F60" s="46" t="n"/>
      <c r="G60" s="50" t="n"/>
      <c r="H60" s="51" t="n"/>
      <c r="I60" s="46" t="n"/>
      <c r="K60" s="46" t="n">
        <v>59</v>
      </c>
      <c r="L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">
      <c r="A61" s="229" t="n">
        <v>45307</v>
      </c>
      <c r="B61" s="46" t="inlineStr">
        <is>
          <t>메모</t>
        </is>
      </c>
      <c r="C61" s="46" t="inlineStr">
        <is>
          <t>부천지역</t>
        </is>
      </c>
      <c r="D61" s="46" t="inlineStr">
        <is>
          <t>이덕기휴가</t>
        </is>
      </c>
      <c r="E61" s="46" t="n"/>
      <c r="F61" s="46" t="n"/>
      <c r="G61" s="50" t="n"/>
      <c r="H61" s="51" t="n"/>
      <c r="I61" s="46" t="n"/>
      <c r="K61" s="46" t="n">
        <v>60</v>
      </c>
      <c r="L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">
      <c r="A62" s="229" t="n">
        <v>45307</v>
      </c>
      <c r="B62" s="46" t="inlineStr">
        <is>
          <t>사용전검사</t>
        </is>
      </c>
      <c r="C62" s="46" t="inlineStr">
        <is>
          <t>김포지역</t>
        </is>
      </c>
      <c r="D62" s="46" t="inlineStr">
        <is>
          <t>롯데건비</t>
        </is>
      </c>
      <c r="E62" s="46" t="n">
        <v>500</v>
      </c>
      <c r="F62" s="46" t="inlineStr">
        <is>
          <t>풍무동</t>
        </is>
      </c>
      <c r="G62" s="50" t="n"/>
      <c r="H62" s="51" t="n"/>
      <c r="I62" s="46" t="inlineStr">
        <is>
          <t>서수형</t>
        </is>
      </c>
      <c r="K62" s="46" t="n">
        <v>61</v>
      </c>
      <c r="L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">
      <c r="A63" s="229" t="n">
        <v>45307</v>
      </c>
      <c r="B63" s="46" t="inlineStr">
        <is>
          <t>사용전검사</t>
        </is>
      </c>
      <c r="C63" s="46" t="inlineStr">
        <is>
          <t>김포지역</t>
        </is>
      </c>
      <c r="D63" s="46" t="inlineStr">
        <is>
          <t>감미옥</t>
        </is>
      </c>
      <c r="E63" s="46" t="n">
        <v>99</v>
      </c>
      <c r="F63" s="46" t="inlineStr">
        <is>
          <t>학운리</t>
        </is>
      </c>
      <c r="G63" s="50" t="n"/>
      <c r="H63" s="51" t="n"/>
      <c r="I63" s="46" t="inlineStr">
        <is>
          <t>김영권</t>
        </is>
      </c>
      <c r="K63" s="46" t="n">
        <v>62</v>
      </c>
      <c r="L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">
      <c r="A64" s="229" t="n">
        <v>45308</v>
      </c>
      <c r="B64" s="46" t="inlineStr">
        <is>
          <t>정기검사</t>
        </is>
      </c>
      <c r="C64" s="46" t="inlineStr">
        <is>
          <t>김포지역</t>
        </is>
      </c>
      <c r="D64" s="46" t="inlineStr">
        <is>
          <t>미래폴리켐</t>
        </is>
      </c>
      <c r="E64" s="46" t="n">
        <v>580</v>
      </c>
      <c r="F64" s="46" t="inlineStr">
        <is>
          <t>귀전리</t>
        </is>
      </c>
      <c r="G64" s="50" t="n">
        <v>0.4166666666666667</v>
      </c>
      <c r="H64" s="51" t="n">
        <v>993300</v>
      </c>
      <c r="I64" s="46" t="inlineStr">
        <is>
          <t>당효진</t>
        </is>
      </c>
      <c r="K64" s="46" t="n">
        <v>63</v>
      </c>
      <c r="L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">
      <c r="A65" s="229" t="n">
        <v>45308</v>
      </c>
      <c r="B65" s="46" t="inlineStr">
        <is>
          <t>메모</t>
        </is>
      </c>
      <c r="C65" s="46" t="inlineStr">
        <is>
          <t>부천지역</t>
        </is>
      </c>
      <c r="D65" s="46" t="inlineStr">
        <is>
          <t>우승택휴가</t>
        </is>
      </c>
      <c r="E65" s="46" t="n"/>
      <c r="F65" s="46" t="n"/>
      <c r="G65" s="50" t="n"/>
      <c r="H65" s="51" t="n"/>
      <c r="I65" s="46" t="n"/>
      <c r="K65" s="46" t="n">
        <v>64</v>
      </c>
      <c r="L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">
      <c r="A66" s="229" t="n">
        <v>45308</v>
      </c>
      <c r="B66" s="46" t="inlineStr">
        <is>
          <t>메모</t>
        </is>
      </c>
      <c r="C66" s="46" t="inlineStr">
        <is>
          <t>부천지역</t>
        </is>
      </c>
      <c r="D66" s="46" t="inlineStr">
        <is>
          <t>민재홍병가</t>
        </is>
      </c>
      <c r="E66" s="46" t="n"/>
      <c r="F66" s="46" t="n"/>
      <c r="G66" s="50" t="n"/>
      <c r="H66" s="51" t="n"/>
      <c r="I66" s="46" t="n"/>
      <c r="K66" s="46" t="n">
        <v>65</v>
      </c>
      <c r="L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">
      <c r="A67" s="229" t="n">
        <v>45308</v>
      </c>
      <c r="B67" s="46" t="inlineStr">
        <is>
          <t>메모</t>
        </is>
      </c>
      <c r="C67" s="46" t="inlineStr">
        <is>
          <t>부천지역</t>
        </is>
      </c>
      <c r="D67" s="46" t="inlineStr">
        <is>
          <t>허창수휴가</t>
        </is>
      </c>
      <c r="E67" s="46" t="n"/>
      <c r="F67" s="46" t="n"/>
      <c r="G67" s="50" t="n"/>
      <c r="H67" s="51" t="n"/>
      <c r="I67" s="46" t="n"/>
      <c r="K67" s="46" t="n">
        <v>66</v>
      </c>
      <c r="L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">
      <c r="A68" s="229" t="n">
        <v>45308</v>
      </c>
      <c r="B68" s="46" t="inlineStr">
        <is>
          <t>메모</t>
        </is>
      </c>
      <c r="C68" s="46" t="inlineStr">
        <is>
          <t>부천지역</t>
        </is>
      </c>
      <c r="D68" s="46" t="inlineStr">
        <is>
          <t>이덕기휴가</t>
        </is>
      </c>
      <c r="E68" s="46" t="n"/>
      <c r="F68" s="46" t="n"/>
      <c r="G68" s="50" t="n"/>
      <c r="H68" s="51" t="n"/>
      <c r="I68" s="46" t="n"/>
      <c r="K68" s="46" t="n">
        <v>67</v>
      </c>
      <c r="L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">
      <c r="A69" s="229" t="n">
        <v>45308</v>
      </c>
      <c r="B69" s="46" t="inlineStr">
        <is>
          <t>사용전검사</t>
        </is>
      </c>
      <c r="C69" s="46" t="inlineStr">
        <is>
          <t>김포지역</t>
        </is>
      </c>
      <c r="D69" s="46" t="inlineStr">
        <is>
          <t>분진중학교</t>
        </is>
      </c>
      <c r="E69" s="46" t="n"/>
      <c r="F69" s="46" t="n"/>
      <c r="G69" s="50" t="n"/>
      <c r="H69" s="51" t="n"/>
      <c r="I69" s="46" t="inlineStr">
        <is>
          <t>이종석</t>
        </is>
      </c>
      <c r="K69" s="46" t="n">
        <v>68</v>
      </c>
      <c r="L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">
      <c r="A70" s="229" t="n">
        <v>45310</v>
      </c>
      <c r="B70" s="46" t="inlineStr">
        <is>
          <t>정기검사</t>
        </is>
      </c>
      <c r="C70" s="46" t="inlineStr">
        <is>
          <t>부천지역</t>
        </is>
      </c>
      <c r="D70" s="46" t="inlineStr">
        <is>
          <t>심곡비반트</t>
        </is>
      </c>
      <c r="E70" s="46" t="inlineStr">
        <is>
          <t>750/364</t>
        </is>
      </c>
      <c r="F70" s="46" t="inlineStr">
        <is>
          <t>심곡본동</t>
        </is>
      </c>
      <c r="G70" s="50" t="n">
        <v>0.3958333333333333</v>
      </c>
      <c r="H70" s="51" t="n">
        <v>891000</v>
      </c>
      <c r="I70" s="46" t="inlineStr">
        <is>
          <t>서수형</t>
        </is>
      </c>
      <c r="K70" s="46" t="n">
        <v>69</v>
      </c>
      <c r="L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">
      <c r="A71" s="229" t="n">
        <v>45310</v>
      </c>
      <c r="B71" s="46" t="inlineStr">
        <is>
          <t>정기검사</t>
        </is>
      </c>
      <c r="C71" s="46" t="inlineStr">
        <is>
          <t>부천지역</t>
        </is>
      </c>
      <c r="D71" s="46" t="inlineStr">
        <is>
          <t>강한립</t>
        </is>
      </c>
      <c r="E71" s="46" t="n">
        <v>6</v>
      </c>
      <c r="F71" s="46" t="inlineStr">
        <is>
          <t>중동</t>
        </is>
      </c>
      <c r="G71" s="50" t="n">
        <v>0</v>
      </c>
      <c r="H71" s="51" t="n">
        <v>90200</v>
      </c>
      <c r="I71" s="46" t="inlineStr">
        <is>
          <t>허창수</t>
        </is>
      </c>
      <c r="K71" s="46" t="n">
        <v>70</v>
      </c>
      <c r="L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">
      <c r="A72" s="229" t="n">
        <v>45310</v>
      </c>
      <c r="B72" s="46" t="inlineStr">
        <is>
          <t>정기검사</t>
        </is>
      </c>
      <c r="C72" s="46" t="inlineStr">
        <is>
          <t>부천지역</t>
        </is>
      </c>
      <c r="D72" s="46" t="inlineStr">
        <is>
          <t>별빛마루도서관</t>
        </is>
      </c>
      <c r="E72" s="46" t="n">
        <v>30</v>
      </c>
      <c r="F72" s="46" t="inlineStr">
        <is>
          <t>중동</t>
        </is>
      </c>
      <c r="G72" s="50" t="n">
        <v>0.4166666666666667</v>
      </c>
      <c r="H72" s="51" t="n">
        <v>182380</v>
      </c>
      <c r="I72" s="46" t="inlineStr">
        <is>
          <t>이덕기</t>
        </is>
      </c>
      <c r="K72" s="46" t="n">
        <v>71</v>
      </c>
      <c r="L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">
      <c r="A73" s="229" t="n">
        <v>45310</v>
      </c>
      <c r="B73" s="46" t="inlineStr">
        <is>
          <t>정기검사</t>
        </is>
      </c>
      <c r="C73" s="46" t="inlineStr">
        <is>
          <t>김포지역</t>
        </is>
      </c>
      <c r="D73" s="46" t="inlineStr">
        <is>
          <t>하늘빛중</t>
        </is>
      </c>
      <c r="E73" s="46" t="inlineStr">
        <is>
          <t>600/120</t>
        </is>
      </c>
      <c r="F73" s="46" t="inlineStr">
        <is>
          <t>운양동</t>
        </is>
      </c>
      <c r="G73" s="50" t="n">
        <v>0.5625</v>
      </c>
      <c r="H73" s="51" t="n">
        <v>1047420</v>
      </c>
      <c r="I73" s="46" t="inlineStr">
        <is>
          <t>이종석</t>
        </is>
      </c>
      <c r="K73" s="46" t="n">
        <v>72</v>
      </c>
      <c r="L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">
      <c r="A74" s="229" t="n">
        <v>45310</v>
      </c>
      <c r="B74" s="46" t="inlineStr">
        <is>
          <t>사용전검사</t>
        </is>
      </c>
      <c r="C74" s="46" t="inlineStr">
        <is>
          <t>부천지역</t>
        </is>
      </c>
      <c r="D74" s="46" t="inlineStr">
        <is>
          <t>홍승오</t>
        </is>
      </c>
      <c r="E74" s="46" t="n">
        <v>35</v>
      </c>
      <c r="F74" s="46" t="inlineStr">
        <is>
          <t>고강동</t>
        </is>
      </c>
      <c r="G74" s="50" t="n"/>
      <c r="H74" s="51" t="n"/>
      <c r="I74" s="46" t="inlineStr">
        <is>
          <t>우승택</t>
        </is>
      </c>
      <c r="K74" s="46" t="n">
        <v>73</v>
      </c>
      <c r="L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">
      <c r="A75" s="229" t="n">
        <v>45310</v>
      </c>
      <c r="B75" s="46" t="inlineStr">
        <is>
          <t>사용전검사</t>
        </is>
      </c>
      <c r="C75" s="46" t="inlineStr">
        <is>
          <t>부천지역</t>
        </is>
      </c>
      <c r="D75" s="46" t="inlineStr">
        <is>
          <t>하이룩스</t>
        </is>
      </c>
      <c r="E75" s="46" t="inlineStr">
        <is>
          <t>변변</t>
        </is>
      </c>
      <c r="F75" s="46" t="inlineStr">
        <is>
          <t>고강동</t>
        </is>
      </c>
      <c r="G75" s="50" t="n"/>
      <c r="H75" s="51" t="n"/>
      <c r="I75" s="46" t="inlineStr">
        <is>
          <t>송낙명</t>
        </is>
      </c>
      <c r="K75" s="46" t="n">
        <v>74</v>
      </c>
      <c r="L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">
      <c r="A76" s="229" t="n">
        <v>45310</v>
      </c>
      <c r="B76" s="46" t="inlineStr">
        <is>
          <t>메모</t>
        </is>
      </c>
      <c r="C76" s="46" t="inlineStr">
        <is>
          <t>부천지역</t>
        </is>
      </c>
      <c r="D76" s="46" t="inlineStr">
        <is>
          <t>민재홍병가</t>
        </is>
      </c>
      <c r="E76" s="46" t="n"/>
      <c r="F76" s="46" t="n"/>
      <c r="G76" s="50" t="n"/>
      <c r="H76" s="51" t="n"/>
      <c r="I76" s="46" t="n"/>
      <c r="K76" s="46" t="n">
        <v>75</v>
      </c>
      <c r="L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">
      <c r="A77" s="229" t="n">
        <v>45310</v>
      </c>
      <c r="B77" s="46" t="inlineStr">
        <is>
          <t>사용전검사</t>
        </is>
      </c>
      <c r="C77" s="46" t="inlineStr">
        <is>
          <t>김포지역</t>
        </is>
      </c>
      <c r="D77" s="46" t="inlineStr">
        <is>
          <t>태원태양광</t>
        </is>
      </c>
      <c r="E77" s="46" t="n">
        <v>89</v>
      </c>
      <c r="F77" s="46" t="inlineStr">
        <is>
          <t>옹정리</t>
        </is>
      </c>
      <c r="G77" s="50" t="n"/>
      <c r="H77" s="51" t="n"/>
      <c r="I77" s="46" t="inlineStr">
        <is>
          <t>송두기</t>
        </is>
      </c>
      <c r="K77" s="46" t="n">
        <v>76</v>
      </c>
      <c r="L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">
      <c r="A78" s="229" t="n">
        <v>45311</v>
      </c>
      <c r="B78" s="46" t="inlineStr">
        <is>
          <t>정기검사</t>
        </is>
      </c>
      <c r="C78" s="46" t="inlineStr">
        <is>
          <t>부천지역</t>
        </is>
      </c>
      <c r="D78" s="46" t="inlineStr">
        <is>
          <t>안일빌딩</t>
        </is>
      </c>
      <c r="E78" s="46" t="n">
        <v>6</v>
      </c>
      <c r="F78" s="46" t="inlineStr">
        <is>
          <t>역곡동</t>
        </is>
      </c>
      <c r="G78" s="50" t="n"/>
      <c r="H78" s="51" t="n">
        <v>178530</v>
      </c>
      <c r="I78" s="46" t="inlineStr">
        <is>
          <t>김상규</t>
        </is>
      </c>
      <c r="K78" s="46" t="n">
        <v>77</v>
      </c>
      <c r="L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">
      <c r="A79" s="229" t="n">
        <v>45311</v>
      </c>
      <c r="B79" s="46" t="inlineStr">
        <is>
          <t>정기검사</t>
        </is>
      </c>
      <c r="C79" s="46" t="inlineStr">
        <is>
          <t>부천지역</t>
        </is>
      </c>
      <c r="D79" s="46" t="inlineStr">
        <is>
          <t>마이크로텍</t>
        </is>
      </c>
      <c r="E79" s="46" t="n">
        <v>700</v>
      </c>
      <c r="F79" s="46" t="inlineStr">
        <is>
          <t>내동</t>
        </is>
      </c>
      <c r="G79" s="50" t="n">
        <v>0.4791666666666667</v>
      </c>
      <c r="H79" s="51" t="n">
        <v>804760</v>
      </c>
      <c r="I79" s="46" t="inlineStr">
        <is>
          <t>송낙명</t>
        </is>
      </c>
      <c r="K79" s="46" t="n">
        <v>78</v>
      </c>
      <c r="L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">
      <c r="A80" s="229" t="n">
        <v>45311</v>
      </c>
      <c r="B80" s="46" t="inlineStr">
        <is>
          <t>정기검사</t>
        </is>
      </c>
      <c r="C80" s="46" t="inlineStr">
        <is>
          <t>김포지역</t>
        </is>
      </c>
      <c r="D80" s="46" t="inlineStr">
        <is>
          <t>이편한세상</t>
        </is>
      </c>
      <c r="E80" s="46" t="n">
        <v>58</v>
      </c>
      <c r="F80" s="46" t="inlineStr">
        <is>
          <t>마산동</t>
        </is>
      </c>
      <c r="G80" s="50" t="n">
        <v>0.4166666666666667</v>
      </c>
      <c r="H80" s="51" t="n">
        <v>212190</v>
      </c>
      <c r="I80" s="46" t="inlineStr">
        <is>
          <t>허창수</t>
        </is>
      </c>
      <c r="K80" s="46" t="n">
        <v>79</v>
      </c>
      <c r="L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">
      <c r="A81" s="229" t="n">
        <v>45311</v>
      </c>
      <c r="B81" s="46" t="inlineStr">
        <is>
          <t>정기검사</t>
        </is>
      </c>
      <c r="C81" s="46" t="inlineStr">
        <is>
          <t>김포지역</t>
        </is>
      </c>
      <c r="D81" s="46" t="inlineStr">
        <is>
          <t>새솔학교</t>
        </is>
      </c>
      <c r="E81" s="46" t="inlineStr">
        <is>
          <t>750/106.2</t>
        </is>
      </c>
      <c r="F81" s="46" t="inlineStr">
        <is>
          <t>장기동</t>
        </is>
      </c>
      <c r="G81" s="50" t="n">
        <v>0.4583333333333333</v>
      </c>
      <c r="H81" s="51" t="n">
        <v>1084050</v>
      </c>
      <c r="I81" s="46" t="inlineStr">
        <is>
          <t>서수형</t>
        </is>
      </c>
      <c r="K81" s="46" t="n">
        <v>80</v>
      </c>
      <c r="L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">
      <c r="A82" s="229" t="n">
        <v>45311</v>
      </c>
      <c r="B82" s="46" t="inlineStr">
        <is>
          <t>정기검사</t>
        </is>
      </c>
      <c r="C82" s="46" t="inlineStr">
        <is>
          <t>김포지역</t>
        </is>
      </c>
      <c r="D82" s="46" t="inlineStr">
        <is>
          <t>와트레인</t>
        </is>
      </c>
      <c r="E82" s="46" t="n">
        <v>200</v>
      </c>
      <c r="F82" s="46" t="inlineStr">
        <is>
          <t>학운리</t>
        </is>
      </c>
      <c r="G82" s="50" t="n">
        <v>0.4166666666666667</v>
      </c>
      <c r="H82" s="51" t="n">
        <v>456720</v>
      </c>
      <c r="I82" s="46" t="inlineStr">
        <is>
          <t>김영권</t>
        </is>
      </c>
      <c r="K82" s="46" t="n">
        <v>81</v>
      </c>
      <c r="L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">
      <c r="A83" s="229" t="n">
        <v>45311</v>
      </c>
      <c r="B83" s="46" t="inlineStr">
        <is>
          <t>정기검사</t>
        </is>
      </c>
      <c r="C83" s="46" t="inlineStr">
        <is>
          <t>김포지역</t>
        </is>
      </c>
      <c r="D83" s="46" t="inlineStr">
        <is>
          <t>공간창조</t>
        </is>
      </c>
      <c r="E83" s="46" t="n">
        <v>250</v>
      </c>
      <c r="F83" s="46" t="inlineStr">
        <is>
          <t>가현리</t>
        </is>
      </c>
      <c r="G83" s="50" t="n">
        <v>0.4791666666666667</v>
      </c>
      <c r="H83" s="51" t="n">
        <v>489170</v>
      </c>
      <c r="I83" s="46" t="inlineStr">
        <is>
          <t>이종석</t>
        </is>
      </c>
      <c r="K83" s="46" t="n">
        <v>82</v>
      </c>
      <c r="L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">
      <c r="A84" s="229" t="n">
        <v>45311</v>
      </c>
      <c r="B84" s="46" t="inlineStr">
        <is>
          <t>사용전검사</t>
        </is>
      </c>
      <c r="C84" s="46" t="inlineStr">
        <is>
          <t>부천지역</t>
        </is>
      </c>
      <c r="D84" s="46" t="inlineStr">
        <is>
          <t>까치울초</t>
        </is>
      </c>
      <c r="E84" s="46" t="n">
        <v>90</v>
      </c>
      <c r="F84" s="46" t="inlineStr">
        <is>
          <t>작동</t>
        </is>
      </c>
      <c r="G84" s="50" t="n"/>
      <c r="H84" s="51" t="n"/>
      <c r="I84" s="46" t="inlineStr">
        <is>
          <t>장현민</t>
        </is>
      </c>
      <c r="K84" s="46" t="n">
        <v>83</v>
      </c>
      <c r="L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">
      <c r="A85" s="229" t="n">
        <v>45311</v>
      </c>
      <c r="B85" s="46" t="inlineStr">
        <is>
          <t>사용전검사</t>
        </is>
      </c>
      <c r="C85" s="46" t="inlineStr">
        <is>
          <t>부천지역</t>
        </is>
      </c>
      <c r="D85" s="46" t="inlineStr">
        <is>
          <t>에이피위성</t>
        </is>
      </c>
      <c r="E85" s="46" t="inlineStr">
        <is>
          <t>재검사</t>
        </is>
      </c>
      <c r="F85" s="46" t="n"/>
      <c r="G85" s="50" t="n"/>
      <c r="H85" s="51" t="n"/>
      <c r="I85" s="46" t="inlineStr">
        <is>
          <t>이덕기</t>
        </is>
      </c>
      <c r="K85" s="46" t="n">
        <v>84</v>
      </c>
      <c r="L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">
      <c r="A86" s="229" t="n">
        <v>45311</v>
      </c>
      <c r="B86" s="46" t="inlineStr">
        <is>
          <t>사용전검사</t>
        </is>
      </c>
      <c r="C86" s="46" t="inlineStr">
        <is>
          <t>부천지역</t>
        </is>
      </c>
      <c r="D86" s="46" t="inlineStr">
        <is>
          <t>엘림교회</t>
        </is>
      </c>
      <c r="E86" s="46" t="n">
        <v>5</v>
      </c>
      <c r="F86" s="46" t="inlineStr">
        <is>
          <t>중동</t>
        </is>
      </c>
      <c r="G86" s="50" t="n"/>
      <c r="H86" s="51" t="n"/>
      <c r="I86" s="46" t="inlineStr">
        <is>
          <t>우승택</t>
        </is>
      </c>
      <c r="K86" s="46" t="n">
        <v>85</v>
      </c>
      <c r="L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">
      <c r="A87" s="229" t="n">
        <v>45311</v>
      </c>
      <c r="B87" s="46" t="inlineStr">
        <is>
          <t>사용전검사</t>
        </is>
      </c>
      <c r="C87" s="46" t="inlineStr">
        <is>
          <t>부천지역</t>
        </is>
      </c>
      <c r="D87" s="46" t="inlineStr">
        <is>
          <t>우남빌딩</t>
        </is>
      </c>
      <c r="E87" s="46" t="n">
        <v>7</v>
      </c>
      <c r="F87" s="46" t="inlineStr">
        <is>
          <t>도당동</t>
        </is>
      </c>
      <c r="G87" s="50" t="n"/>
      <c r="H87" s="51" t="n"/>
      <c r="I87" s="46" t="inlineStr">
        <is>
          <t>우승택</t>
        </is>
      </c>
      <c r="K87" s="46" t="n">
        <v>86</v>
      </c>
      <c r="L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">
      <c r="A88" s="229" t="n">
        <v>45311</v>
      </c>
      <c r="B88" s="46" t="inlineStr">
        <is>
          <t>메모</t>
        </is>
      </c>
      <c r="C88" s="46" t="inlineStr">
        <is>
          <t>부천지역</t>
        </is>
      </c>
      <c r="D88" s="46" t="inlineStr">
        <is>
          <t>민재홍병가</t>
        </is>
      </c>
      <c r="E88" s="46" t="n"/>
      <c r="F88" s="46" t="n"/>
      <c r="G88" s="50" t="n"/>
      <c r="H88" s="51" t="n"/>
      <c r="I88" s="46" t="n"/>
      <c r="K88" s="46" t="n">
        <v>87</v>
      </c>
      <c r="L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">
      <c r="A89" s="229" t="n">
        <v>45311</v>
      </c>
      <c r="B89" s="46" t="inlineStr">
        <is>
          <t>사용전검사</t>
        </is>
      </c>
      <c r="C89" s="46" t="inlineStr">
        <is>
          <t>김포지역</t>
        </is>
      </c>
      <c r="D89" s="46" t="inlineStr">
        <is>
          <t>가연4호</t>
        </is>
      </c>
      <c r="E89" s="46" t="n">
        <v>89</v>
      </c>
      <c r="F89" s="46" t="inlineStr">
        <is>
          <t>대벽리</t>
        </is>
      </c>
      <c r="G89" s="50" t="n"/>
      <c r="H89" s="51" t="n"/>
      <c r="I89" s="46" t="inlineStr">
        <is>
          <t>민경수</t>
        </is>
      </c>
      <c r="K89" s="46" t="n">
        <v>88</v>
      </c>
      <c r="L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">
      <c r="A90" s="229" t="n">
        <v>45311</v>
      </c>
      <c r="B90" s="46" t="inlineStr">
        <is>
          <t>사용전검사</t>
        </is>
      </c>
      <c r="C90" s="46" t="inlineStr">
        <is>
          <t>김포지역</t>
        </is>
      </c>
      <c r="D90" s="46" t="inlineStr">
        <is>
          <t>가연5호</t>
        </is>
      </c>
      <c r="E90" s="46" t="n">
        <v>90</v>
      </c>
      <c r="F90" s="46" t="inlineStr">
        <is>
          <t>대벽리</t>
        </is>
      </c>
      <c r="G90" s="50" t="n"/>
      <c r="H90" s="51" t="n"/>
      <c r="I90" s="46" t="inlineStr">
        <is>
          <t>민경수</t>
        </is>
      </c>
      <c r="K90" s="46" t="n">
        <v>89</v>
      </c>
      <c r="L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">
      <c r="A91" s="229" t="n">
        <v>45311</v>
      </c>
      <c r="B91" s="46" t="inlineStr">
        <is>
          <t>사용전검사</t>
        </is>
      </c>
      <c r="C91" s="46" t="inlineStr">
        <is>
          <t>김포지역</t>
        </is>
      </c>
      <c r="D91" s="46" t="inlineStr">
        <is>
          <t>가연6호</t>
        </is>
      </c>
      <c r="E91" s="46" t="n">
        <v>91</v>
      </c>
      <c r="F91" s="46" t="inlineStr">
        <is>
          <t>대벽리</t>
        </is>
      </c>
      <c r="G91" s="50" t="n"/>
      <c r="H91" s="51" t="n"/>
      <c r="I91" s="46" t="inlineStr">
        <is>
          <t>송두기</t>
        </is>
      </c>
      <c r="K91" s="46" t="n">
        <v>90</v>
      </c>
      <c r="L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">
      <c r="A92" s="229" t="n">
        <v>45311</v>
      </c>
      <c r="B92" s="46" t="inlineStr">
        <is>
          <t>사용전검사</t>
        </is>
      </c>
      <c r="C92" s="46" t="inlineStr">
        <is>
          <t>김포지역</t>
        </is>
      </c>
      <c r="D92" s="46" t="inlineStr">
        <is>
          <t>가연7호</t>
        </is>
      </c>
      <c r="E92" s="46" t="n">
        <v>92</v>
      </c>
      <c r="F92" s="46" t="inlineStr">
        <is>
          <t>대벽리</t>
        </is>
      </c>
      <c r="G92" s="50" t="n"/>
      <c r="H92" s="51" t="n"/>
      <c r="I92" s="46" t="inlineStr">
        <is>
          <t>송두기</t>
        </is>
      </c>
      <c r="K92" s="46" t="n">
        <v>91</v>
      </c>
      <c r="L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">
      <c r="A93" s="229" t="n">
        <v>45311</v>
      </c>
      <c r="B93" s="46" t="inlineStr">
        <is>
          <t>사용전검사</t>
        </is>
      </c>
      <c r="C93" s="46" t="inlineStr">
        <is>
          <t>김포지역</t>
        </is>
      </c>
      <c r="D93" s="46" t="inlineStr">
        <is>
          <t>가연8호</t>
        </is>
      </c>
      <c r="E93" s="46" t="n">
        <v>93</v>
      </c>
      <c r="F93" s="46" t="inlineStr">
        <is>
          <t>대벽리</t>
        </is>
      </c>
      <c r="G93" s="50" t="n"/>
      <c r="H93" s="51" t="n"/>
      <c r="I93" s="46" t="inlineStr">
        <is>
          <t>송두기</t>
        </is>
      </c>
      <c r="K93" s="46" t="n">
        <v>92</v>
      </c>
      <c r="L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">
      <c r="A94" s="229" t="n">
        <v>45311</v>
      </c>
      <c r="B94" s="46" t="inlineStr">
        <is>
          <t>메모</t>
        </is>
      </c>
      <c r="C94" s="46" t="inlineStr">
        <is>
          <t>김포지역</t>
        </is>
      </c>
      <c r="D94" s="46" t="inlineStr">
        <is>
          <t>김포교육지원청</t>
        </is>
      </c>
      <c r="E94" s="46" t="n">
        <v>102</v>
      </c>
      <c r="F94" s="46" t="inlineStr">
        <is>
          <t>양곡리</t>
        </is>
      </c>
      <c r="G94" s="50" t="n"/>
      <c r="H94" s="51" t="n"/>
      <c r="I94" s="46" t="inlineStr">
        <is>
          <t>당효진</t>
        </is>
      </c>
      <c r="K94" s="46" t="n">
        <v>93</v>
      </c>
      <c r="L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">
      <c r="A95" s="229" t="n">
        <v>45311</v>
      </c>
      <c r="B95" s="46" t="inlineStr">
        <is>
          <t>메모</t>
        </is>
      </c>
      <c r="C95" s="46" t="inlineStr">
        <is>
          <t>김포지역</t>
        </is>
      </c>
      <c r="D95" s="46" t="inlineStr">
        <is>
          <t>김포교육지원청</t>
        </is>
      </c>
      <c r="E95" s="46" t="n">
        <v>103</v>
      </c>
      <c r="F95" s="46" t="inlineStr">
        <is>
          <t>양곡리</t>
        </is>
      </c>
      <c r="G95" s="50" t="n"/>
      <c r="H95" s="51" t="n"/>
      <c r="I95" s="46" t="inlineStr">
        <is>
          <t>당효진</t>
        </is>
      </c>
      <c r="K95" s="46" t="n">
        <v>94</v>
      </c>
      <c r="L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">
      <c r="A96" s="229" t="n">
        <v>45312</v>
      </c>
      <c r="B96" s="46" t="inlineStr">
        <is>
          <t>정기검사</t>
        </is>
      </c>
      <c r="C96" s="46" t="inlineStr">
        <is>
          <t>부천지역</t>
        </is>
      </c>
      <c r="D96" s="46" t="inlineStr">
        <is>
          <t>비앤비</t>
        </is>
      </c>
      <c r="E96" s="46" t="n">
        <v>300</v>
      </c>
      <c r="F96" s="46" t="inlineStr">
        <is>
          <t>역곡동</t>
        </is>
      </c>
      <c r="G96" s="50" t="n">
        <v>0.4166666666666667</v>
      </c>
      <c r="H96" s="51" t="n">
        <v>62700</v>
      </c>
      <c r="I96" s="46" t="inlineStr">
        <is>
          <t>송낙명</t>
        </is>
      </c>
      <c r="K96" s="46" t="n">
        <v>95</v>
      </c>
      <c r="L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">
      <c r="A97" s="229" t="n">
        <v>45312</v>
      </c>
      <c r="B97" s="46" t="inlineStr">
        <is>
          <t>정기검사</t>
        </is>
      </c>
      <c r="C97" s="46" t="inlineStr">
        <is>
          <t>부천지역</t>
        </is>
      </c>
      <c r="D97" s="46" t="inlineStr">
        <is>
          <t>컨설팅지원</t>
        </is>
      </c>
      <c r="E97" s="46" t="n">
        <v>290</v>
      </c>
      <c r="F97" s="46" t="inlineStr">
        <is>
          <t>도당동</t>
        </is>
      </c>
      <c r="G97" s="50" t="n">
        <v>0.5</v>
      </c>
      <c r="H97" s="51" t="n">
        <v>515130</v>
      </c>
      <c r="I97" s="46" t="inlineStr">
        <is>
          <t>김영권</t>
        </is>
      </c>
      <c r="K97" s="46" t="n">
        <v>96</v>
      </c>
      <c r="L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">
      <c r="A98" s="229" t="n">
        <v>45312</v>
      </c>
      <c r="B98" s="46" t="inlineStr">
        <is>
          <t>정기검사</t>
        </is>
      </c>
      <c r="C98" s="46" t="inlineStr">
        <is>
          <t>부천지역</t>
        </is>
      </c>
      <c r="D98" s="46" t="inlineStr">
        <is>
          <t>골든it타워</t>
        </is>
      </c>
      <c r="E98" s="46" t="n">
        <v>67</v>
      </c>
      <c r="F98" s="46" t="inlineStr">
        <is>
          <t>옥길동</t>
        </is>
      </c>
      <c r="G98" s="50" t="n">
        <v>0.3958333333333333</v>
      </c>
      <c r="H98" s="51" t="n">
        <v>221430</v>
      </c>
      <c r="I98" s="46" t="inlineStr">
        <is>
          <t>김상규</t>
        </is>
      </c>
      <c r="K98" s="46" t="n">
        <v>97</v>
      </c>
      <c r="L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">
      <c r="A99" s="229" t="n">
        <v>45312</v>
      </c>
      <c r="B99" s="46" t="inlineStr">
        <is>
          <t>정기검사</t>
        </is>
      </c>
      <c r="C99" s="46" t="inlineStr">
        <is>
          <t>부천지역</t>
        </is>
      </c>
      <c r="D99" s="46" t="inlineStr">
        <is>
          <t>에이스프라자</t>
        </is>
      </c>
      <c r="E99" s="46" t="n">
        <v>250</v>
      </c>
      <c r="F99" s="46" t="inlineStr">
        <is>
          <t>도당동</t>
        </is>
      </c>
      <c r="G99" s="50" t="n">
        <v>0.3958333333333333</v>
      </c>
      <c r="H99" s="51" t="n">
        <v>489170</v>
      </c>
      <c r="I99" s="46" t="inlineStr">
        <is>
          <t>허창수</t>
        </is>
      </c>
      <c r="K99" s="46" t="n">
        <v>98</v>
      </c>
      <c r="L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">
      <c r="A100" s="229" t="n">
        <v>45312</v>
      </c>
      <c r="B100" s="46" t="inlineStr">
        <is>
          <t>정기검사</t>
        </is>
      </c>
      <c r="C100" s="46" t="inlineStr">
        <is>
          <t>김포지역</t>
        </is>
      </c>
      <c r="D100" s="46" t="inlineStr">
        <is>
          <t>비에이치포장</t>
        </is>
      </c>
      <c r="E100" s="46" t="n">
        <v>290</v>
      </c>
      <c r="F100" s="46" t="inlineStr">
        <is>
          <t>송마리</t>
        </is>
      </c>
      <c r="G100" s="50" t="n">
        <v>0.5</v>
      </c>
      <c r="H100" s="51" t="n">
        <v>515130</v>
      </c>
      <c r="I100" s="46" t="inlineStr">
        <is>
          <t>서수형</t>
        </is>
      </c>
      <c r="K100" s="46" t="n">
        <v>99</v>
      </c>
      <c r="L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">
      <c r="A101" s="229" t="n">
        <v>45312</v>
      </c>
      <c r="B101" s="46" t="inlineStr">
        <is>
          <t>정기검사</t>
        </is>
      </c>
      <c r="C101" s="46" t="inlineStr">
        <is>
          <t>김포지역</t>
        </is>
      </c>
      <c r="D101" s="46" t="inlineStr">
        <is>
          <t>고촌고</t>
        </is>
      </c>
      <c r="E101" s="46" t="n">
        <v>750</v>
      </c>
      <c r="F101" s="46" t="inlineStr">
        <is>
          <t>태리</t>
        </is>
      </c>
      <c r="G101" s="50" t="n">
        <v>0.5</v>
      </c>
      <c r="H101" s="51" t="n">
        <v>821700</v>
      </c>
      <c r="I101" s="46" t="inlineStr">
        <is>
          <t>당효진</t>
        </is>
      </c>
      <c r="K101" s="46" t="n">
        <v>100</v>
      </c>
      <c r="L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">
      <c r="A102" s="229" t="n">
        <v>45312</v>
      </c>
      <c r="B102" s="46" t="inlineStr">
        <is>
          <t>정기검사</t>
        </is>
      </c>
      <c r="C102" s="46" t="inlineStr">
        <is>
          <t>김포지역</t>
        </is>
      </c>
      <c r="D102" s="46" t="inlineStr">
        <is>
          <t>헬킨바이오</t>
        </is>
      </c>
      <c r="E102" s="46" t="n">
        <v>500</v>
      </c>
      <c r="F102" s="46" t="inlineStr">
        <is>
          <t>학운리</t>
        </is>
      </c>
      <c r="G102" s="50" t="n">
        <v>0.5416666666666666</v>
      </c>
      <c r="H102" s="51" t="n">
        <v>737000</v>
      </c>
      <c r="I102" s="46" t="inlineStr">
        <is>
          <t>민경수</t>
        </is>
      </c>
      <c r="K102" s="46" t="n">
        <v>101</v>
      </c>
      <c r="L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">
      <c r="A103" s="229" t="n">
        <v>45312</v>
      </c>
      <c r="B103" s="46" t="inlineStr">
        <is>
          <t>사용전검사</t>
        </is>
      </c>
      <c r="C103" s="46" t="inlineStr">
        <is>
          <t>부천지역</t>
        </is>
      </c>
      <c r="D103" s="46" t="inlineStr">
        <is>
          <t>SK</t>
        </is>
      </c>
      <c r="E103" s="46" t="n">
        <v>4</v>
      </c>
      <c r="F103" s="46" t="inlineStr">
        <is>
          <t>내동</t>
        </is>
      </c>
      <c r="G103" s="50" t="n"/>
      <c r="H103" s="51" t="n"/>
      <c r="I103" s="46" t="inlineStr">
        <is>
          <t>우승택</t>
        </is>
      </c>
      <c r="K103" s="46" t="n">
        <v>102</v>
      </c>
      <c r="L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">
      <c r="A104" s="229" t="n">
        <v>45312</v>
      </c>
      <c r="B104" s="46" t="inlineStr">
        <is>
          <t>사용전검사</t>
        </is>
      </c>
      <c r="C104" s="46" t="inlineStr">
        <is>
          <t>부천지역</t>
        </is>
      </c>
      <c r="D104" s="46" t="inlineStr">
        <is>
          <t>연세제일프란트치과</t>
        </is>
      </c>
      <c r="E104" s="46" t="n">
        <v>8</v>
      </c>
      <c r="F104" s="46" t="inlineStr">
        <is>
          <t>심곡동</t>
        </is>
      </c>
      <c r="G104" s="50" t="n"/>
      <c r="H104" s="51" t="n"/>
      <c r="I104" s="46" t="inlineStr">
        <is>
          <t>우승택</t>
        </is>
      </c>
      <c r="K104" s="46" t="n">
        <v>103</v>
      </c>
      <c r="L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">
      <c r="A105" s="229" t="n">
        <v>45312</v>
      </c>
      <c r="B105" s="46" t="inlineStr">
        <is>
          <t>사용전검사</t>
        </is>
      </c>
      <c r="C105" s="46" t="inlineStr">
        <is>
          <t>부천지역</t>
        </is>
      </c>
      <c r="D105" s="46" t="inlineStr">
        <is>
          <t>케이티</t>
        </is>
      </c>
      <c r="E105" s="46" t="n">
        <v>4</v>
      </c>
      <c r="F105" s="46" t="inlineStr">
        <is>
          <t>역곡동</t>
        </is>
      </c>
      <c r="G105" s="50" t="n"/>
      <c r="H105" s="51" t="n"/>
      <c r="I105" s="46" t="inlineStr">
        <is>
          <t>김상규</t>
        </is>
      </c>
      <c r="K105" s="46" t="n">
        <v>104</v>
      </c>
      <c r="L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">
      <c r="A106" s="229" t="n">
        <v>45312</v>
      </c>
      <c r="B106" s="46" t="inlineStr">
        <is>
          <t>사용전검사</t>
        </is>
      </c>
      <c r="C106" s="46" t="inlineStr">
        <is>
          <t>부천지역</t>
        </is>
      </c>
      <c r="D106" s="46" t="inlineStr">
        <is>
          <t>아성빌딩</t>
        </is>
      </c>
      <c r="E106" s="46" t="n">
        <v>10</v>
      </c>
      <c r="F106" s="46" t="n"/>
      <c r="G106" s="50" t="n"/>
      <c r="H106" s="51" t="n"/>
      <c r="I106" s="46" t="inlineStr">
        <is>
          <t>김영권</t>
        </is>
      </c>
      <c r="K106" s="46" t="n">
        <v>105</v>
      </c>
      <c r="L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">
      <c r="A107" s="229" t="n">
        <v>45312</v>
      </c>
      <c r="B107" s="46" t="inlineStr">
        <is>
          <t>메모</t>
        </is>
      </c>
      <c r="C107" s="46" t="inlineStr">
        <is>
          <t>부천지역</t>
        </is>
      </c>
      <c r="D107" s="46" t="inlineStr">
        <is>
          <t>민재홍병가</t>
        </is>
      </c>
      <c r="E107" s="46" t="n"/>
      <c r="F107" s="46" t="n"/>
      <c r="G107" s="50" t="n"/>
      <c r="H107" s="51" t="n"/>
      <c r="I107" s="46" t="n"/>
      <c r="K107" s="46" t="n">
        <v>106</v>
      </c>
      <c r="L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">
      <c r="A108" s="229" t="n">
        <v>45312</v>
      </c>
      <c r="B108" s="46" t="inlineStr">
        <is>
          <t>사용전검사</t>
        </is>
      </c>
      <c r="C108" s="46" t="inlineStr">
        <is>
          <t>김포지역</t>
        </is>
      </c>
      <c r="D108" s="46" t="inlineStr">
        <is>
          <t>썬에너지</t>
        </is>
      </c>
      <c r="E108" s="46" t="n">
        <v>213</v>
      </c>
      <c r="F108" s="46" t="inlineStr">
        <is>
          <t>학운리</t>
        </is>
      </c>
      <c r="G108" s="50" t="n"/>
      <c r="H108" s="51" t="n"/>
      <c r="I108" s="46" t="inlineStr">
        <is>
          <t>이덕기</t>
        </is>
      </c>
      <c r="K108" s="46" t="n">
        <v>107</v>
      </c>
      <c r="L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">
      <c r="A109" s="229" t="n">
        <v>45312</v>
      </c>
      <c r="B109" s="46" t="inlineStr">
        <is>
          <t>사용전검사</t>
        </is>
      </c>
      <c r="C109" s="46" t="inlineStr">
        <is>
          <t>김포지역</t>
        </is>
      </c>
      <c r="D109" s="46" t="inlineStr">
        <is>
          <t>티티에스</t>
        </is>
      </c>
      <c r="E109" s="46" t="n">
        <v>424</v>
      </c>
      <c r="F109" s="46" t="inlineStr">
        <is>
          <t>학운리</t>
        </is>
      </c>
      <c r="G109" s="50" t="n"/>
      <c r="H109" s="51" t="n"/>
      <c r="I109" s="46" t="inlineStr">
        <is>
          <t>장현민</t>
        </is>
      </c>
      <c r="K109" s="46" t="n">
        <v>108</v>
      </c>
      <c r="L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">
      <c r="A110" s="229" t="n">
        <v>45312</v>
      </c>
      <c r="B110" s="46" t="inlineStr">
        <is>
          <t>사용전검사</t>
        </is>
      </c>
      <c r="C110" s="46" t="inlineStr">
        <is>
          <t>김포지역</t>
        </is>
      </c>
      <c r="D110" s="46" t="inlineStr">
        <is>
          <t>하성고</t>
        </is>
      </c>
      <c r="E110" s="46" t="n">
        <v>35075</v>
      </c>
      <c r="F110" s="46" t="inlineStr">
        <is>
          <t>마곡리</t>
        </is>
      </c>
      <c r="G110" s="50" t="n"/>
      <c r="H110" s="51" t="n"/>
      <c r="I110" s="46" t="n"/>
      <c r="K110" s="46" t="n">
        <v>109</v>
      </c>
      <c r="L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">
      <c r="A111" s="229" t="n">
        <v>45313</v>
      </c>
      <c r="B111" s="46" t="inlineStr">
        <is>
          <t>정기검사</t>
        </is>
      </c>
      <c r="C111" s="46" t="inlineStr">
        <is>
          <t>부천지역</t>
        </is>
      </c>
      <c r="D111" s="46" t="inlineStr">
        <is>
          <t>성곡초</t>
        </is>
      </c>
      <c r="E111" s="46" t="inlineStr">
        <is>
          <t>650/155</t>
        </is>
      </c>
      <c r="F111" s="46" t="inlineStr">
        <is>
          <t>여월동</t>
        </is>
      </c>
      <c r="G111" s="50" t="n">
        <v>0.4583333333333333</v>
      </c>
      <c r="H111" s="51" t="n">
        <v>841940</v>
      </c>
      <c r="I111" s="46" t="inlineStr">
        <is>
          <t>서수형</t>
        </is>
      </c>
      <c r="K111" s="46" t="n">
        <v>110</v>
      </c>
      <c r="L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">
      <c r="A112" s="229" t="n">
        <v>45313</v>
      </c>
      <c r="B112" s="46" t="inlineStr">
        <is>
          <t>정기검사</t>
        </is>
      </c>
      <c r="C112" s="46" t="inlineStr">
        <is>
          <t>부천지역</t>
        </is>
      </c>
      <c r="D112" s="46" t="inlineStr">
        <is>
          <t>혜원산업</t>
        </is>
      </c>
      <c r="E112" s="46" t="inlineStr">
        <is>
          <t>1580/300</t>
        </is>
      </c>
      <c r="F112" s="46" t="inlineStr">
        <is>
          <t>괴안동</t>
        </is>
      </c>
      <c r="G112" s="50" t="n">
        <v>0.25</v>
      </c>
      <c r="H112" s="51" t="n">
        <v>1372690</v>
      </c>
      <c r="I112" s="46" t="inlineStr">
        <is>
          <t>이덕기</t>
        </is>
      </c>
      <c r="K112" s="46" t="n">
        <v>111</v>
      </c>
      <c r="L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">
      <c r="A113" s="229" t="n">
        <v>45313</v>
      </c>
      <c r="B113" s="46" t="inlineStr">
        <is>
          <t>정기검사</t>
        </is>
      </c>
      <c r="C113" s="46" t="inlineStr">
        <is>
          <t>부천지역</t>
        </is>
      </c>
      <c r="D113" s="46" t="inlineStr">
        <is>
          <t>계남고</t>
        </is>
      </c>
      <c r="E113" s="46" t="n">
        <v>750</v>
      </c>
      <c r="F113" s="46" t="inlineStr">
        <is>
          <t>중동</t>
        </is>
      </c>
      <c r="G113" s="50" t="n">
        <v>0.6041666666666666</v>
      </c>
      <c r="H113" s="51" t="n">
        <v>821700</v>
      </c>
      <c r="I113" s="46" t="inlineStr">
        <is>
          <t>우승택</t>
        </is>
      </c>
      <c r="K113" s="46" t="n">
        <v>112</v>
      </c>
      <c r="L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">
      <c r="A114" s="229" t="n">
        <v>45313</v>
      </c>
      <c r="B114" s="46" t="inlineStr">
        <is>
          <t>정기검사</t>
        </is>
      </c>
      <c r="C114" s="46" t="inlineStr">
        <is>
          <t>부천지역</t>
        </is>
      </c>
      <c r="D114" s="46" t="inlineStr">
        <is>
          <t>수주고</t>
        </is>
      </c>
      <c r="E114" s="46" t="n">
        <v>750</v>
      </c>
      <c r="F114" s="46" t="inlineStr">
        <is>
          <t>고강동</t>
        </is>
      </c>
      <c r="G114" s="50" t="n">
        <v>0.3958333333333333</v>
      </c>
      <c r="H114" s="51" t="n">
        <v>821700</v>
      </c>
      <c r="I114" s="46" t="inlineStr">
        <is>
          <t>장현민</t>
        </is>
      </c>
      <c r="K114" s="46" t="n">
        <v>113</v>
      </c>
      <c r="L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">
      <c r="A115" s="229" t="n">
        <v>45313</v>
      </c>
      <c r="B115" s="46" t="inlineStr">
        <is>
          <t>정기검사</t>
        </is>
      </c>
      <c r="C115" s="46" t="inlineStr">
        <is>
          <t>김포지역</t>
        </is>
      </c>
      <c r="D115" s="46" t="inlineStr">
        <is>
          <t>에이앤피테크</t>
        </is>
      </c>
      <c r="E115" s="46" t="n">
        <v>290</v>
      </c>
      <c r="F115" s="46" t="inlineStr">
        <is>
          <t>후평리</t>
        </is>
      </c>
      <c r="G115" s="50" t="n">
        <v>0.5416666666666666</v>
      </c>
      <c r="H115" s="51" t="n">
        <v>515130</v>
      </c>
      <c r="I115" s="46" t="inlineStr">
        <is>
          <t>김영권</t>
        </is>
      </c>
      <c r="K115" s="46" t="n">
        <v>114</v>
      </c>
      <c r="L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">
      <c r="A116" s="229" t="n">
        <v>45313</v>
      </c>
      <c r="B116" s="46" t="inlineStr">
        <is>
          <t>정기검사</t>
        </is>
      </c>
      <c r="C116" s="46" t="inlineStr">
        <is>
          <t>김포지역</t>
        </is>
      </c>
      <c r="D116" s="46" t="inlineStr">
        <is>
          <t>신신스텐레스</t>
        </is>
      </c>
      <c r="E116" s="46" t="n">
        <v>400</v>
      </c>
      <c r="F116" s="46" t="inlineStr">
        <is>
          <t>가현리</t>
        </is>
      </c>
      <c r="G116" s="50" t="n">
        <v>0.5</v>
      </c>
      <c r="H116" s="51" t="n">
        <v>703120</v>
      </c>
      <c r="I116" s="46" t="inlineStr">
        <is>
          <t>김상규</t>
        </is>
      </c>
      <c r="K116" s="46" t="n">
        <v>115</v>
      </c>
      <c r="L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">
      <c r="A117" s="229" t="n">
        <v>45313</v>
      </c>
      <c r="B117" s="46" t="inlineStr">
        <is>
          <t>정기검사</t>
        </is>
      </c>
      <c r="C117" s="46" t="inlineStr">
        <is>
          <t>김포지역</t>
        </is>
      </c>
      <c r="D117" s="46" t="inlineStr">
        <is>
          <t>대곶ic</t>
        </is>
      </c>
      <c r="E117" s="46" t="inlineStr">
        <is>
          <t>200/77</t>
        </is>
      </c>
      <c r="F117" s="46" t="inlineStr">
        <is>
          <t>율생리</t>
        </is>
      </c>
      <c r="G117" s="50" t="n">
        <v>0.4583333333333333</v>
      </c>
      <c r="H117" s="51" t="n">
        <v>505120</v>
      </c>
      <c r="I117" s="46" t="inlineStr">
        <is>
          <t>민경수</t>
        </is>
      </c>
      <c r="K117" s="46" t="n">
        <v>116</v>
      </c>
      <c r="L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">
      <c r="A118" s="229" t="n">
        <v>45313</v>
      </c>
      <c r="B118" s="46" t="inlineStr">
        <is>
          <t>정기검사</t>
        </is>
      </c>
      <c r="C118" s="46" t="inlineStr">
        <is>
          <t>김포지역</t>
        </is>
      </c>
      <c r="D118" s="46" t="inlineStr">
        <is>
          <t>연세우유</t>
        </is>
      </c>
      <c r="E118" s="46" t="n">
        <v>29</v>
      </c>
      <c r="F118" s="46" t="inlineStr">
        <is>
          <t>서암리</t>
        </is>
      </c>
      <c r="G118" s="50" t="n">
        <v>0.4375</v>
      </c>
      <c r="H118" s="51" t="n">
        <v>181940</v>
      </c>
      <c r="I118" s="46" t="inlineStr">
        <is>
          <t>송두기</t>
        </is>
      </c>
      <c r="K118" s="46" t="n">
        <v>117</v>
      </c>
      <c r="L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">
      <c r="A119" s="229" t="n">
        <v>45313</v>
      </c>
      <c r="B119" s="46" t="inlineStr">
        <is>
          <t>정기검사</t>
        </is>
      </c>
      <c r="C119" s="46" t="inlineStr">
        <is>
          <t>김포지역</t>
        </is>
      </c>
      <c r="D119" s="46" t="inlineStr">
        <is>
          <t>정엔지니어링</t>
        </is>
      </c>
      <c r="E119" s="46" t="n">
        <v>250</v>
      </c>
      <c r="F119" s="46" t="inlineStr">
        <is>
          <t>송마리</t>
        </is>
      </c>
      <c r="G119" s="50" t="n">
        <v>0.4166666666666667</v>
      </c>
      <c r="H119" s="51" t="n">
        <v>489170</v>
      </c>
      <c r="I119" s="46" t="inlineStr">
        <is>
          <t>송낙명</t>
        </is>
      </c>
      <c r="K119" s="46" t="n">
        <v>118</v>
      </c>
      <c r="L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">
      <c r="A120" s="229" t="n">
        <v>45313</v>
      </c>
      <c r="B120" s="46" t="inlineStr">
        <is>
          <t>사용전검사</t>
        </is>
      </c>
      <c r="C120" s="46" t="inlineStr">
        <is>
          <t>부천지역</t>
        </is>
      </c>
      <c r="D120" s="46" t="inlineStr">
        <is>
          <t>포스코이앤씨</t>
        </is>
      </c>
      <c r="E120" s="46" t="n">
        <v>500</v>
      </c>
      <c r="F120" s="46" t="inlineStr">
        <is>
          <t>춘의동</t>
        </is>
      </c>
      <c r="G120" s="50" t="n"/>
      <c r="H120" s="51" t="n"/>
      <c r="I120" s="46" t="inlineStr">
        <is>
          <t>장현민</t>
        </is>
      </c>
      <c r="K120" s="46" t="n">
        <v>119</v>
      </c>
      <c r="L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">
      <c r="A121" s="229" t="n">
        <v>45313</v>
      </c>
      <c r="B121" s="46" t="inlineStr">
        <is>
          <t>사용전검사</t>
        </is>
      </c>
      <c r="C121" s="46" t="inlineStr">
        <is>
          <t>부천지역</t>
        </is>
      </c>
      <c r="D121" s="46" t="inlineStr">
        <is>
          <t>포스코이앤씨</t>
        </is>
      </c>
      <c r="E121" s="46" t="n">
        <v>501</v>
      </c>
      <c r="F121" s="46" t="inlineStr">
        <is>
          <t>춘의동</t>
        </is>
      </c>
      <c r="G121" s="50" t="n"/>
      <c r="H121" s="51" t="n"/>
      <c r="I121" s="46" t="inlineStr">
        <is>
          <t>장현민</t>
        </is>
      </c>
      <c r="K121" s="46" t="n">
        <v>120</v>
      </c>
      <c r="L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">
      <c r="A122" s="229" t="n">
        <v>45313</v>
      </c>
      <c r="B122" s="46" t="inlineStr">
        <is>
          <t>메모</t>
        </is>
      </c>
      <c r="C122" s="46" t="inlineStr">
        <is>
          <t>부천지역</t>
        </is>
      </c>
      <c r="D122" s="46" t="inlineStr">
        <is>
          <t>당효진휴가</t>
        </is>
      </c>
      <c r="E122" s="46" t="n"/>
      <c r="F122" s="46" t="n"/>
      <c r="G122" s="50" t="n"/>
      <c r="H122" s="51" t="n"/>
      <c r="I122" s="46" t="n"/>
      <c r="K122" s="46" t="n">
        <v>121</v>
      </c>
      <c r="L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">
      <c r="A123" s="229" t="n">
        <v>45313</v>
      </c>
      <c r="B123" s="46" t="inlineStr">
        <is>
          <t>메모</t>
        </is>
      </c>
      <c r="C123" s="46" t="inlineStr">
        <is>
          <t>부천지역</t>
        </is>
      </c>
      <c r="D123" s="46" t="inlineStr">
        <is>
          <t>민재홍병가</t>
        </is>
      </c>
      <c r="E123" s="46" t="n"/>
      <c r="F123" s="46" t="n"/>
      <c r="G123" s="50" t="n"/>
      <c r="H123" s="51" t="n"/>
      <c r="I123" s="46" t="n"/>
      <c r="K123" s="46" t="n">
        <v>122</v>
      </c>
      <c r="L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">
      <c r="A124" s="229" t="n">
        <v>45313</v>
      </c>
      <c r="B124" s="46" t="inlineStr">
        <is>
          <t>메모</t>
        </is>
      </c>
      <c r="C124" s="46" t="inlineStr">
        <is>
          <t>부천지역</t>
        </is>
      </c>
      <c r="D124" s="46" t="inlineStr">
        <is>
          <t>정신배 휴가</t>
        </is>
      </c>
      <c r="E124" s="46" t="inlineStr">
        <is>
          <t>서수형</t>
        </is>
      </c>
      <c r="F124" s="46" t="n"/>
      <c r="G124" s="50" t="n"/>
      <c r="H124" s="51" t="n"/>
      <c r="I124" s="46" t="n"/>
      <c r="K124" s="46" t="n">
        <v>123</v>
      </c>
      <c r="L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">
      <c r="A125" s="229" t="n">
        <v>45313</v>
      </c>
      <c r="B125" s="46" t="inlineStr">
        <is>
          <t>사용전검사</t>
        </is>
      </c>
      <c r="C125" s="46" t="inlineStr">
        <is>
          <t>김포지역</t>
        </is>
      </c>
      <c r="D125" s="46" t="inlineStr">
        <is>
          <t>연지아1호</t>
        </is>
      </c>
      <c r="E125" s="46" t="n">
        <v>53</v>
      </c>
      <c r="F125" s="46" t="inlineStr">
        <is>
          <t>양택리</t>
        </is>
      </c>
      <c r="G125" s="50" t="n"/>
      <c r="H125" s="51" t="n"/>
      <c r="I125" s="46" t="inlineStr">
        <is>
          <t>허창수</t>
        </is>
      </c>
      <c r="K125" s="46" t="n">
        <v>124</v>
      </c>
      <c r="L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">
      <c r="A126" s="229" t="n">
        <v>45313</v>
      </c>
      <c r="B126" s="46" t="inlineStr">
        <is>
          <t>사용전검사</t>
        </is>
      </c>
      <c r="C126" s="46" t="inlineStr">
        <is>
          <t>김포지역</t>
        </is>
      </c>
      <c r="D126" s="46" t="inlineStr">
        <is>
          <t>연지아2호</t>
        </is>
      </c>
      <c r="E126" s="46" t="n">
        <v>54</v>
      </c>
      <c r="F126" s="46" t="inlineStr">
        <is>
          <t>양택리</t>
        </is>
      </c>
      <c r="G126" s="50" t="n"/>
      <c r="H126" s="51" t="n"/>
      <c r="I126" s="46" t="inlineStr">
        <is>
          <t>허창수</t>
        </is>
      </c>
      <c r="K126" s="46" t="n">
        <v>125</v>
      </c>
      <c r="L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">
      <c r="A127" s="229" t="n">
        <v>45313</v>
      </c>
      <c r="B127" s="46" t="inlineStr">
        <is>
          <t>사용전검사</t>
        </is>
      </c>
      <c r="C127" s="46" t="inlineStr">
        <is>
          <t>김포지역</t>
        </is>
      </c>
      <c r="D127" s="46" t="inlineStr">
        <is>
          <t>bs한양</t>
        </is>
      </c>
      <c r="E127" s="46" t="n"/>
      <c r="F127" s="46" t="inlineStr">
        <is>
          <t>사우동</t>
        </is>
      </c>
      <c r="G127" s="50" t="n"/>
      <c r="H127" s="51" t="n"/>
      <c r="I127" s="46" t="inlineStr">
        <is>
          <t>송두기</t>
        </is>
      </c>
      <c r="K127" s="46" t="n">
        <v>126</v>
      </c>
      <c r="L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">
      <c r="A128" s="229" t="n">
        <v>45314</v>
      </c>
      <c r="B128" s="46" t="inlineStr">
        <is>
          <t>정기검사</t>
        </is>
      </c>
      <c r="C128" s="46" t="inlineStr">
        <is>
          <t>부천지역</t>
        </is>
      </c>
      <c r="D128" s="46" t="inlineStr">
        <is>
          <t>제이유테크</t>
        </is>
      </c>
      <c r="E128" s="46" t="n">
        <v>500</v>
      </c>
      <c r="F128" s="46" t="inlineStr">
        <is>
          <t>내동</t>
        </is>
      </c>
      <c r="G128" s="50" t="n">
        <v>0.5</v>
      </c>
      <c r="H128" s="51" t="n">
        <v>737000</v>
      </c>
      <c r="I128" s="46" t="inlineStr">
        <is>
          <t>우승택</t>
        </is>
      </c>
      <c r="K128" s="46" t="n">
        <v>127</v>
      </c>
      <c r="L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">
      <c r="A129" s="229" t="n">
        <v>45314</v>
      </c>
      <c r="B129" s="46" t="inlineStr">
        <is>
          <t>정기검사</t>
        </is>
      </c>
      <c r="C129" s="46" t="inlineStr">
        <is>
          <t>부천지역</t>
        </is>
      </c>
      <c r="D129" s="46" t="inlineStr">
        <is>
          <t>복사골건영상사</t>
        </is>
      </c>
      <c r="E129" s="46" t="n">
        <v>200</v>
      </c>
      <c r="F129" s="46" t="inlineStr">
        <is>
          <t>중동</t>
        </is>
      </c>
      <c r="G129" s="50" t="n">
        <v>0.3958333333333333</v>
      </c>
      <c r="H129" s="51" t="n">
        <v>456720</v>
      </c>
      <c r="I129" s="46" t="inlineStr">
        <is>
          <t>이종석</t>
        </is>
      </c>
      <c r="K129" s="46" t="n">
        <v>128</v>
      </c>
      <c r="L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">
      <c r="A130" s="229" t="n">
        <v>45314</v>
      </c>
      <c r="B130" s="46" t="inlineStr">
        <is>
          <t>정기검사</t>
        </is>
      </c>
      <c r="C130" s="46" t="inlineStr">
        <is>
          <t>김포지역</t>
        </is>
      </c>
      <c r="D130" s="46" t="inlineStr">
        <is>
          <t>라임텍</t>
        </is>
      </c>
      <c r="E130" s="46" t="n">
        <v>500</v>
      </c>
      <c r="F130" s="46" t="inlineStr">
        <is>
          <t>송마리</t>
        </is>
      </c>
      <c r="G130" s="50" t="n">
        <v>0.5416666666666666</v>
      </c>
      <c r="H130" s="51" t="n">
        <v>737000</v>
      </c>
      <c r="I130" s="46" t="inlineStr">
        <is>
          <t>서수형</t>
        </is>
      </c>
      <c r="K130" s="46" t="n">
        <v>129</v>
      </c>
      <c r="L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">
      <c r="A131" s="229" t="n">
        <v>45314</v>
      </c>
      <c r="B131" s="46" t="inlineStr">
        <is>
          <t>정기검사</t>
        </is>
      </c>
      <c r="C131" s="46" t="inlineStr">
        <is>
          <t>김포지역</t>
        </is>
      </c>
      <c r="D131" s="46" t="inlineStr">
        <is>
          <t>선일화학</t>
        </is>
      </c>
      <c r="E131" s="46" t="n">
        <v>290</v>
      </c>
      <c r="F131" s="46" t="n"/>
      <c r="G131" s="50" t="n">
        <v>0.4166666666666667</v>
      </c>
      <c r="H131" s="51" t="n">
        <v>515130</v>
      </c>
      <c r="I131" s="46" t="inlineStr">
        <is>
          <t>송두기</t>
        </is>
      </c>
      <c r="K131" s="46" t="n">
        <v>130</v>
      </c>
      <c r="L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">
      <c r="A132" s="229" t="n">
        <v>45314</v>
      </c>
      <c r="B132" s="46" t="inlineStr">
        <is>
          <t>정기검사</t>
        </is>
      </c>
      <c r="C132" s="46" t="inlineStr">
        <is>
          <t>김포지역</t>
        </is>
      </c>
      <c r="D132" s="46" t="inlineStr">
        <is>
          <t>대진태양광</t>
        </is>
      </c>
      <c r="E132" s="46" t="n">
        <v>99</v>
      </c>
      <c r="F132" s="46" t="inlineStr">
        <is>
          <t>귀전리</t>
        </is>
      </c>
      <c r="G132" s="50" t="n"/>
      <c r="H132" s="51" t="n">
        <v>255420</v>
      </c>
      <c r="I132" s="46" t="inlineStr">
        <is>
          <t>김상규</t>
        </is>
      </c>
      <c r="K132" s="46" t="n">
        <v>131</v>
      </c>
      <c r="L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">
      <c r="A133" s="229" t="n">
        <v>45314</v>
      </c>
      <c r="B133" s="46" t="inlineStr">
        <is>
          <t>정기검사</t>
        </is>
      </c>
      <c r="C133" s="46" t="inlineStr">
        <is>
          <t>김포지역</t>
        </is>
      </c>
      <c r="D133" s="46" t="inlineStr">
        <is>
          <t>대진태양광</t>
        </is>
      </c>
      <c r="E133" s="46" t="n">
        <v>100</v>
      </c>
      <c r="F133" s="46" t="inlineStr">
        <is>
          <t>귀전리</t>
        </is>
      </c>
      <c r="G133" s="50" t="n"/>
      <c r="H133" s="51" t="n">
        <v>255420</v>
      </c>
      <c r="I133" s="46" t="inlineStr">
        <is>
          <t>김상규</t>
        </is>
      </c>
      <c r="K133" s="46" t="n">
        <v>132</v>
      </c>
      <c r="L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">
      <c r="A134" s="229" t="n">
        <v>45314</v>
      </c>
      <c r="B134" s="46" t="inlineStr">
        <is>
          <t>정기검사</t>
        </is>
      </c>
      <c r="C134" s="46" t="inlineStr">
        <is>
          <t>김포지역</t>
        </is>
      </c>
      <c r="D134" s="46" t="inlineStr">
        <is>
          <t>동양하우징</t>
        </is>
      </c>
      <c r="E134" s="46" t="n">
        <v>250</v>
      </c>
      <c r="F134" s="46" t="inlineStr">
        <is>
          <t>송마리</t>
        </is>
      </c>
      <c r="G134" s="50" t="n">
        <v>0.5416666666666666</v>
      </c>
      <c r="H134" s="51" t="n">
        <v>489170</v>
      </c>
      <c r="I134" s="46" t="inlineStr">
        <is>
          <t>송두기</t>
        </is>
      </c>
      <c r="K134" s="46" t="n">
        <v>133</v>
      </c>
      <c r="L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">
      <c r="A135" s="229" t="n">
        <v>45314</v>
      </c>
      <c r="B135" s="46" t="inlineStr">
        <is>
          <t>메모</t>
        </is>
      </c>
      <c r="C135" s="46" t="inlineStr">
        <is>
          <t>부천지역</t>
        </is>
      </c>
      <c r="D135" s="46" t="inlineStr">
        <is>
          <t>당효진휴가</t>
        </is>
      </c>
      <c r="E135" s="46" t="n"/>
      <c r="F135" s="46" t="n"/>
      <c r="G135" s="50" t="n"/>
      <c r="H135" s="51" t="n"/>
      <c r="I135" s="46" t="n"/>
      <c r="K135" s="46" t="n">
        <v>134</v>
      </c>
      <c r="L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">
      <c r="A136" s="229" t="n">
        <v>45314</v>
      </c>
      <c r="B136" s="46" t="inlineStr">
        <is>
          <t>메모</t>
        </is>
      </c>
      <c r="C136" s="46" t="inlineStr">
        <is>
          <t>부천지역</t>
        </is>
      </c>
      <c r="D136" s="46" t="inlineStr">
        <is>
          <t>민재홍병가</t>
        </is>
      </c>
      <c r="E136" s="46" t="n"/>
      <c r="F136" s="46" t="n"/>
      <c r="G136" s="50" t="n"/>
      <c r="H136" s="51" t="n"/>
      <c r="I136" s="46" t="n"/>
      <c r="K136" s="46" t="n">
        <v>135</v>
      </c>
      <c r="L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">
      <c r="A137" s="229" t="n">
        <v>45314</v>
      </c>
      <c r="B137" s="46" t="inlineStr">
        <is>
          <t>사용전검사</t>
        </is>
      </c>
      <c r="C137" s="46" t="inlineStr">
        <is>
          <t>김포지역</t>
        </is>
      </c>
      <c r="D137" s="46" t="inlineStr">
        <is>
          <t>엠텍</t>
        </is>
      </c>
      <c r="E137" s="46" t="n">
        <v>130</v>
      </c>
      <c r="F137" s="46" t="inlineStr">
        <is>
          <t>석정리</t>
        </is>
      </c>
      <c r="G137" s="50" t="n"/>
      <c r="H137" s="51" t="n"/>
      <c r="I137" s="46" t="inlineStr">
        <is>
          <t>정신배</t>
        </is>
      </c>
      <c r="K137" s="46" t="n">
        <v>136</v>
      </c>
      <c r="L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">
      <c r="A138" s="229" t="n">
        <v>45314</v>
      </c>
      <c r="B138" s="46" t="inlineStr">
        <is>
          <t>사용전검사</t>
        </is>
      </c>
      <c r="C138" s="46" t="inlineStr">
        <is>
          <t>김포지역</t>
        </is>
      </c>
      <c r="D138" s="46" t="inlineStr">
        <is>
          <t>엠텍</t>
        </is>
      </c>
      <c r="E138" s="46" t="n">
        <v>131</v>
      </c>
      <c r="F138" s="46" t="inlineStr">
        <is>
          <t>석정리</t>
        </is>
      </c>
      <c r="G138" s="50" t="n"/>
      <c r="H138" s="51" t="n"/>
      <c r="I138" s="46" t="inlineStr">
        <is>
          <t>정신배</t>
        </is>
      </c>
      <c r="K138" s="46" t="n">
        <v>137</v>
      </c>
      <c r="L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">
      <c r="A139" s="229" t="n">
        <v>45314</v>
      </c>
      <c r="B139" s="46" t="inlineStr">
        <is>
          <t>사용전검사</t>
        </is>
      </c>
      <c r="C139" s="46" t="inlineStr">
        <is>
          <t>김포지역</t>
        </is>
      </c>
      <c r="D139" s="46" t="inlineStr">
        <is>
          <t>효성중공업</t>
        </is>
      </c>
      <c r="E139" s="46" t="n">
        <v>700</v>
      </c>
      <c r="F139" s="46" t="inlineStr">
        <is>
          <t>풍무동</t>
        </is>
      </c>
      <c r="G139" s="50" t="n"/>
      <c r="H139" s="51" t="n"/>
      <c r="I139" s="46" t="inlineStr">
        <is>
          <t>김영권</t>
        </is>
      </c>
      <c r="K139" s="46" t="n">
        <v>138</v>
      </c>
      <c r="L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">
      <c r="A140" s="229" t="n">
        <v>45314</v>
      </c>
      <c r="B140" s="46" t="inlineStr">
        <is>
          <t>사용전검사</t>
        </is>
      </c>
      <c r="C140" s="46" t="inlineStr">
        <is>
          <t>김포지역</t>
        </is>
      </c>
      <c r="D140" s="46" t="inlineStr">
        <is>
          <t>효성중공업</t>
        </is>
      </c>
      <c r="E140" s="46" t="n">
        <v>700</v>
      </c>
      <c r="F140" s="46" t="inlineStr">
        <is>
          <t>풍무동</t>
        </is>
      </c>
      <c r="G140" s="50" t="n"/>
      <c r="H140" s="51" t="n"/>
      <c r="I140" s="46" t="inlineStr">
        <is>
          <t>장현민</t>
        </is>
      </c>
      <c r="K140" s="46" t="n">
        <v>139</v>
      </c>
      <c r="L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">
      <c r="A141" s="229" t="n">
        <v>45314</v>
      </c>
      <c r="B141" s="46" t="inlineStr">
        <is>
          <t>사용전검사</t>
        </is>
      </c>
      <c r="C141" s="46" t="inlineStr">
        <is>
          <t>김포지역</t>
        </is>
      </c>
      <c r="D141" s="46" t="inlineStr">
        <is>
          <t>김포시청</t>
        </is>
      </c>
      <c r="E141" s="46" t="inlineStr">
        <is>
          <t>990/182</t>
        </is>
      </c>
      <c r="F141" s="46" t="inlineStr">
        <is>
          <t>대명리</t>
        </is>
      </c>
      <c r="G141" s="50" t="n"/>
      <c r="H141" s="51" t="n"/>
      <c r="I141" s="46" t="inlineStr">
        <is>
          <t>이덕기</t>
        </is>
      </c>
      <c r="K141" s="46" t="n">
        <v>140</v>
      </c>
      <c r="L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">
      <c r="A142" s="229" t="n">
        <v>45315</v>
      </c>
      <c r="B142" s="46" t="inlineStr">
        <is>
          <t>정기검사</t>
        </is>
      </c>
      <c r="C142" s="46" t="inlineStr">
        <is>
          <t>부천지역</t>
        </is>
      </c>
      <c r="D142" s="46" t="inlineStr">
        <is>
          <t>광양프런티어밸리7차</t>
        </is>
      </c>
      <c r="E142" s="46" t="inlineStr">
        <is>
          <t>3500/455</t>
        </is>
      </c>
      <c r="F142" s="46" t="inlineStr">
        <is>
          <t>옥길동</t>
        </is>
      </c>
      <c r="G142" s="50" t="n">
        <v>0.3958333333333333</v>
      </c>
      <c r="H142" s="51" t="n">
        <v>1752410</v>
      </c>
      <c r="I142" s="46" t="n"/>
      <c r="K142" s="46" t="n">
        <v>141</v>
      </c>
      <c r="L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">
      <c r="A143" s="229" t="n">
        <v>45315</v>
      </c>
      <c r="B143" s="46" t="inlineStr">
        <is>
          <t>메모</t>
        </is>
      </c>
      <c r="C143" s="46" t="inlineStr">
        <is>
          <t>부천지역</t>
        </is>
      </c>
      <c r="D143" s="46" t="inlineStr">
        <is>
          <t>김영권휴가</t>
        </is>
      </c>
      <c r="E143" s="46" t="n"/>
      <c r="F143" s="46" t="n"/>
      <c r="G143" s="50" t="n"/>
      <c r="H143" s="51" t="n"/>
      <c r="I143" s="46" t="n"/>
      <c r="K143" s="46" t="n">
        <v>142</v>
      </c>
      <c r="L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">
      <c r="A144" s="229" t="n">
        <v>45315</v>
      </c>
      <c r="B144" s="46" t="inlineStr">
        <is>
          <t>메모</t>
        </is>
      </c>
      <c r="C144" s="46" t="inlineStr">
        <is>
          <t>부천지역</t>
        </is>
      </c>
      <c r="D144" s="46" t="inlineStr">
        <is>
          <t>민재홍병가</t>
        </is>
      </c>
      <c r="E144" s="46" t="n"/>
      <c r="F144" s="46" t="n"/>
      <c r="G144" s="50" t="n"/>
      <c r="H144" s="51" t="n"/>
      <c r="I144" s="46" t="n"/>
      <c r="K144" s="46" t="n">
        <v>143</v>
      </c>
      <c r="L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">
      <c r="A145" s="229" t="n">
        <v>45317</v>
      </c>
      <c r="B145" s="46" t="inlineStr">
        <is>
          <t>정기검사</t>
        </is>
      </c>
      <c r="C145" s="46" t="inlineStr">
        <is>
          <t>부천지역</t>
        </is>
      </c>
      <c r="D145" s="46" t="inlineStr">
        <is>
          <t>상동호수공원</t>
        </is>
      </c>
      <c r="E145" s="46" t="inlineStr">
        <is>
          <t>연료전지</t>
        </is>
      </c>
      <c r="F145" s="46" t="inlineStr">
        <is>
          <t>상동</t>
        </is>
      </c>
      <c r="G145" s="50" t="n"/>
      <c r="H145" s="51" t="n"/>
      <c r="I145" s="46" t="inlineStr">
        <is>
          <t>김상규</t>
        </is>
      </c>
      <c r="K145" s="46" t="n">
        <v>144</v>
      </c>
      <c r="L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">
      <c r="A146" s="229" t="n">
        <v>45317</v>
      </c>
      <c r="B146" s="46" t="inlineStr">
        <is>
          <t>정기검사</t>
        </is>
      </c>
      <c r="C146" s="46" t="inlineStr">
        <is>
          <t>김포지역</t>
        </is>
      </c>
      <c r="D146" s="46" t="inlineStr">
        <is>
          <t>하성초</t>
        </is>
      </c>
      <c r="E146" s="46" t="n">
        <v>350</v>
      </c>
      <c r="F146" s="46" t="inlineStr">
        <is>
          <t>마곡리</t>
        </is>
      </c>
      <c r="G146" s="50" t="n">
        <v>0.4166666666666667</v>
      </c>
      <c r="H146" s="51" t="n">
        <v>686180</v>
      </c>
      <c r="I146" s="46" t="inlineStr">
        <is>
          <t>김영권</t>
        </is>
      </c>
      <c r="K146" s="46" t="n">
        <v>145</v>
      </c>
      <c r="L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">
      <c r="A147" s="229" t="n">
        <v>45317</v>
      </c>
      <c r="B147" s="46" t="inlineStr">
        <is>
          <t>정기검사</t>
        </is>
      </c>
      <c r="C147" s="46" t="inlineStr">
        <is>
          <t>김포지역</t>
        </is>
      </c>
      <c r="D147" s="46" t="inlineStr">
        <is>
          <t>월드메탈</t>
        </is>
      </c>
      <c r="E147" s="46" t="n">
        <v>990</v>
      </c>
      <c r="F147" s="46" t="inlineStr">
        <is>
          <t>마조리</t>
        </is>
      </c>
      <c r="G147" s="50" t="n">
        <v>0.4791666666666667</v>
      </c>
      <c r="H147" s="51" t="n">
        <v>902990</v>
      </c>
      <c r="I147" s="46" t="inlineStr">
        <is>
          <t>허창수</t>
        </is>
      </c>
      <c r="K147" s="46" t="n">
        <v>146</v>
      </c>
      <c r="L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">
      <c r="A148" s="229" t="n">
        <v>45317</v>
      </c>
      <c r="B148" s="46" t="inlineStr">
        <is>
          <t>정기검사</t>
        </is>
      </c>
      <c r="C148" s="46" t="inlineStr">
        <is>
          <t>김포지역</t>
        </is>
      </c>
      <c r="D148" s="46" t="inlineStr">
        <is>
          <t>장기초</t>
        </is>
      </c>
      <c r="E148" s="46" t="inlineStr">
        <is>
          <t>750/182</t>
        </is>
      </c>
      <c r="F148" s="46" t="inlineStr">
        <is>
          <t>장기동</t>
        </is>
      </c>
      <c r="G148" s="50" t="n">
        <v>0.5833333333333334</v>
      </c>
      <c r="H148" s="51" t="n">
        <v>877800</v>
      </c>
      <c r="I148" s="46" t="inlineStr">
        <is>
          <t>이덕기</t>
        </is>
      </c>
      <c r="K148" s="46" t="n">
        <v>147</v>
      </c>
      <c r="L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">
      <c r="A149" s="229" t="n">
        <v>45317</v>
      </c>
      <c r="B149" s="46" t="inlineStr">
        <is>
          <t>정기검사</t>
        </is>
      </c>
      <c r="C149" s="46" t="inlineStr">
        <is>
          <t>김포지역</t>
        </is>
      </c>
      <c r="D149" s="46" t="inlineStr">
        <is>
          <t>에이피크</t>
        </is>
      </c>
      <c r="E149" s="46" t="n">
        <v>200</v>
      </c>
      <c r="F149" s="46" t="inlineStr">
        <is>
          <t>약암리</t>
        </is>
      </c>
      <c r="G149" s="50" t="n">
        <v>0.5833333333333334</v>
      </c>
      <c r="H149" s="51" t="n">
        <v>456720</v>
      </c>
      <c r="I149" s="46" t="inlineStr">
        <is>
          <t>서수형</t>
        </is>
      </c>
      <c r="K149" s="46" t="n">
        <v>148</v>
      </c>
      <c r="L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">
      <c r="A150" s="229" t="n">
        <v>45317</v>
      </c>
      <c r="B150" s="46" t="inlineStr">
        <is>
          <t>정기검사</t>
        </is>
      </c>
      <c r="C150" s="46" t="inlineStr">
        <is>
          <t>김포지역</t>
        </is>
      </c>
      <c r="D150" s="46" t="inlineStr">
        <is>
          <t>오성씨푸드</t>
        </is>
      </c>
      <c r="E150" s="46" t="n">
        <v>450</v>
      </c>
      <c r="F150" s="46" t="inlineStr">
        <is>
          <t>원산리</t>
        </is>
      </c>
      <c r="G150" s="50" t="n">
        <v>0.5208333333333334</v>
      </c>
      <c r="H150" s="51" t="n">
        <v>720060</v>
      </c>
      <c r="I150" s="46" t="inlineStr">
        <is>
          <t>민경수</t>
        </is>
      </c>
      <c r="K150" s="46" t="n">
        <v>149</v>
      </c>
      <c r="L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">
      <c r="A151" s="229" t="n">
        <v>45317</v>
      </c>
      <c r="B151" s="46" t="inlineStr">
        <is>
          <t>정기검사</t>
        </is>
      </c>
      <c r="C151" s="46" t="inlineStr">
        <is>
          <t>김포지역</t>
        </is>
      </c>
      <c r="D151" s="46" t="inlineStr">
        <is>
          <t>샛빛마을</t>
        </is>
      </c>
      <c r="E151" s="46" t="n">
        <v>3</v>
      </c>
      <c r="F151" s="46" t="inlineStr">
        <is>
          <t>대벽리</t>
        </is>
      </c>
      <c r="G151" s="50" t="n"/>
      <c r="H151" s="51" t="n">
        <v>89210</v>
      </c>
      <c r="I151" s="46" t="inlineStr">
        <is>
          <t>정신배</t>
        </is>
      </c>
      <c r="K151" s="46" t="n">
        <v>150</v>
      </c>
      <c r="L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">
      <c r="A152" s="229" t="n">
        <v>45317</v>
      </c>
      <c r="B152" s="46" t="inlineStr">
        <is>
          <t>정기검사</t>
        </is>
      </c>
      <c r="C152" s="46" t="inlineStr">
        <is>
          <t>김포지역</t>
        </is>
      </c>
      <c r="D152" s="46" t="inlineStr">
        <is>
          <t>코리아환경</t>
        </is>
      </c>
      <c r="E152" s="46" t="n">
        <v>700</v>
      </c>
      <c r="F152" s="46" t="inlineStr">
        <is>
          <t>갈산리</t>
        </is>
      </c>
      <c r="G152" s="50" t="n">
        <v>0.4791666666666667</v>
      </c>
      <c r="H152" s="51" t="n">
        <v>804760</v>
      </c>
      <c r="I152" s="46" t="inlineStr">
        <is>
          <t>송두기</t>
        </is>
      </c>
      <c r="K152" s="46" t="n">
        <v>151</v>
      </c>
      <c r="L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">
      <c r="A153" s="229" t="n">
        <v>45317</v>
      </c>
      <c r="B153" s="46" t="inlineStr">
        <is>
          <t>사용전검사</t>
        </is>
      </c>
      <c r="C153" s="46" t="inlineStr">
        <is>
          <t>부천지역</t>
        </is>
      </c>
      <c r="D153" s="46" t="inlineStr">
        <is>
          <t>하이팰리스</t>
        </is>
      </c>
      <c r="E153" s="46" t="n">
        <v>14</v>
      </c>
      <c r="F153" s="46" t="inlineStr">
        <is>
          <t>심곡동</t>
        </is>
      </c>
      <c r="G153" s="50" t="n"/>
      <c r="H153" s="51" t="n"/>
      <c r="I153" s="46" t="inlineStr">
        <is>
          <t>송낙명</t>
        </is>
      </c>
      <c r="K153" s="46" t="n">
        <v>152</v>
      </c>
      <c r="L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">
      <c r="A154" s="229" t="n">
        <v>45317</v>
      </c>
      <c r="B154" s="46" t="inlineStr">
        <is>
          <t>메모</t>
        </is>
      </c>
      <c r="C154" s="46" t="inlineStr">
        <is>
          <t>부천지역</t>
        </is>
      </c>
      <c r="D154" s="46" t="inlineStr">
        <is>
          <t>우승택휴가</t>
        </is>
      </c>
      <c r="E154" s="46" t="n"/>
      <c r="F154" s="46" t="n"/>
      <c r="G154" s="50" t="n"/>
      <c r="H154" s="51" t="n"/>
      <c r="I154" s="46" t="n"/>
      <c r="K154" s="46" t="n">
        <v>153</v>
      </c>
      <c r="L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">
      <c r="A155" s="229" t="n">
        <v>45317</v>
      </c>
      <c r="B155" s="46" t="inlineStr">
        <is>
          <t>메모</t>
        </is>
      </c>
      <c r="C155" s="46" t="inlineStr">
        <is>
          <t>부천지역</t>
        </is>
      </c>
      <c r="D155" s="46" t="inlineStr">
        <is>
          <t>민재홍병가</t>
        </is>
      </c>
      <c r="E155" s="46" t="n"/>
      <c r="F155" s="46" t="n"/>
      <c r="G155" s="50" t="n"/>
      <c r="H155" s="51" t="n"/>
      <c r="I155" s="46" t="n"/>
      <c r="K155" s="46" t="n">
        <v>154</v>
      </c>
      <c r="L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">
      <c r="A156" s="229" t="n">
        <v>45317</v>
      </c>
      <c r="B156" s="46" t="inlineStr">
        <is>
          <t>사용전검사</t>
        </is>
      </c>
      <c r="C156" s="46" t="inlineStr">
        <is>
          <t>김포지역</t>
        </is>
      </c>
      <c r="D156" s="46" t="inlineStr">
        <is>
          <t>참인기업</t>
        </is>
      </c>
      <c r="E156" s="46" t="n">
        <v>130</v>
      </c>
      <c r="F156" s="46" t="inlineStr">
        <is>
          <t>대벽리</t>
        </is>
      </c>
      <c r="G156" s="50" t="n"/>
      <c r="H156" s="51" t="n"/>
      <c r="I156" s="46" t="inlineStr">
        <is>
          <t>이종석</t>
        </is>
      </c>
      <c r="K156" s="46" t="n">
        <v>155</v>
      </c>
      <c r="L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">
      <c r="A157" s="229" t="n">
        <v>45317</v>
      </c>
      <c r="B157" s="46" t="inlineStr">
        <is>
          <t>사용전검사</t>
        </is>
      </c>
      <c r="C157" s="46" t="inlineStr">
        <is>
          <t>김포지역</t>
        </is>
      </c>
      <c r="D157" s="46" t="inlineStr">
        <is>
          <t>육군제2291</t>
        </is>
      </c>
      <c r="E157" s="46" t="n">
        <v>52</v>
      </c>
      <c r="F157" s="46" t="inlineStr">
        <is>
          <t>학운리</t>
        </is>
      </c>
      <c r="G157" s="50" t="n"/>
      <c r="H157" s="51" t="n"/>
      <c r="I157" s="46" t="inlineStr">
        <is>
          <t>이종석</t>
        </is>
      </c>
      <c r="K157" s="46" t="n">
        <v>156</v>
      </c>
      <c r="L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">
      <c r="A158" s="229" t="n">
        <v>45318</v>
      </c>
      <c r="B158" s="46" t="inlineStr">
        <is>
          <t>정기검사</t>
        </is>
      </c>
      <c r="C158" s="46" t="inlineStr">
        <is>
          <t>김포지역</t>
        </is>
      </c>
      <c r="D158" s="46" t="inlineStr">
        <is>
          <t>은성프라자</t>
        </is>
      </c>
      <c r="E158" s="46" t="n">
        <v>500</v>
      </c>
      <c r="F158" s="46" t="inlineStr">
        <is>
          <t>구래동</t>
        </is>
      </c>
      <c r="G158" s="50" t="n">
        <v>0.2916666666666667</v>
      </c>
      <c r="H158" s="51" t="n">
        <v>958100</v>
      </c>
      <c r="I158" s="46" t="inlineStr">
        <is>
          <t>김영권</t>
        </is>
      </c>
      <c r="K158" s="46" t="n">
        <v>157</v>
      </c>
      <c r="L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">
      <c r="A159" s="229" t="n">
        <v>45318</v>
      </c>
      <c r="B159" s="46" t="inlineStr">
        <is>
          <t>정기검사</t>
        </is>
      </c>
      <c r="C159" s="46" t="inlineStr">
        <is>
          <t>김포지역</t>
        </is>
      </c>
      <c r="D159" s="46" t="inlineStr">
        <is>
          <t>평산</t>
        </is>
      </c>
      <c r="E159" s="46" t="n">
        <v>600</v>
      </c>
      <c r="F159" s="46" t="inlineStr">
        <is>
          <t>상마리</t>
        </is>
      </c>
      <c r="G159" s="50" t="n">
        <v>0.5</v>
      </c>
      <c r="H159" s="51" t="n">
        <v>770880</v>
      </c>
      <c r="I159" s="46" t="inlineStr">
        <is>
          <t>민경수</t>
        </is>
      </c>
      <c r="K159" s="46" t="n">
        <v>158</v>
      </c>
      <c r="L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">
      <c r="A160" s="229" t="n">
        <v>45318</v>
      </c>
      <c r="B160" s="46" t="inlineStr">
        <is>
          <t>정기검사</t>
        </is>
      </c>
      <c r="C160" s="46" t="inlineStr">
        <is>
          <t>김포지역</t>
        </is>
      </c>
      <c r="D160" s="46" t="inlineStr">
        <is>
          <t>김포대글로벌캠퍼스</t>
        </is>
      </c>
      <c r="E160" s="46" t="n">
        <v>7</v>
      </c>
      <c r="F160" s="46" t="inlineStr">
        <is>
          <t>운양동</t>
        </is>
      </c>
      <c r="G160" s="50" t="n"/>
      <c r="H160" s="51" t="n"/>
      <c r="I160" s="46" t="n"/>
      <c r="K160" s="46" t="n">
        <v>159</v>
      </c>
      <c r="L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">
      <c r="A161" s="229" t="n">
        <v>45318</v>
      </c>
      <c r="B161" s="46" t="inlineStr">
        <is>
          <t>메모</t>
        </is>
      </c>
      <c r="C161" s="46" t="inlineStr">
        <is>
          <t>부천지역</t>
        </is>
      </c>
      <c r="D161" s="46" t="inlineStr">
        <is>
          <t>우승택휴가</t>
        </is>
      </c>
      <c r="E161" s="46" t="n"/>
      <c r="F161" s="46" t="n"/>
      <c r="G161" s="50" t="n"/>
      <c r="H161" s="51" t="n"/>
      <c r="I161" s="46" t="n"/>
      <c r="K161" s="46" t="n">
        <v>160</v>
      </c>
      <c r="L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">
      <c r="A162" s="229" t="n">
        <v>45318</v>
      </c>
      <c r="B162" s="46" t="inlineStr">
        <is>
          <t>메모</t>
        </is>
      </c>
      <c r="C162" s="46" t="inlineStr">
        <is>
          <t>부천지역</t>
        </is>
      </c>
      <c r="D162" s="46" t="inlineStr">
        <is>
          <t>이덕기휴가</t>
        </is>
      </c>
      <c r="E162" s="46" t="n"/>
      <c r="F162" s="46" t="n"/>
      <c r="G162" s="50" t="n"/>
      <c r="H162" s="51" t="n"/>
      <c r="I162" s="46" t="n"/>
      <c r="K162" s="46" t="n">
        <v>161</v>
      </c>
      <c r="L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">
      <c r="A163" s="229" t="n">
        <v>45318</v>
      </c>
      <c r="B163" s="46" t="inlineStr">
        <is>
          <t>메모</t>
        </is>
      </c>
      <c r="C163" s="46" t="inlineStr">
        <is>
          <t>부천지역</t>
        </is>
      </c>
      <c r="D163" s="46" t="inlineStr">
        <is>
          <t>민재홍병가</t>
        </is>
      </c>
      <c r="E163" s="46" t="n"/>
      <c r="F163" s="46" t="n"/>
      <c r="G163" s="50" t="n"/>
      <c r="H163" s="51" t="n"/>
      <c r="I163" s="46" t="n"/>
      <c r="K163" s="46" t="n">
        <v>162</v>
      </c>
      <c r="L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">
      <c r="A164" s="229" t="n">
        <v>45318</v>
      </c>
      <c r="B164" s="46" t="inlineStr">
        <is>
          <t>메모</t>
        </is>
      </c>
      <c r="C164" s="46" t="inlineStr">
        <is>
          <t>부천지역</t>
        </is>
      </c>
      <c r="D164" s="46" t="inlineStr">
        <is>
          <t>장현민휴가</t>
        </is>
      </c>
      <c r="E164" s="46" t="n"/>
      <c r="F164" s="46" t="n"/>
      <c r="G164" s="50" t="n"/>
      <c r="H164" s="51" t="n"/>
      <c r="I164" s="46" t="n"/>
      <c r="K164" s="46" t="n">
        <v>163</v>
      </c>
      <c r="L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">
      <c r="A165" s="229" t="n">
        <v>45318</v>
      </c>
      <c r="B165" s="46" t="inlineStr">
        <is>
          <t>메모</t>
        </is>
      </c>
      <c r="C165" s="46" t="inlineStr">
        <is>
          <t>부천지역</t>
        </is>
      </c>
      <c r="D165" s="46" t="inlineStr">
        <is>
          <t>당효진휴가</t>
        </is>
      </c>
      <c r="E165" s="46" t="n"/>
      <c r="F165" s="46" t="n"/>
      <c r="G165" s="50" t="n"/>
      <c r="H165" s="51" t="n"/>
      <c r="I165" s="46" t="n"/>
      <c r="K165" s="46" t="n">
        <v>164</v>
      </c>
      <c r="L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">
      <c r="A166" s="229" t="n">
        <v>45318</v>
      </c>
      <c r="B166" s="46" t="inlineStr">
        <is>
          <t>사용전검사</t>
        </is>
      </c>
      <c r="C166" s="46" t="inlineStr">
        <is>
          <t>부천지역</t>
        </is>
      </c>
      <c r="D166" s="46" t="inlineStr">
        <is>
          <t>서주인팩</t>
        </is>
      </c>
      <c r="E166" s="46" t="n">
        <v>199</v>
      </c>
      <c r="F166" s="46" t="inlineStr">
        <is>
          <t>송마리</t>
        </is>
      </c>
      <c r="G166" s="50" t="n"/>
      <c r="H166" s="51" t="n"/>
      <c r="I166" s="46" t="inlineStr">
        <is>
          <t>정신배</t>
        </is>
      </c>
      <c r="K166" s="46" t="n">
        <v>165</v>
      </c>
      <c r="L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">
      <c r="A167" s="229" t="n">
        <v>45318</v>
      </c>
      <c r="B167" s="46" t="inlineStr">
        <is>
          <t>사용전검사</t>
        </is>
      </c>
      <c r="C167" s="46" t="inlineStr">
        <is>
          <t>김포지역</t>
        </is>
      </c>
      <c r="D167" s="46" t="inlineStr">
        <is>
          <t>고려기초소재 부분(피뢰포함)</t>
        </is>
      </c>
      <c r="E167" s="46" t="n">
        <v>6500</v>
      </c>
      <c r="F167" s="46" t="inlineStr">
        <is>
          <t>학운리</t>
        </is>
      </c>
      <c r="G167" s="50" t="n"/>
      <c r="H167" s="51" t="n"/>
      <c r="I167" s="46" t="inlineStr">
        <is>
          <t>서수형</t>
        </is>
      </c>
      <c r="K167" s="46" t="n">
        <v>166</v>
      </c>
      <c r="L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">
      <c r="A168" s="229" t="n">
        <v>45318</v>
      </c>
      <c r="B168" s="46" t="inlineStr">
        <is>
          <t>사용전검사</t>
        </is>
      </c>
      <c r="C168" s="46" t="inlineStr">
        <is>
          <t>김포지역</t>
        </is>
      </c>
      <c r="D168" s="46" t="inlineStr">
        <is>
          <t>유강태양광</t>
        </is>
      </c>
      <c r="E168" s="46" t="n">
        <v>112.6</v>
      </c>
      <c r="F168" s="46" t="inlineStr">
        <is>
          <t>고양리</t>
        </is>
      </c>
      <c r="G168" s="50" t="n"/>
      <c r="H168" s="51" t="n"/>
      <c r="I168" s="46" t="inlineStr">
        <is>
          <t>송두기</t>
        </is>
      </c>
      <c r="K168" s="46" t="n">
        <v>167</v>
      </c>
      <c r="L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">
      <c r="A169" s="229" t="n">
        <v>45318</v>
      </c>
      <c r="B169" s="46" t="inlineStr">
        <is>
          <t>사용전검사</t>
        </is>
      </c>
      <c r="C169" s="46" t="inlineStr">
        <is>
          <t>김포지역</t>
        </is>
      </c>
      <c r="D169" s="46" t="inlineStr">
        <is>
          <t>진영에스텍</t>
        </is>
      </c>
      <c r="E169" s="46" t="n">
        <v>95</v>
      </c>
      <c r="F169" s="46" t="inlineStr">
        <is>
          <t>송마리</t>
        </is>
      </c>
      <c r="G169" s="50" t="n"/>
      <c r="H169" s="51" t="n"/>
      <c r="I169" s="46" t="inlineStr">
        <is>
          <t>정신배</t>
        </is>
      </c>
      <c r="K169" s="46" t="n">
        <v>168</v>
      </c>
      <c r="L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">
      <c r="A170" s="229" t="n">
        <v>45318</v>
      </c>
      <c r="B170" s="46" t="inlineStr">
        <is>
          <t>사용전검사</t>
        </is>
      </c>
      <c r="C170" s="46" t="inlineStr">
        <is>
          <t>김포지역</t>
        </is>
      </c>
      <c r="D170" s="46" t="inlineStr">
        <is>
          <t>한국파레스폴</t>
        </is>
      </c>
      <c r="E170" s="46" t="inlineStr">
        <is>
          <t>부분</t>
        </is>
      </c>
      <c r="F170" s="46" t="inlineStr">
        <is>
          <t>흥신리</t>
        </is>
      </c>
      <c r="G170" s="50" t="n"/>
      <c r="H170" s="51" t="n"/>
      <c r="I170" s="46" t="inlineStr">
        <is>
          <t>이종석</t>
        </is>
      </c>
      <c r="K170" s="46" t="n">
        <v>169</v>
      </c>
      <c r="L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">
      <c r="A171" s="229" t="n">
        <v>45318</v>
      </c>
      <c r="B171" s="46" t="inlineStr">
        <is>
          <t>사용전검사</t>
        </is>
      </c>
      <c r="C171" s="46" t="inlineStr">
        <is>
          <t>김포지역</t>
        </is>
      </c>
      <c r="D171" s="46" t="inlineStr">
        <is>
          <t>우송1호</t>
        </is>
      </c>
      <c r="E171" s="46" t="n">
        <v>89</v>
      </c>
      <c r="F171" s="46" t="inlineStr">
        <is>
          <t>학운리</t>
        </is>
      </c>
      <c r="G171" s="50" t="n"/>
      <c r="H171" s="51" t="n"/>
      <c r="I171" s="46" t="inlineStr">
        <is>
          <t>허창수</t>
        </is>
      </c>
      <c r="K171" s="46" t="n">
        <v>170</v>
      </c>
      <c r="L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">
      <c r="A172" s="229" t="n">
        <v>45318</v>
      </c>
      <c r="B172" s="46" t="inlineStr">
        <is>
          <t>사용전검사</t>
        </is>
      </c>
      <c r="C172" s="46" t="inlineStr">
        <is>
          <t>김포지역</t>
        </is>
      </c>
      <c r="D172" s="46" t="inlineStr">
        <is>
          <t>우송2호</t>
        </is>
      </c>
      <c r="E172" s="46" t="n">
        <v>90</v>
      </c>
      <c r="F172" s="46" t="inlineStr">
        <is>
          <t>학운리</t>
        </is>
      </c>
      <c r="G172" s="50" t="n"/>
      <c r="H172" s="51" t="n"/>
      <c r="I172" s="46" t="inlineStr">
        <is>
          <t>허창수</t>
        </is>
      </c>
      <c r="K172" s="46" t="n">
        <v>171</v>
      </c>
      <c r="L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">
      <c r="A173" s="229" t="n">
        <v>45318</v>
      </c>
      <c r="B173" s="46" t="inlineStr">
        <is>
          <t>사용전검사</t>
        </is>
      </c>
      <c r="C173" s="46" t="inlineStr">
        <is>
          <t>김포지역</t>
        </is>
      </c>
      <c r="D173" s="46" t="inlineStr">
        <is>
          <t>목공1호</t>
        </is>
      </c>
      <c r="E173" s="46" t="n">
        <v>88</v>
      </c>
      <c r="F173" s="46" t="inlineStr">
        <is>
          <t>학운리</t>
        </is>
      </c>
      <c r="G173" s="50" t="n"/>
      <c r="H173" s="51" t="n"/>
      <c r="I173" s="46" t="inlineStr">
        <is>
          <t>허창수</t>
        </is>
      </c>
      <c r="K173" s="46" t="n">
        <v>172</v>
      </c>
      <c r="L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">
      <c r="A174" s="229" t="n">
        <v>45318</v>
      </c>
      <c r="B174" s="46" t="inlineStr">
        <is>
          <t>사용전검사</t>
        </is>
      </c>
      <c r="C174" s="46" t="inlineStr">
        <is>
          <t>김포지역</t>
        </is>
      </c>
      <c r="D174" s="46" t="inlineStr">
        <is>
          <t>목공2호</t>
        </is>
      </c>
      <c r="E174" s="46" t="n">
        <v>89</v>
      </c>
      <c r="F174" s="46" t="inlineStr">
        <is>
          <t>학운리</t>
        </is>
      </c>
      <c r="G174" s="50" t="n"/>
      <c r="H174" s="51" t="n"/>
      <c r="I174" s="46" t="inlineStr">
        <is>
          <t>허창수</t>
        </is>
      </c>
      <c r="K174" s="46" t="n">
        <v>173</v>
      </c>
      <c r="L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">
      <c r="A175" s="229" t="n">
        <v>45318</v>
      </c>
      <c r="B175" s="46" t="inlineStr">
        <is>
          <t>사용전검사</t>
        </is>
      </c>
      <c r="C175" s="46" t="inlineStr">
        <is>
          <t>김포지역</t>
        </is>
      </c>
      <c r="D175" s="46" t="inlineStr">
        <is>
          <t>목공3호</t>
        </is>
      </c>
      <c r="E175" s="46" t="n">
        <v>90</v>
      </c>
      <c r="F175" s="46" t="inlineStr">
        <is>
          <t>학운리</t>
        </is>
      </c>
      <c r="G175" s="50" t="n"/>
      <c r="H175" s="51" t="n"/>
      <c r="I175" s="46" t="inlineStr">
        <is>
          <t>김영권</t>
        </is>
      </c>
      <c r="K175" s="46" t="n">
        <v>174</v>
      </c>
      <c r="L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">
      <c r="A176" s="229" t="n">
        <v>45318</v>
      </c>
      <c r="B176" s="46" t="inlineStr">
        <is>
          <t>사용전검사</t>
        </is>
      </c>
      <c r="C176" s="46" t="inlineStr">
        <is>
          <t>김포지역</t>
        </is>
      </c>
      <c r="D176" s="46" t="inlineStr">
        <is>
          <t>목공4호</t>
        </is>
      </c>
      <c r="E176" s="46" t="n">
        <v>91</v>
      </c>
      <c r="F176" s="46" t="inlineStr">
        <is>
          <t>학운리</t>
        </is>
      </c>
      <c r="G176" s="50" t="n"/>
      <c r="H176" s="51" t="n"/>
      <c r="I176" s="46" t="inlineStr">
        <is>
          <t>김영권</t>
        </is>
      </c>
      <c r="K176" s="46" t="n">
        <v>175</v>
      </c>
      <c r="L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">
      <c r="A177" s="229" t="n">
        <v>45319</v>
      </c>
      <c r="B177" s="46" t="inlineStr">
        <is>
          <t>정기검사</t>
        </is>
      </c>
      <c r="C177" s="46" t="inlineStr">
        <is>
          <t>부천지역</t>
        </is>
      </c>
      <c r="D177" s="46" t="inlineStr">
        <is>
          <t>미성이앤씨</t>
        </is>
      </c>
      <c r="E177" s="46" t="inlineStr">
        <is>
          <t>750/200</t>
        </is>
      </c>
      <c r="F177" s="46" t="inlineStr">
        <is>
          <t>중동</t>
        </is>
      </c>
      <c r="G177" s="50" t="n">
        <v>0.2708333333333333</v>
      </c>
      <c r="H177" s="51" t="n">
        <v>1315820</v>
      </c>
      <c r="I177" s="46" t="inlineStr">
        <is>
          <t>정신배</t>
        </is>
      </c>
      <c r="K177" s="46" t="n">
        <v>176</v>
      </c>
      <c r="L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">
      <c r="A178" s="229" t="n">
        <v>45319</v>
      </c>
      <c r="B178" s="46" t="inlineStr">
        <is>
          <t>정기검사</t>
        </is>
      </c>
      <c r="C178" s="46" t="inlineStr">
        <is>
          <t>김포지역</t>
        </is>
      </c>
      <c r="D178" s="46" t="inlineStr">
        <is>
          <t>보름초</t>
        </is>
      </c>
      <c r="E178" s="46" t="inlineStr">
        <is>
          <t>750/118</t>
        </is>
      </c>
      <c r="F178" s="46" t="inlineStr">
        <is>
          <t>태리</t>
        </is>
      </c>
      <c r="G178" s="50" t="n">
        <v>0.5</v>
      </c>
      <c r="H178" s="51" t="n">
        <v>873070</v>
      </c>
      <c r="I178" s="46" t="inlineStr">
        <is>
          <t>김영권</t>
        </is>
      </c>
      <c r="K178" s="46" t="n">
        <v>177</v>
      </c>
      <c r="L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">
      <c r="A179" s="229" t="n">
        <v>45319</v>
      </c>
      <c r="B179" s="46" t="inlineStr">
        <is>
          <t>정기검사</t>
        </is>
      </c>
      <c r="C179" s="46" t="inlineStr">
        <is>
          <t>김포지역</t>
        </is>
      </c>
      <c r="D179" s="46" t="inlineStr">
        <is>
          <t>금빛초</t>
        </is>
      </c>
      <c r="E179" s="46" t="inlineStr">
        <is>
          <t>600/105</t>
        </is>
      </c>
      <c r="F179" s="46" t="inlineStr">
        <is>
          <t>장기동</t>
        </is>
      </c>
      <c r="G179" s="50" t="n">
        <v>0.6041666666666666</v>
      </c>
      <c r="H179" s="51" t="n">
        <v>821370</v>
      </c>
      <c r="I179" s="46" t="inlineStr">
        <is>
          <t>민경수</t>
        </is>
      </c>
      <c r="K179" s="46" t="n">
        <v>178</v>
      </c>
      <c r="L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">
      <c r="A180" s="229" t="n">
        <v>45319</v>
      </c>
      <c r="B180" s="46" t="inlineStr">
        <is>
          <t>정기검사</t>
        </is>
      </c>
      <c r="C180" s="46" t="inlineStr">
        <is>
          <t>김포지역</t>
        </is>
      </c>
      <c r="D180" s="46" t="inlineStr">
        <is>
          <t>성공</t>
        </is>
      </c>
      <c r="E180" s="46" t="n">
        <v>250</v>
      </c>
      <c r="F180" s="46" t="inlineStr">
        <is>
          <t>송마리</t>
        </is>
      </c>
      <c r="G180" s="50" t="n">
        <v>0.4722222222222222</v>
      </c>
      <c r="H180" s="51" t="n">
        <v>489170</v>
      </c>
      <c r="I180" s="46" t="inlineStr">
        <is>
          <t>김상규</t>
        </is>
      </c>
      <c r="K180" s="46" t="n">
        <v>179</v>
      </c>
      <c r="L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">
      <c r="A181" s="229" t="n">
        <v>45319</v>
      </c>
      <c r="B181" s="46" t="inlineStr">
        <is>
          <t>정기검사</t>
        </is>
      </c>
      <c r="C181" s="46" t="inlineStr">
        <is>
          <t>김포지역</t>
        </is>
      </c>
      <c r="D181" s="46" t="inlineStr">
        <is>
          <t>명성레이저</t>
        </is>
      </c>
      <c r="E181" s="46" t="n">
        <v>200</v>
      </c>
      <c r="F181" s="46" t="inlineStr">
        <is>
          <t>대벽리</t>
        </is>
      </c>
      <c r="G181" s="50" t="n">
        <v>0.4791666666666667</v>
      </c>
      <c r="H181" s="51" t="n">
        <v>456720</v>
      </c>
      <c r="I181" s="46" t="inlineStr">
        <is>
          <t>이종석</t>
        </is>
      </c>
      <c r="K181" s="46" t="n">
        <v>180</v>
      </c>
      <c r="L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">
      <c r="A182" s="229" t="n">
        <v>45319</v>
      </c>
      <c r="B182" s="46" t="inlineStr">
        <is>
          <t>정기검사</t>
        </is>
      </c>
      <c r="C182" s="46" t="inlineStr">
        <is>
          <t>김포지역</t>
        </is>
      </c>
      <c r="D182" s="46" t="inlineStr">
        <is>
          <t>대한계전</t>
        </is>
      </c>
      <c r="E182" s="46" t="n">
        <v>500</v>
      </c>
      <c r="F182" s="46" t="inlineStr">
        <is>
          <t>학운리</t>
        </is>
      </c>
      <c r="G182" s="50" t="n">
        <v>0.5277777777777778</v>
      </c>
      <c r="H182" s="51" t="n">
        <v>737000</v>
      </c>
      <c r="I182" s="46" t="inlineStr">
        <is>
          <t>송낙명</t>
        </is>
      </c>
      <c r="K182" s="46" t="n">
        <v>181</v>
      </c>
      <c r="L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">
      <c r="A183" s="229" t="n">
        <v>45319</v>
      </c>
      <c r="B183" s="46" t="inlineStr">
        <is>
          <t>사용전검사</t>
        </is>
      </c>
      <c r="C183" s="46" t="inlineStr">
        <is>
          <t>부천지역</t>
        </is>
      </c>
      <c r="D183" s="46" t="inlineStr">
        <is>
          <t>한국수자원공사</t>
        </is>
      </c>
      <c r="E183" s="46" t="n">
        <v>100</v>
      </c>
      <c r="F183" s="46" t="inlineStr">
        <is>
          <t>원종동</t>
        </is>
      </c>
      <c r="G183" s="50" t="n"/>
      <c r="H183" s="51" t="n"/>
      <c r="I183" s="46" t="inlineStr">
        <is>
          <t>서수형</t>
        </is>
      </c>
      <c r="K183" s="46" t="n">
        <v>182</v>
      </c>
      <c r="L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">
      <c r="A184" s="229" t="n">
        <v>45319</v>
      </c>
      <c r="B184" s="46" t="inlineStr">
        <is>
          <t>사용전검사</t>
        </is>
      </c>
      <c r="C184" s="46" t="inlineStr">
        <is>
          <t>부천지역</t>
        </is>
      </c>
      <c r="D184" s="46" t="inlineStr">
        <is>
          <t>부천초</t>
        </is>
      </c>
      <c r="E184" s="46" t="n">
        <v>256</v>
      </c>
      <c r="F184" s="46" t="n"/>
      <c r="G184" s="50" t="n"/>
      <c r="H184" s="51" t="n"/>
      <c r="I184" s="46" t="inlineStr">
        <is>
          <t>허창수</t>
        </is>
      </c>
      <c r="K184" s="46" t="n">
        <v>183</v>
      </c>
      <c r="L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">
      <c r="A185" s="229" t="n">
        <v>45319</v>
      </c>
      <c r="B185" s="46" t="inlineStr">
        <is>
          <t>메모</t>
        </is>
      </c>
      <c r="C185" s="46" t="inlineStr">
        <is>
          <t>부천지역</t>
        </is>
      </c>
      <c r="D185" s="46" t="inlineStr">
        <is>
          <t>우승택휴가</t>
        </is>
      </c>
      <c r="E185" s="46" t="inlineStr">
        <is>
          <t>이덕기</t>
        </is>
      </c>
      <c r="F185" s="46" t="n"/>
      <c r="G185" s="50" t="n"/>
      <c r="H185" s="51" t="n"/>
      <c r="I185" s="46" t="n"/>
      <c r="K185" s="46" t="n">
        <v>184</v>
      </c>
      <c r="L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">
      <c r="A186" s="229" t="n">
        <v>45319</v>
      </c>
      <c r="B186" s="46" t="inlineStr">
        <is>
          <t>메모</t>
        </is>
      </c>
      <c r="C186" s="46" t="inlineStr">
        <is>
          <t>부천지역</t>
        </is>
      </c>
      <c r="D186" s="46" t="inlineStr">
        <is>
          <t>서수형휴가</t>
        </is>
      </c>
      <c r="E186" s="46" t="n"/>
      <c r="F186" s="46" t="n"/>
      <c r="G186" s="50" t="n"/>
      <c r="H186" s="51" t="n"/>
      <c r="I186" s="46" t="n"/>
      <c r="K186" s="46" t="n">
        <v>185</v>
      </c>
      <c r="L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">
      <c r="A187" s="229" t="n">
        <v>45319</v>
      </c>
      <c r="B187" s="46" t="inlineStr">
        <is>
          <t>메모</t>
        </is>
      </c>
      <c r="C187" s="46" t="inlineStr">
        <is>
          <t>부천지역</t>
        </is>
      </c>
      <c r="D187" s="46" t="inlineStr">
        <is>
          <t>장현민휴가</t>
        </is>
      </c>
      <c r="E187" s="46" t="inlineStr">
        <is>
          <t>정신배</t>
        </is>
      </c>
      <c r="F187" s="46" t="n"/>
      <c r="G187" s="50" t="n"/>
      <c r="H187" s="51" t="n"/>
      <c r="I187" s="46" t="n"/>
      <c r="K187" s="46" t="n">
        <v>186</v>
      </c>
      <c r="L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">
      <c r="A188" s="229" t="n">
        <v>45319</v>
      </c>
      <c r="B188" s="46" t="inlineStr">
        <is>
          <t>사용전검사</t>
        </is>
      </c>
      <c r="C188" s="46" t="inlineStr">
        <is>
          <t>김포지역</t>
        </is>
      </c>
      <c r="D188" s="46" t="inlineStr">
        <is>
          <t>성원산업</t>
        </is>
      </c>
      <c r="E188" s="46" t="n">
        <v>180</v>
      </c>
      <c r="F188" s="46" t="inlineStr">
        <is>
          <t>마송리</t>
        </is>
      </c>
      <c r="G188" s="50" t="n"/>
      <c r="H188" s="51" t="n"/>
      <c r="I188" s="46" t="inlineStr">
        <is>
          <t>민재홍</t>
        </is>
      </c>
      <c r="K188" s="46" t="n">
        <v>187</v>
      </c>
      <c r="L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">
      <c r="A189" s="229" t="n">
        <v>45319</v>
      </c>
      <c r="B189" s="46" t="inlineStr">
        <is>
          <t>사용전검사</t>
        </is>
      </c>
      <c r="C189" s="46" t="inlineStr">
        <is>
          <t>김포지역</t>
        </is>
      </c>
      <c r="D189" s="46" t="inlineStr">
        <is>
          <t>광성상사</t>
        </is>
      </c>
      <c r="E189" s="46" t="n">
        <v>15</v>
      </c>
      <c r="F189" s="46" t="inlineStr">
        <is>
          <t>원산리</t>
        </is>
      </c>
      <c r="G189" s="50" t="n"/>
      <c r="H189" s="51" t="n"/>
      <c r="I189" s="46" t="inlineStr">
        <is>
          <t>송두기</t>
        </is>
      </c>
      <c r="K189" s="46" t="n">
        <v>188</v>
      </c>
      <c r="L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">
      <c r="A190" s="229" t="n">
        <v>45320</v>
      </c>
      <c r="B190" s="46" t="inlineStr">
        <is>
          <t>정기검사</t>
        </is>
      </c>
      <c r="C190" s="46" t="inlineStr">
        <is>
          <t>김포지역</t>
        </is>
      </c>
      <c r="D190" s="46" t="inlineStr">
        <is>
          <t>금호어울림</t>
        </is>
      </c>
      <c r="E190" s="46" t="inlineStr">
        <is>
          <t>2000/500</t>
        </is>
      </c>
      <c r="F190" s="46" t="inlineStr">
        <is>
          <t>양곡리</t>
        </is>
      </c>
      <c r="G190" s="50" t="n">
        <v>0.4166666666666667</v>
      </c>
      <c r="H190" s="51" t="n">
        <v>1128600</v>
      </c>
      <c r="I190" s="46" t="inlineStr">
        <is>
          <t>이덕기</t>
        </is>
      </c>
      <c r="K190" s="46" t="n">
        <v>189</v>
      </c>
      <c r="L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">
      <c r="A191" s="229" t="n">
        <v>45320</v>
      </c>
      <c r="B191" s="46" t="inlineStr">
        <is>
          <t>메모</t>
        </is>
      </c>
      <c r="C191" s="46" t="inlineStr">
        <is>
          <t>부천지역</t>
        </is>
      </c>
      <c r="D191" s="46" t="inlineStr">
        <is>
          <t>김상규휴가</t>
        </is>
      </c>
      <c r="E191" s="46" t="inlineStr">
        <is>
          <t>깅영권</t>
        </is>
      </c>
      <c r="F191" s="46" t="inlineStr">
        <is>
          <t>밥퍼</t>
        </is>
      </c>
      <c r="G191" s="50" t="n"/>
      <c r="H191" s="51" t="n"/>
      <c r="I191" s="46" t="n"/>
      <c r="K191" s="46" t="n">
        <v>190</v>
      </c>
      <c r="L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">
      <c r="A192" s="229" t="n">
        <v>45320</v>
      </c>
      <c r="B192" s="46" t="inlineStr">
        <is>
          <t>메모</t>
        </is>
      </c>
      <c r="C192" s="46" t="inlineStr">
        <is>
          <t>부천지역</t>
        </is>
      </c>
      <c r="D192" s="46" t="inlineStr">
        <is>
          <t>우승택휴가</t>
        </is>
      </c>
      <c r="E192" s="46" t="inlineStr">
        <is>
          <t>송낙명</t>
        </is>
      </c>
      <c r="F192" s="46" t="n"/>
      <c r="G192" s="50" t="n"/>
      <c r="H192" s="51" t="n"/>
      <c r="I192" s="46" t="n"/>
      <c r="K192" s="46" t="n">
        <v>191</v>
      </c>
      <c r="L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">
      <c r="A193" s="229" t="n">
        <v>45320</v>
      </c>
      <c r="B193" s="46" t="inlineStr">
        <is>
          <t>메모</t>
        </is>
      </c>
      <c r="C193" s="46" t="inlineStr">
        <is>
          <t>부천지역</t>
        </is>
      </c>
      <c r="D193" s="46" t="inlineStr">
        <is>
          <t>서수형휴가</t>
        </is>
      </c>
      <c r="E193" s="46" t="inlineStr">
        <is>
          <t>허창수</t>
        </is>
      </c>
      <c r="F193" s="46" t="n"/>
      <c r="G193" s="50" t="n"/>
      <c r="H193" s="51" t="n"/>
      <c r="I193" s="46" t="n"/>
      <c r="K193" s="46" t="n">
        <v>192</v>
      </c>
      <c r="L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">
      <c r="A194" s="229" t="n">
        <v>45320</v>
      </c>
      <c r="B194" s="46" t="inlineStr">
        <is>
          <t>사용전검사</t>
        </is>
      </c>
      <c r="C194" s="46" t="inlineStr">
        <is>
          <t>부천지역</t>
        </is>
      </c>
      <c r="D194" s="46" t="n"/>
      <c r="E194" s="46" t="inlineStr">
        <is>
          <t>이종석</t>
        </is>
      </c>
      <c r="F194" s="46" t="n"/>
      <c r="G194" s="50" t="n"/>
      <c r="H194" s="51" t="n"/>
      <c r="I194" s="46" t="n"/>
      <c r="K194" s="46" t="n">
        <v>193</v>
      </c>
      <c r="L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">
      <c r="A195" s="229" t="n">
        <v>45320</v>
      </c>
      <c r="B195" s="46" t="inlineStr">
        <is>
          <t>사용전검사</t>
        </is>
      </c>
      <c r="C195" s="46" t="inlineStr">
        <is>
          <t>부천지역</t>
        </is>
      </c>
      <c r="D195" s="46" t="n"/>
      <c r="E195" s="46" t="inlineStr">
        <is>
          <t>정신배</t>
        </is>
      </c>
      <c r="F195" s="46" t="n"/>
      <c r="G195" s="50" t="n"/>
      <c r="H195" s="51" t="n"/>
      <c r="I195" s="46" t="n"/>
      <c r="K195" s="46" t="n">
        <v>194</v>
      </c>
      <c r="L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">
      <c r="A196" s="229" t="n">
        <v>45320</v>
      </c>
      <c r="B196" s="46" t="inlineStr">
        <is>
          <t>사용전검사</t>
        </is>
      </c>
      <c r="C196" s="46" t="inlineStr">
        <is>
          <t>김포지역</t>
        </is>
      </c>
      <c r="D196" s="46" t="inlineStr">
        <is>
          <t>에이치비티</t>
        </is>
      </c>
      <c r="E196" s="46" t="n">
        <v>290</v>
      </c>
      <c r="F196" s="46" t="inlineStr">
        <is>
          <t>학운리</t>
        </is>
      </c>
      <c r="G196" s="50" t="n"/>
      <c r="H196" s="51" t="n"/>
      <c r="I196" s="46" t="inlineStr">
        <is>
          <t>장현민</t>
        </is>
      </c>
      <c r="K196" s="46" t="n">
        <v>195</v>
      </c>
      <c r="L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">
      <c r="A197" s="229" t="n">
        <v>45321</v>
      </c>
      <c r="B197" s="46" t="inlineStr">
        <is>
          <t>정기검사</t>
        </is>
      </c>
      <c r="C197" s="46" t="inlineStr">
        <is>
          <t>김포지역</t>
        </is>
      </c>
      <c r="D197" s="46" t="inlineStr">
        <is>
          <t>대동실업</t>
        </is>
      </c>
      <c r="E197" s="46" t="n">
        <v>150</v>
      </c>
      <c r="F197" s="46" t="inlineStr">
        <is>
          <t>석정리</t>
        </is>
      </c>
      <c r="G197" s="50" t="n">
        <v>0.4166666666666667</v>
      </c>
      <c r="H197" s="51" t="n">
        <v>424160</v>
      </c>
      <c r="I197" s="46" t="inlineStr">
        <is>
          <t>민경수</t>
        </is>
      </c>
      <c r="K197" s="46" t="n">
        <v>196</v>
      </c>
      <c r="L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">
      <c r="A198" s="229" t="n">
        <v>45321</v>
      </c>
      <c r="B198" s="46" t="inlineStr">
        <is>
          <t>정기검사</t>
        </is>
      </c>
      <c r="C198" s="46" t="inlineStr">
        <is>
          <t>김포지역</t>
        </is>
      </c>
      <c r="D198" s="46" t="inlineStr">
        <is>
          <t>대현특수압연</t>
        </is>
      </c>
      <c r="E198" s="46" t="n">
        <v>225</v>
      </c>
      <c r="F198" s="46" t="inlineStr">
        <is>
          <t>누산리</t>
        </is>
      </c>
      <c r="G198" s="50" t="n">
        <v>0.5</v>
      </c>
      <c r="H198" s="51" t="n">
        <v>472890</v>
      </c>
      <c r="I198" s="46" t="inlineStr">
        <is>
          <t>이덕기</t>
        </is>
      </c>
      <c r="K198" s="46" t="n">
        <v>197</v>
      </c>
      <c r="L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">
      <c r="A199" s="229" t="n">
        <v>45321</v>
      </c>
      <c r="B199" s="46" t="inlineStr">
        <is>
          <t>사용전검사</t>
        </is>
      </c>
      <c r="C199" s="46" t="inlineStr">
        <is>
          <t>부천지역</t>
        </is>
      </c>
      <c r="D199" s="46" t="inlineStr">
        <is>
          <t>케이티</t>
        </is>
      </c>
      <c r="E199" s="46" t="inlineStr">
        <is>
          <t>ess</t>
        </is>
      </c>
      <c r="F199" s="46" t="inlineStr">
        <is>
          <t>심곡동</t>
        </is>
      </c>
      <c r="G199" s="50" t="n"/>
      <c r="H199" s="51" t="n"/>
      <c r="I199" s="46" t="inlineStr">
        <is>
          <t>김상규</t>
        </is>
      </c>
      <c r="K199" s="46" t="n">
        <v>198</v>
      </c>
      <c r="L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">
      <c r="A200" s="229" t="n">
        <v>45321</v>
      </c>
      <c r="B200" s="46" t="inlineStr">
        <is>
          <t>메모</t>
        </is>
      </c>
      <c r="C200" s="46" t="inlineStr">
        <is>
          <t>부천지역</t>
        </is>
      </c>
      <c r="D200" s="46" t="inlineStr">
        <is>
          <t>민재홍휴가</t>
        </is>
      </c>
      <c r="E200" s="46" t="n"/>
      <c r="F200" s="46" t="n"/>
      <c r="G200" s="50" t="n"/>
      <c r="H200" s="51" t="n"/>
      <c r="I200" s="46" t="n"/>
      <c r="K200" s="46" t="n">
        <v>199</v>
      </c>
      <c r="L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">
      <c r="A201" s="229" t="n">
        <v>45321</v>
      </c>
      <c r="B201" s="46" t="inlineStr">
        <is>
          <t>메모</t>
        </is>
      </c>
      <c r="C201" s="46" t="inlineStr">
        <is>
          <t>부천지역</t>
        </is>
      </c>
      <c r="D201" s="46" t="inlineStr">
        <is>
          <t>우승택휴가</t>
        </is>
      </c>
      <c r="E201" s="46" t="n"/>
      <c r="F201" s="46" t="n"/>
      <c r="G201" s="50" t="n"/>
      <c r="H201" s="51" t="n"/>
      <c r="I201" s="46" t="n"/>
      <c r="K201" s="46" t="n">
        <v>200</v>
      </c>
      <c r="L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">
      <c r="A202" s="229" t="n">
        <v>45321</v>
      </c>
      <c r="B202" s="46" t="inlineStr">
        <is>
          <t>메모</t>
        </is>
      </c>
      <c r="C202" s="46" t="inlineStr">
        <is>
          <t>부천지역</t>
        </is>
      </c>
      <c r="D202" s="46" t="inlineStr">
        <is>
          <t>서수형휴가</t>
        </is>
      </c>
      <c r="E202" s="46" t="n"/>
      <c r="F202" s="46" t="n"/>
      <c r="G202" s="50" t="n"/>
      <c r="H202" s="51" t="n"/>
      <c r="I202" s="46" t="n"/>
      <c r="K202" s="46" t="n">
        <v>201</v>
      </c>
      <c r="L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">
      <c r="A203" s="229" t="n">
        <v>45321</v>
      </c>
      <c r="B203" s="46" t="inlineStr">
        <is>
          <t>메모</t>
        </is>
      </c>
      <c r="C203" s="46" t="inlineStr">
        <is>
          <t>부천지역</t>
        </is>
      </c>
      <c r="D203" s="46" t="inlineStr">
        <is>
          <t>김영권휴가</t>
        </is>
      </c>
      <c r="E203" s="46" t="n"/>
      <c r="F203" s="46" t="n"/>
      <c r="G203" s="50" t="n"/>
      <c r="H203" s="51" t="n"/>
      <c r="I203" s="46" t="n"/>
      <c r="K203" s="46" t="n">
        <v>202</v>
      </c>
      <c r="L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">
      <c r="A204" s="229" t="n">
        <v>45321</v>
      </c>
      <c r="B204" s="46" t="inlineStr">
        <is>
          <t>사용전검사</t>
        </is>
      </c>
      <c r="C204" s="46" t="inlineStr">
        <is>
          <t>김포지역</t>
        </is>
      </c>
      <c r="D204" s="46" t="inlineStr">
        <is>
          <t>정원엘피6호</t>
        </is>
      </c>
      <c r="E204" s="46" t="n">
        <v>85</v>
      </c>
      <c r="F204" s="46" t="inlineStr">
        <is>
          <t>옹정리</t>
        </is>
      </c>
      <c r="G204" s="50" t="n"/>
      <c r="H204" s="51" t="n"/>
      <c r="I204" s="46" t="inlineStr">
        <is>
          <t>허창수</t>
        </is>
      </c>
      <c r="K204" s="46" t="n">
        <v>203</v>
      </c>
      <c r="L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">
      <c r="A205" s="229" t="n">
        <v>45321</v>
      </c>
      <c r="B205" s="46" t="inlineStr">
        <is>
          <t>사용전검사</t>
        </is>
      </c>
      <c r="C205" s="46" t="inlineStr">
        <is>
          <t>김포지역</t>
        </is>
      </c>
      <c r="D205" s="46" t="inlineStr">
        <is>
          <t>정원엘피5호</t>
        </is>
      </c>
      <c r="E205" s="46" t="n">
        <v>85</v>
      </c>
      <c r="F205" s="46" t="inlineStr">
        <is>
          <t>옹정리</t>
        </is>
      </c>
      <c r="G205" s="50" t="n"/>
      <c r="H205" s="51" t="n"/>
      <c r="I205" s="46" t="inlineStr">
        <is>
          <t>허창수</t>
        </is>
      </c>
      <c r="K205" s="46" t="n">
        <v>204</v>
      </c>
      <c r="L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">
      <c r="A206" s="229" t="n">
        <v>45321</v>
      </c>
      <c r="B206" s="46" t="inlineStr">
        <is>
          <t>사용전검사</t>
        </is>
      </c>
      <c r="C206" s="46" t="inlineStr">
        <is>
          <t>김포지역</t>
        </is>
      </c>
      <c r="D206" s="46" t="inlineStr">
        <is>
          <t>정원엘피4호</t>
        </is>
      </c>
      <c r="E206" s="46" t="n">
        <v>85</v>
      </c>
      <c r="F206" s="46" t="inlineStr">
        <is>
          <t>옹정리</t>
        </is>
      </c>
      <c r="G206" s="50" t="n"/>
      <c r="H206" s="51" t="n"/>
      <c r="I206" s="46" t="inlineStr">
        <is>
          <t>송두기</t>
        </is>
      </c>
      <c r="K206" s="46" t="n">
        <v>205</v>
      </c>
      <c r="L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">
      <c r="A207" s="229" t="n">
        <v>45321</v>
      </c>
      <c r="B207" s="46" t="inlineStr">
        <is>
          <t>사용전검사</t>
        </is>
      </c>
      <c r="C207" s="46" t="inlineStr">
        <is>
          <t>김포지역</t>
        </is>
      </c>
      <c r="D207" s="46" t="inlineStr">
        <is>
          <t>정원엘피3호</t>
        </is>
      </c>
      <c r="E207" s="46" t="n">
        <v>85</v>
      </c>
      <c r="F207" s="46" t="inlineStr">
        <is>
          <t>옹정리</t>
        </is>
      </c>
      <c r="G207" s="50" t="n"/>
      <c r="H207" s="51" t="n"/>
      <c r="I207" s="46" t="inlineStr">
        <is>
          <t>송두기</t>
        </is>
      </c>
      <c r="K207" s="46" t="n">
        <v>206</v>
      </c>
      <c r="L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">
      <c r="A208" s="229" t="n">
        <v>45321</v>
      </c>
      <c r="B208" s="46" t="inlineStr">
        <is>
          <t>사용전검사</t>
        </is>
      </c>
      <c r="C208" s="46" t="inlineStr">
        <is>
          <t>김포지역</t>
        </is>
      </c>
      <c r="D208" s="46" t="inlineStr">
        <is>
          <t>성일식품</t>
        </is>
      </c>
      <c r="E208" s="46" t="n">
        <v>649</v>
      </c>
      <c r="F208" s="46" t="inlineStr">
        <is>
          <t>신안리</t>
        </is>
      </c>
      <c r="G208" s="50" t="n"/>
      <c r="H208" s="51" t="n"/>
      <c r="I208" s="46" t="inlineStr">
        <is>
          <t>정신배</t>
        </is>
      </c>
      <c r="K208" s="46" t="n">
        <v>207</v>
      </c>
      <c r="L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">
      <c r="A209" s="229" t="n">
        <v>45321</v>
      </c>
      <c r="B209" s="46" t="inlineStr">
        <is>
          <t>사용전검사</t>
        </is>
      </c>
      <c r="C209" s="46" t="inlineStr">
        <is>
          <t>김포지역</t>
        </is>
      </c>
      <c r="D209" s="46" t="inlineStr">
        <is>
          <t>김애자</t>
        </is>
      </c>
      <c r="E209" s="46" t="n">
        <v>18</v>
      </c>
      <c r="F209" s="46" t="inlineStr">
        <is>
          <t>마곡리</t>
        </is>
      </c>
      <c r="G209" s="50" t="n"/>
      <c r="H209" s="51" t="n"/>
      <c r="I209" s="46" t="inlineStr">
        <is>
          <t>이종석</t>
        </is>
      </c>
      <c r="K209" s="46" t="n">
        <v>208</v>
      </c>
      <c r="L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">
      <c r="A210" s="229" t="n">
        <v>45385</v>
      </c>
      <c r="B210" s="46" t="inlineStr">
        <is>
          <t>정기검사</t>
        </is>
      </c>
      <c r="C210" s="46" t="inlineStr">
        <is>
          <t>부천지역</t>
        </is>
      </c>
      <c r="D210" s="46" t="inlineStr">
        <is>
          <t>대우프라자</t>
        </is>
      </c>
      <c r="E210" s="46" t="inlineStr">
        <is>
          <t>950/182</t>
        </is>
      </c>
      <c r="F210" s="46" t="inlineStr">
        <is>
          <t>송내동</t>
        </is>
      </c>
      <c r="G210" s="50" t="n">
        <v>0.25</v>
      </c>
      <c r="H210" s="51" t="n">
        <v>1403820</v>
      </c>
      <c r="I210" s="46" t="inlineStr">
        <is>
          <t>이종석</t>
        </is>
      </c>
      <c r="K210" s="46" t="n">
        <v>209</v>
      </c>
      <c r="L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">
      <c r="A211" s="229" t="n">
        <v>45385</v>
      </c>
      <c r="B211" s="46" t="inlineStr">
        <is>
          <t>정기검사</t>
        </is>
      </c>
      <c r="C211" s="46" t="inlineStr">
        <is>
          <t>부천지역</t>
        </is>
      </c>
      <c r="D211" s="46" t="inlineStr">
        <is>
          <t>상동도서관</t>
        </is>
      </c>
      <c r="E211" s="46" t="inlineStr">
        <is>
          <t>750/259</t>
        </is>
      </c>
      <c r="F211" s="46" t="inlineStr">
        <is>
          <t>상동</t>
        </is>
      </c>
      <c r="G211" s="50" t="n">
        <v>0.3958333333333333</v>
      </c>
      <c r="H211" s="51" t="n">
        <v>1209890</v>
      </c>
      <c r="I211" s="46" t="inlineStr">
        <is>
          <t>허창수</t>
        </is>
      </c>
      <c r="K211" s="46" t="n">
        <v>210</v>
      </c>
      <c r="L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">
      <c r="A212" s="229" t="n">
        <v>45385</v>
      </c>
      <c r="B212" s="46" t="inlineStr">
        <is>
          <t>정기검사</t>
        </is>
      </c>
      <c r="C212" s="46" t="inlineStr">
        <is>
          <t>부천지역</t>
        </is>
      </c>
      <c r="D212" s="46" t="inlineStr">
        <is>
          <t>하나하드웨어</t>
        </is>
      </c>
      <c r="E212" s="46" t="n">
        <v>200</v>
      </c>
      <c r="F212" s="46" t="inlineStr">
        <is>
          <t>내동</t>
        </is>
      </c>
      <c r="G212" s="50" t="n">
        <v>0.4791666666666667</v>
      </c>
      <c r="H212" s="51" t="n">
        <v>456720</v>
      </c>
      <c r="I212" s="46" t="inlineStr">
        <is>
          <t>이종석</t>
        </is>
      </c>
      <c r="K212" s="46" t="n">
        <v>211</v>
      </c>
      <c r="L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">
      <c r="A213" s="229" t="n">
        <v>45385</v>
      </c>
      <c r="B213" s="46" t="inlineStr">
        <is>
          <t>정기검사</t>
        </is>
      </c>
      <c r="C213" s="46" t="inlineStr">
        <is>
          <t>부천지역</t>
        </is>
      </c>
      <c r="D213" s="46" t="inlineStr">
        <is>
          <t>선하이텍</t>
        </is>
      </c>
      <c r="E213" s="46" t="n">
        <v>290</v>
      </c>
      <c r="F213" s="46" t="inlineStr">
        <is>
          <t>내동</t>
        </is>
      </c>
      <c r="G213" s="50" t="n">
        <v>0.5208333333333334</v>
      </c>
      <c r="H213" s="51" t="n">
        <v>515130</v>
      </c>
      <c r="I213" s="46" t="inlineStr">
        <is>
          <t>송낙명</t>
        </is>
      </c>
      <c r="K213" s="46" t="n">
        <v>212</v>
      </c>
      <c r="L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">
      <c r="A214" s="229" t="n">
        <v>45385</v>
      </c>
      <c r="B214" s="46" t="inlineStr">
        <is>
          <t>정기검사</t>
        </is>
      </c>
      <c r="C214" s="46" t="inlineStr">
        <is>
          <t>부천지역</t>
        </is>
      </c>
      <c r="D214" s="46" t="inlineStr">
        <is>
          <t>대햐복합타워</t>
        </is>
      </c>
      <c r="E214" s="46" t="inlineStr">
        <is>
          <t>550/145</t>
        </is>
      </c>
      <c r="F214" s="46" t="inlineStr">
        <is>
          <t>상동</t>
        </is>
      </c>
      <c r="G214" s="50" t="n">
        <v>0.3958333333333333</v>
      </c>
      <c r="H214" s="51" t="n">
        <v>933460</v>
      </c>
      <c r="I214" s="46" t="inlineStr">
        <is>
          <t>민재홍</t>
        </is>
      </c>
      <c r="K214" s="46" t="n">
        <v>213</v>
      </c>
      <c r="L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">
      <c r="A215" s="229" t="n">
        <v>45385</v>
      </c>
      <c r="B215" s="46" t="inlineStr">
        <is>
          <t>정기검사</t>
        </is>
      </c>
      <c r="C215" s="46" t="inlineStr">
        <is>
          <t>부천지역</t>
        </is>
      </c>
      <c r="D215" s="46" t="inlineStr">
        <is>
          <t>홍일상가</t>
        </is>
      </c>
      <c r="E215" s="46" t="n">
        <v>300</v>
      </c>
      <c r="F215" s="46" t="inlineStr">
        <is>
          <t>삼정동</t>
        </is>
      </c>
      <c r="G215" s="50" t="n">
        <v>0.3958333333333333</v>
      </c>
      <c r="H215" s="51" t="n">
        <v>521730</v>
      </c>
      <c r="I215" s="46" t="inlineStr">
        <is>
          <t>서수형</t>
        </is>
      </c>
      <c r="K215" s="46" t="n">
        <v>214</v>
      </c>
      <c r="L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">
      <c r="A216" s="229" t="n">
        <v>45385</v>
      </c>
      <c r="B216" s="46" t="inlineStr">
        <is>
          <t>정기검사</t>
        </is>
      </c>
      <c r="C216" s="46" t="inlineStr">
        <is>
          <t>부천지역</t>
        </is>
      </c>
      <c r="D216" s="46" t="inlineStr">
        <is>
          <t>토탈바스켓</t>
        </is>
      </c>
      <c r="E216" s="46" t="n">
        <v>500</v>
      </c>
      <c r="F216" s="46" t="inlineStr">
        <is>
          <t>오정동</t>
        </is>
      </c>
      <c r="G216" s="50" t="n">
        <v>0.6458333333333334</v>
      </c>
      <c r="H216" s="51" t="n">
        <v>737000</v>
      </c>
      <c r="I216" s="46" t="inlineStr">
        <is>
          <t>이덕기</t>
        </is>
      </c>
      <c r="K216" s="46" t="n">
        <v>215</v>
      </c>
      <c r="L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">
      <c r="A217" s="229" t="n">
        <v>45385</v>
      </c>
      <c r="B217" s="46" t="inlineStr">
        <is>
          <t>정기검사</t>
        </is>
      </c>
      <c r="C217" s="46" t="inlineStr">
        <is>
          <t>김포지역</t>
        </is>
      </c>
      <c r="D217" s="46" t="inlineStr">
        <is>
          <t>한국아이치</t>
        </is>
      </c>
      <c r="E217" s="46" t="n">
        <v>700</v>
      </c>
      <c r="F217" s="46" t="inlineStr">
        <is>
          <t>학운리</t>
        </is>
      </c>
      <c r="G217" s="50" t="n">
        <v>0.5</v>
      </c>
      <c r="H217" s="51" t="n">
        <v>804760</v>
      </c>
      <c r="I217" s="46" t="inlineStr">
        <is>
          <t>우승택</t>
        </is>
      </c>
      <c r="K217" s="46" t="n">
        <v>216</v>
      </c>
      <c r="L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">
      <c r="A218" s="229" t="n">
        <v>45385</v>
      </c>
      <c r="B218" s="46" t="inlineStr">
        <is>
          <t>정기검사</t>
        </is>
      </c>
      <c r="C218" s="46" t="inlineStr">
        <is>
          <t>김포지역</t>
        </is>
      </c>
      <c r="D218" s="46" t="inlineStr">
        <is>
          <t>삼성산업</t>
        </is>
      </c>
      <c r="E218" s="46" t="n">
        <v>580</v>
      </c>
      <c r="F218" s="46" t="inlineStr">
        <is>
          <t>석정리</t>
        </is>
      </c>
      <c r="G218" s="50" t="n">
        <v>0.5</v>
      </c>
      <c r="H218" s="51" t="n">
        <v>764060</v>
      </c>
      <c r="I218" s="46" t="inlineStr">
        <is>
          <t>김영권</t>
        </is>
      </c>
      <c r="K218" s="46" t="n">
        <v>217</v>
      </c>
      <c r="L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">
      <c r="A219" s="229" t="n">
        <v>45385</v>
      </c>
      <c r="B219" s="46" t="inlineStr">
        <is>
          <t>정기검사</t>
        </is>
      </c>
      <c r="C219" s="46" t="inlineStr">
        <is>
          <t>김포지역</t>
        </is>
      </c>
      <c r="D219" s="46" t="inlineStr">
        <is>
          <t>더럭스나인</t>
        </is>
      </c>
      <c r="E219" s="46" t="inlineStr">
        <is>
          <t>900/300</t>
        </is>
      </c>
      <c r="F219" s="46" t="inlineStr">
        <is>
          <t>구래동</t>
        </is>
      </c>
      <c r="G219" s="50" t="n">
        <v>0.4166666666666667</v>
      </c>
      <c r="H219" s="51" t="n">
        <v>1097910</v>
      </c>
      <c r="I219" s="46" t="inlineStr">
        <is>
          <t>정성관</t>
        </is>
      </c>
      <c r="K219" s="46" t="n">
        <v>218</v>
      </c>
      <c r="L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">
      <c r="A220" s="229" t="n">
        <v>45385</v>
      </c>
      <c r="B220" s="46" t="inlineStr">
        <is>
          <t>정기검사</t>
        </is>
      </c>
      <c r="C220" s="46" t="inlineStr">
        <is>
          <t>김포지역</t>
        </is>
      </c>
      <c r="D220" s="46" t="inlineStr">
        <is>
          <t>조은프레임</t>
        </is>
      </c>
      <c r="E220" s="46" t="n">
        <v>300</v>
      </c>
      <c r="F220" s="46" t="inlineStr">
        <is>
          <t>율생리</t>
        </is>
      </c>
      <c r="G220" s="50" t="n">
        <v>0.5</v>
      </c>
      <c r="H220" s="51" t="n">
        <v>521730</v>
      </c>
      <c r="I220" s="46" t="inlineStr">
        <is>
          <t>정신배</t>
        </is>
      </c>
      <c r="K220" s="46" t="n">
        <v>219</v>
      </c>
      <c r="L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">
      <c r="A221" s="229" t="n">
        <v>45385</v>
      </c>
      <c r="B221" s="46" t="inlineStr">
        <is>
          <t>정기검사</t>
        </is>
      </c>
      <c r="C221" s="46" t="inlineStr">
        <is>
          <t>김포지역</t>
        </is>
      </c>
      <c r="D221" s="46" t="inlineStr">
        <is>
          <t>주신태양광</t>
        </is>
      </c>
      <c r="E221" s="46" t="n">
        <v>16</v>
      </c>
      <c r="F221" s="46" t="inlineStr">
        <is>
          <t>마조리</t>
        </is>
      </c>
      <c r="G221" s="50" t="n">
        <v>0.4166666666666667</v>
      </c>
      <c r="H221" s="51" t="n">
        <v>93390</v>
      </c>
      <c r="I221" s="46" t="inlineStr">
        <is>
          <t>정신배</t>
        </is>
      </c>
      <c r="K221" s="46" t="n">
        <v>220</v>
      </c>
      <c r="L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">
      <c r="A222" s="229" t="n">
        <v>45385</v>
      </c>
      <c r="B222" s="46" t="inlineStr">
        <is>
          <t>정기검사</t>
        </is>
      </c>
      <c r="C222" s="46" t="inlineStr">
        <is>
          <t>김포지역</t>
        </is>
      </c>
      <c r="D222" s="46" t="inlineStr">
        <is>
          <t>엘지유플러스</t>
        </is>
      </c>
      <c r="E222" s="46" t="inlineStr">
        <is>
          <t>전기차</t>
        </is>
      </c>
      <c r="F222" s="46" t="n"/>
      <c r="G222" s="50" t="n">
        <v>0.6041666666666666</v>
      </c>
      <c r="H222" s="51" t="n">
        <v>143100</v>
      </c>
      <c r="I222" s="46" t="inlineStr">
        <is>
          <t>한태희</t>
        </is>
      </c>
      <c r="K222" s="46" t="n">
        <v>221</v>
      </c>
      <c r="L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">
      <c r="A223" s="229" t="n">
        <v>45385</v>
      </c>
      <c r="B223" s="46" t="inlineStr">
        <is>
          <t>정기검사</t>
        </is>
      </c>
      <c r="C223" s="46" t="inlineStr">
        <is>
          <t>김포지역</t>
        </is>
      </c>
      <c r="D223" s="46" t="inlineStr">
        <is>
          <t>엘지유플러스</t>
        </is>
      </c>
      <c r="E223" s="46" t="inlineStr">
        <is>
          <t>전기차</t>
        </is>
      </c>
      <c r="F223" s="46" t="n"/>
      <c r="G223" s="50" t="n">
        <v>0.5625</v>
      </c>
      <c r="H223" s="51" t="n">
        <v>191290</v>
      </c>
      <c r="I223" s="46" t="inlineStr">
        <is>
          <t>한태희</t>
        </is>
      </c>
      <c r="K223" s="46" t="n">
        <v>222</v>
      </c>
      <c r="L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">
      <c r="A224" s="229" t="n">
        <v>45385</v>
      </c>
      <c r="B224" s="46" t="inlineStr">
        <is>
          <t>사용전검사</t>
        </is>
      </c>
      <c r="C224" s="46" t="inlineStr">
        <is>
          <t>부천지역</t>
        </is>
      </c>
      <c r="D224" s="46" t="inlineStr">
        <is>
          <t>부천물류</t>
        </is>
      </c>
      <c r="E224" s="46" t="inlineStr">
        <is>
          <t>부분</t>
        </is>
      </c>
      <c r="F224" s="46" t="n"/>
      <c r="G224" s="50" t="n"/>
      <c r="H224" s="51" t="n"/>
      <c r="I224" s="46" t="inlineStr">
        <is>
          <t>민경수</t>
        </is>
      </c>
      <c r="K224" s="46" t="n">
        <v>223</v>
      </c>
      <c r="L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">
      <c r="A225" s="229" t="n">
        <v>45385</v>
      </c>
      <c r="B225" s="46" t="inlineStr">
        <is>
          <t>사용전검사</t>
        </is>
      </c>
      <c r="C225" s="46" t="inlineStr">
        <is>
          <t>부천지역</t>
        </is>
      </c>
      <c r="D225" s="46" t="inlineStr">
        <is>
          <t>디엘이엔씨</t>
        </is>
      </c>
      <c r="E225" s="46" t="n">
        <v>600</v>
      </c>
      <c r="F225" s="46" t="inlineStr">
        <is>
          <t>심곡동</t>
        </is>
      </c>
      <c r="G225" s="50" t="n"/>
      <c r="H225" s="51" t="n"/>
      <c r="I225" s="46" t="inlineStr">
        <is>
          <t>이덕기</t>
        </is>
      </c>
      <c r="K225" s="46" t="n">
        <v>224</v>
      </c>
      <c r="L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">
      <c r="A226" s="229" t="n">
        <v>45385</v>
      </c>
      <c r="B226" s="46" t="inlineStr">
        <is>
          <t>사용전검사</t>
        </is>
      </c>
      <c r="C226" s="46" t="inlineStr">
        <is>
          <t>부천지역</t>
        </is>
      </c>
      <c r="D226" s="46" t="inlineStr">
        <is>
          <t>오토원자동차</t>
        </is>
      </c>
      <c r="E226" s="46" t="n">
        <v>200</v>
      </c>
      <c r="F226" s="46" t="inlineStr">
        <is>
          <t>내동</t>
        </is>
      </c>
      <c r="G226" s="50" t="n"/>
      <c r="H226" s="51" t="n"/>
      <c r="I226" s="46" t="inlineStr">
        <is>
          <t>서수형</t>
        </is>
      </c>
      <c r="K226" s="46" t="n">
        <v>225</v>
      </c>
      <c r="L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">
      <c r="A227" s="229" t="n">
        <v>45385</v>
      </c>
      <c r="B227" s="46" t="inlineStr">
        <is>
          <t>사용전검사</t>
        </is>
      </c>
      <c r="C227" s="46" t="inlineStr">
        <is>
          <t>김포지역</t>
        </is>
      </c>
      <c r="D227" s="46" t="inlineStr">
        <is>
          <t>동양5200</t>
        </is>
      </c>
      <c r="E227" s="46" t="n">
        <v>43</v>
      </c>
      <c r="F227" s="46" t="inlineStr">
        <is>
          <t>원산리</t>
        </is>
      </c>
      <c r="G227" s="50" t="n"/>
      <c r="H227" s="51" t="n"/>
      <c r="I227" s="46" t="inlineStr">
        <is>
          <t>김영권</t>
        </is>
      </c>
      <c r="K227" s="46" t="n">
        <v>226</v>
      </c>
      <c r="L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">
      <c r="A228" s="229" t="n">
        <v>45385</v>
      </c>
      <c r="B228" s="46" t="inlineStr">
        <is>
          <t>사용전검사</t>
        </is>
      </c>
      <c r="C228" s="46" t="inlineStr">
        <is>
          <t>김포지역</t>
        </is>
      </c>
      <c r="D228" s="46" t="inlineStr">
        <is>
          <t>제이엠테크태양광</t>
        </is>
      </c>
      <c r="E228" s="46" t="n">
        <v>299</v>
      </c>
      <c r="F228" s="46" t="inlineStr">
        <is>
          <t>쇄암리</t>
        </is>
      </c>
      <c r="G228" s="50" t="n"/>
      <c r="H228" s="51" t="n"/>
      <c r="I228" s="46" t="inlineStr">
        <is>
          <t>송두기</t>
        </is>
      </c>
      <c r="K228" s="46" t="n">
        <v>227</v>
      </c>
      <c r="L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">
      <c r="A229" s="229" t="n">
        <v>45385</v>
      </c>
      <c r="B229" s="46" t="inlineStr">
        <is>
          <t>사용전검사</t>
        </is>
      </c>
      <c r="C229" s="46" t="inlineStr">
        <is>
          <t>김포지역</t>
        </is>
      </c>
      <c r="D229" s="46" t="inlineStr">
        <is>
          <t>이승희</t>
        </is>
      </c>
      <c r="E229" s="46" t="n">
        <v>13</v>
      </c>
      <c r="F229" s="46" t="inlineStr">
        <is>
          <t>대명리</t>
        </is>
      </c>
      <c r="G229" s="50" t="n"/>
      <c r="H229" s="51" t="n"/>
      <c r="I229" s="46" t="inlineStr">
        <is>
          <t>김영권</t>
        </is>
      </c>
      <c r="K229" s="46" t="n">
        <v>228</v>
      </c>
      <c r="L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">
      <c r="A230" s="229" t="n">
        <v>45659</v>
      </c>
      <c r="B230" s="46" t="inlineStr">
        <is>
          <t>정기검사</t>
        </is>
      </c>
      <c r="C230" s="46" t="inlineStr">
        <is>
          <t>김포지역</t>
        </is>
      </c>
      <c r="D230" s="46" t="inlineStr">
        <is>
          <t>성원디앤에프</t>
        </is>
      </c>
      <c r="E230" s="46" t="n">
        <v>100</v>
      </c>
      <c r="F230" s="46" t="inlineStr">
        <is>
          <t>율생리</t>
        </is>
      </c>
      <c r="G230" s="50" t="n">
        <v>0.3958333333333333</v>
      </c>
      <c r="H230" s="51" t="n">
        <v>189420</v>
      </c>
      <c r="I230" s="46" t="inlineStr">
        <is>
          <t>김상규</t>
        </is>
      </c>
      <c r="K230" s="46" t="n">
        <v>229</v>
      </c>
      <c r="L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">
      <c r="A231" s="229" t="n">
        <v>45659</v>
      </c>
      <c r="B231" s="46" t="inlineStr">
        <is>
          <t>정기검사</t>
        </is>
      </c>
      <c r="C231" s="46" t="inlineStr">
        <is>
          <t>김포지역</t>
        </is>
      </c>
      <c r="D231" s="46" t="inlineStr">
        <is>
          <t>청화</t>
        </is>
      </c>
      <c r="E231" s="46" t="n">
        <v>700</v>
      </c>
      <c r="F231" s="46" t="inlineStr">
        <is>
          <t>흥신리</t>
        </is>
      </c>
      <c r="G231" s="50" t="n">
        <v>0.4791666666666667</v>
      </c>
      <c r="H231" s="51" t="n">
        <v>804760</v>
      </c>
      <c r="I231" s="46" t="inlineStr">
        <is>
          <t>우승택</t>
        </is>
      </c>
      <c r="K231" s="46" t="n">
        <v>230</v>
      </c>
      <c r="L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">
      <c r="A232" s="229" t="n">
        <v>45659</v>
      </c>
      <c r="B232" s="46" t="inlineStr">
        <is>
          <t>정기검사</t>
        </is>
      </c>
      <c r="C232" s="46" t="inlineStr">
        <is>
          <t>김포지역</t>
        </is>
      </c>
      <c r="D232" s="46" t="inlineStr">
        <is>
          <t>호성기업</t>
        </is>
      </c>
      <c r="E232" s="46" t="n">
        <v>400</v>
      </c>
      <c r="F232" s="46" t="inlineStr">
        <is>
          <t>유현리</t>
        </is>
      </c>
      <c r="G232" s="50" t="n">
        <v>0.3958333333333333</v>
      </c>
      <c r="H232" s="51" t="n">
        <v>703120</v>
      </c>
      <c r="I232" s="46" t="inlineStr">
        <is>
          <t>당효진</t>
        </is>
      </c>
      <c r="K232" s="46" t="n">
        <v>231</v>
      </c>
      <c r="L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">
      <c r="A233" s="229" t="n">
        <v>45659</v>
      </c>
      <c r="B233" s="46" t="inlineStr">
        <is>
          <t>사용전검사</t>
        </is>
      </c>
      <c r="C233" s="46" t="inlineStr">
        <is>
          <t>부천지역</t>
        </is>
      </c>
      <c r="D233" s="46" t="inlineStr">
        <is>
          <t>어린이수영장</t>
        </is>
      </c>
      <c r="E233" s="46" t="n">
        <v>75</v>
      </c>
      <c r="F233" s="46" t="inlineStr">
        <is>
          <t>옥길동</t>
        </is>
      </c>
      <c r="G233" s="50" t="n"/>
      <c r="H233" s="51" t="n"/>
      <c r="I233" s="46" t="inlineStr">
        <is>
          <t>정신배</t>
        </is>
      </c>
      <c r="K233" s="46" t="n">
        <v>232</v>
      </c>
      <c r="L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">
      <c r="A234" s="229" t="n">
        <v>45659</v>
      </c>
      <c r="B234" s="46" t="inlineStr">
        <is>
          <t>사용전검사</t>
        </is>
      </c>
      <c r="C234" s="46" t="inlineStr">
        <is>
          <t>부천지역</t>
        </is>
      </c>
      <c r="D234" s="46" t="inlineStr">
        <is>
          <t>소소게임파티룸</t>
        </is>
      </c>
      <c r="E234" s="46" t="n">
        <v>8</v>
      </c>
      <c r="F234" s="46" t="inlineStr">
        <is>
          <t>원종동</t>
        </is>
      </c>
      <c r="G234" s="50" t="n"/>
      <c r="H234" s="51" t="n"/>
      <c r="I234" s="46" t="inlineStr">
        <is>
          <t>민경수</t>
        </is>
      </c>
      <c r="K234" s="46" t="n">
        <v>233</v>
      </c>
      <c r="L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">
      <c r="A235" s="229" t="n">
        <v>45659</v>
      </c>
      <c r="B235" s="46" t="inlineStr">
        <is>
          <t>사용전검사</t>
        </is>
      </c>
      <c r="C235" s="46" t="inlineStr">
        <is>
          <t>부천지역</t>
        </is>
      </c>
      <c r="D235" s="46" t="inlineStr">
        <is>
          <t>삼부연</t>
        </is>
      </c>
      <c r="E235" s="46" t="n">
        <v>30</v>
      </c>
      <c r="F235" s="46" t="inlineStr">
        <is>
          <t>춘의동</t>
        </is>
      </c>
      <c r="G235" s="50" t="n"/>
      <c r="H235" s="51" t="n"/>
      <c r="I235" s="46" t="inlineStr">
        <is>
          <t>이종석</t>
        </is>
      </c>
      <c r="K235" s="46" t="n">
        <v>234</v>
      </c>
      <c r="L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">
      <c r="A236" s="229" t="n">
        <v>45659</v>
      </c>
      <c r="B236" s="46" t="inlineStr">
        <is>
          <t>사용전검사</t>
        </is>
      </c>
      <c r="C236" s="46" t="inlineStr">
        <is>
          <t>부천지역</t>
        </is>
      </c>
      <c r="D236" s="46" t="inlineStr">
        <is>
          <t>옥길문화센터 부분</t>
        </is>
      </c>
      <c r="E236" s="46" t="n"/>
      <c r="F236" s="46" t="inlineStr">
        <is>
          <t>옥길동</t>
        </is>
      </c>
      <c r="G236" s="50" t="n"/>
      <c r="H236" s="51" t="n"/>
      <c r="I236" s="46" t="inlineStr">
        <is>
          <t>민경수</t>
        </is>
      </c>
      <c r="K236" s="46" t="n">
        <v>235</v>
      </c>
      <c r="L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">
      <c r="A237" s="229" t="n">
        <v>45659</v>
      </c>
      <c r="B237" s="46" t="inlineStr">
        <is>
          <t>사용전검사</t>
        </is>
      </c>
      <c r="C237" s="46" t="inlineStr">
        <is>
          <t>부천지역</t>
        </is>
      </c>
      <c r="D237" s="46" t="inlineStr">
        <is>
          <t>문미화</t>
        </is>
      </c>
      <c r="E237" s="46" t="n">
        <v>10</v>
      </c>
      <c r="F237" s="46" t="inlineStr">
        <is>
          <t>상동</t>
        </is>
      </c>
      <c r="G237" s="50" t="n"/>
      <c r="H237" s="51" t="n"/>
      <c r="I237" s="46" t="inlineStr">
        <is>
          <t>정신배</t>
        </is>
      </c>
      <c r="K237" s="46" t="n">
        <v>236</v>
      </c>
      <c r="L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">
      <c r="A238" s="229" t="n">
        <v>45659</v>
      </c>
      <c r="B238" s="46" t="inlineStr">
        <is>
          <t>메모</t>
        </is>
      </c>
      <c r="C238" s="46" t="inlineStr">
        <is>
          <t>부천지역</t>
        </is>
      </c>
      <c r="D238" s="46" t="inlineStr">
        <is>
          <t>송낙명휴가</t>
        </is>
      </c>
      <c r="E238" s="46" t="n"/>
      <c r="F238" s="46" t="n"/>
      <c r="G238" s="50" t="n"/>
      <c r="H238" s="51" t="n"/>
      <c r="I238" s="46" t="n"/>
      <c r="K238" s="46" t="n">
        <v>237</v>
      </c>
      <c r="L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">
      <c r="A239" s="229" t="n">
        <v>45659</v>
      </c>
      <c r="B239" s="46" t="inlineStr">
        <is>
          <t>사용전검사</t>
        </is>
      </c>
      <c r="C239" s="46" t="inlineStr">
        <is>
          <t>김포지역</t>
        </is>
      </c>
      <c r="D239" s="46" t="inlineStr">
        <is>
          <t>영재1호</t>
        </is>
      </c>
      <c r="E239" s="46" t="n">
        <v>78</v>
      </c>
      <c r="F239" s="46" t="inlineStr">
        <is>
          <t>약암리</t>
        </is>
      </c>
      <c r="G239" s="50" t="n"/>
      <c r="H239" s="51" t="n"/>
      <c r="I239" s="46" t="inlineStr">
        <is>
          <t>이덕기</t>
        </is>
      </c>
      <c r="K239" s="46" t="n">
        <v>238</v>
      </c>
      <c r="L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">
      <c r="A240" s="229" t="n">
        <v>45659</v>
      </c>
      <c r="B240" s="46" t="inlineStr">
        <is>
          <t>사용전검사</t>
        </is>
      </c>
      <c r="C240" s="46" t="inlineStr">
        <is>
          <t>김포지역</t>
        </is>
      </c>
      <c r="D240" s="46" t="inlineStr">
        <is>
          <t>영재2호</t>
        </is>
      </c>
      <c r="E240" s="46" t="n">
        <v>79</v>
      </c>
      <c r="F240" s="46" t="inlineStr">
        <is>
          <t>약암리</t>
        </is>
      </c>
      <c r="G240" s="50" t="n"/>
      <c r="H240" s="51" t="n"/>
      <c r="I240" s="46" t="inlineStr">
        <is>
          <t>송두기</t>
        </is>
      </c>
      <c r="K240" s="46" t="n">
        <v>239</v>
      </c>
      <c r="L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">
      <c r="A241" s="229" t="n">
        <v>45659</v>
      </c>
      <c r="B241" s="46" t="inlineStr">
        <is>
          <t>메모</t>
        </is>
      </c>
      <c r="C241" s="46" t="inlineStr">
        <is>
          <t>김포지역</t>
        </is>
      </c>
      <c r="D241" s="46" t="inlineStr">
        <is>
          <t>민재홍-허창수</t>
        </is>
      </c>
      <c r="E241" s="46" t="n"/>
      <c r="F241" s="46" t="n"/>
      <c r="G241" s="50" t="n"/>
      <c r="H241" s="51" t="n"/>
      <c r="I241" s="46" t="n"/>
      <c r="K241" s="46" t="n">
        <v>240</v>
      </c>
      <c r="L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">
      <c r="A242" s="229" t="n">
        <v>45660</v>
      </c>
      <c r="B242" s="46" t="inlineStr">
        <is>
          <t>정기검사</t>
        </is>
      </c>
      <c r="C242" s="46" t="inlineStr">
        <is>
          <t>김포지역</t>
        </is>
      </c>
      <c r="D242" s="46" t="inlineStr">
        <is>
          <t>정선기업</t>
        </is>
      </c>
      <c r="E242" s="46" t="n">
        <v>980</v>
      </c>
      <c r="F242" s="46" t="inlineStr">
        <is>
          <t>대명리</t>
        </is>
      </c>
      <c r="G242" s="50" t="n">
        <v>0.3958333333333333</v>
      </c>
      <c r="H242" s="51" t="n">
        <v>1169410</v>
      </c>
      <c r="I242" s="46" t="inlineStr">
        <is>
          <t>민경수</t>
        </is>
      </c>
      <c r="K242" s="46" t="n">
        <v>241</v>
      </c>
      <c r="L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">
      <c r="A243" s="229" t="n">
        <v>45660</v>
      </c>
      <c r="B243" s="46" t="inlineStr">
        <is>
          <t>사용전검사</t>
        </is>
      </c>
      <c r="C243" s="46" t="inlineStr">
        <is>
          <t>부천지역</t>
        </is>
      </c>
      <c r="D243" s="46" t="inlineStr">
        <is>
          <t>제일금속</t>
        </is>
      </c>
      <c r="E243" s="46" t="n">
        <v>900</v>
      </c>
      <c r="F243" s="46" t="inlineStr">
        <is>
          <t>내동</t>
        </is>
      </c>
      <c r="G243" s="50" t="n"/>
      <c r="H243" s="51" t="n"/>
      <c r="I243" s="46" t="inlineStr">
        <is>
          <t>허창수</t>
        </is>
      </c>
      <c r="K243" s="46" t="n">
        <v>242</v>
      </c>
      <c r="L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">
      <c r="A244" s="229" t="n">
        <v>45660</v>
      </c>
      <c r="B244" s="46" t="inlineStr">
        <is>
          <t>메모</t>
        </is>
      </c>
      <c r="C244" s="46" t="inlineStr">
        <is>
          <t>부천지역</t>
        </is>
      </c>
      <c r="D244" s="46" t="inlineStr">
        <is>
          <t>민재홍휴가</t>
        </is>
      </c>
      <c r="E244" s="46" t="n"/>
      <c r="F244" s="46" t="n"/>
      <c r="G244" s="50" t="n"/>
      <c r="H244" s="51" t="n"/>
      <c r="I244" s="46" t="n"/>
      <c r="K244" s="46" t="n">
        <v>243</v>
      </c>
      <c r="L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">
      <c r="A245" s="229" t="n">
        <v>45660</v>
      </c>
      <c r="B245" s="46" t="inlineStr">
        <is>
          <t>메모</t>
        </is>
      </c>
      <c r="C245" s="46" t="inlineStr">
        <is>
          <t>부천지역</t>
        </is>
      </c>
      <c r="D245" s="46" t="inlineStr">
        <is>
          <t>이덕기휴가</t>
        </is>
      </c>
      <c r="E245" s="46" t="n"/>
      <c r="F245" s="46" t="n"/>
      <c r="G245" s="50" t="n"/>
      <c r="H245" s="51" t="n"/>
      <c r="I245" s="46" t="n"/>
      <c r="K245" s="46" t="n">
        <v>244</v>
      </c>
      <c r="L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">
      <c r="A246" s="229" t="n">
        <v>45661</v>
      </c>
      <c r="B246" s="46" t="inlineStr">
        <is>
          <t>메모</t>
        </is>
      </c>
      <c r="C246" s="46" t="inlineStr">
        <is>
          <t>부천지역</t>
        </is>
      </c>
      <c r="D246" s="46" t="inlineStr">
        <is>
          <t>민재홍휴가</t>
        </is>
      </c>
      <c r="E246" s="46" t="n"/>
      <c r="F246" s="46" t="n"/>
      <c r="G246" s="50" t="n"/>
      <c r="H246" s="51" t="n"/>
      <c r="I246" s="46" t="n"/>
      <c r="K246" s="46" t="n">
        <v>245</v>
      </c>
      <c r="L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">
      <c r="A247" s="229" t="n">
        <v>45661</v>
      </c>
      <c r="B247" s="46" t="inlineStr">
        <is>
          <t>메모</t>
        </is>
      </c>
      <c r="C247" s="46" t="inlineStr">
        <is>
          <t>부천지역</t>
        </is>
      </c>
      <c r="D247" s="46" t="inlineStr">
        <is>
          <t>이덕기휴가</t>
        </is>
      </c>
      <c r="E247" s="46" t="n"/>
      <c r="F247" s="46" t="n"/>
      <c r="G247" s="50" t="n"/>
      <c r="H247" s="51" t="n"/>
      <c r="I247" s="46" t="n"/>
      <c r="K247" s="46" t="n">
        <v>246</v>
      </c>
      <c r="L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">
      <c r="A248" s="229" t="n">
        <v>45662</v>
      </c>
      <c r="B248" s="46" t="inlineStr">
        <is>
          <t>정기검사</t>
        </is>
      </c>
      <c r="C248" s="46" t="inlineStr">
        <is>
          <t>김포지역</t>
        </is>
      </c>
      <c r="D248" s="46" t="inlineStr">
        <is>
          <t>코스탯아이앤씨</t>
        </is>
      </c>
      <c r="E248" s="46" t="n">
        <v>900</v>
      </c>
      <c r="F248" s="46" t="inlineStr">
        <is>
          <t>원산리</t>
        </is>
      </c>
      <c r="G248" s="50" t="n">
        <v>0.3958333333333333</v>
      </c>
      <c r="H248" s="51" t="n">
        <v>872520</v>
      </c>
      <c r="I248" s="46" t="inlineStr">
        <is>
          <t>장현민</t>
        </is>
      </c>
      <c r="K248" s="46" t="n">
        <v>247</v>
      </c>
      <c r="L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">
      <c r="A249" s="229" t="n">
        <v>45662</v>
      </c>
      <c r="B249" s="46" t="inlineStr">
        <is>
          <t>정기검사</t>
        </is>
      </c>
      <c r="C249" s="46" t="inlineStr">
        <is>
          <t>김포지역</t>
        </is>
      </c>
      <c r="D249" s="46" t="inlineStr">
        <is>
          <t>김포센트럴헤센2단지</t>
        </is>
      </c>
      <c r="E249" s="46" t="inlineStr">
        <is>
          <t>700/327</t>
        </is>
      </c>
      <c r="F249" s="46" t="inlineStr">
        <is>
          <t>감정동</t>
        </is>
      </c>
      <c r="G249" s="50" t="n">
        <v>0.3958333333333333</v>
      </c>
      <c r="H249" s="51" t="n">
        <v>871310</v>
      </c>
      <c r="I249" s="46" t="inlineStr">
        <is>
          <t>김영권</t>
        </is>
      </c>
      <c r="K249" s="46" t="n">
        <v>248</v>
      </c>
      <c r="L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">
      <c r="A250" s="229" t="n">
        <v>45662</v>
      </c>
      <c r="B250" s="46" t="inlineStr">
        <is>
          <t>정기검사</t>
        </is>
      </c>
      <c r="C250" s="46" t="inlineStr">
        <is>
          <t>김포지역</t>
        </is>
      </c>
      <c r="D250" s="46" t="inlineStr">
        <is>
          <t>반송프라자</t>
        </is>
      </c>
      <c r="E250" s="46" t="n">
        <v>10.32</v>
      </c>
      <c r="F250" s="46" t="inlineStr">
        <is>
          <t>향산리</t>
        </is>
      </c>
      <c r="G250" s="50" t="n">
        <v>0.3958333333333333</v>
      </c>
      <c r="H250" s="51" t="n">
        <v>91520</v>
      </c>
      <c r="I250" s="46" t="inlineStr">
        <is>
          <t>김상규</t>
        </is>
      </c>
      <c r="K250" s="46" t="n">
        <v>249</v>
      </c>
      <c r="L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">
      <c r="A251" s="229" t="n">
        <v>45662</v>
      </c>
      <c r="B251" s="46" t="inlineStr">
        <is>
          <t>사용전검사</t>
        </is>
      </c>
      <c r="C251" s="46" t="inlineStr">
        <is>
          <t>부천지역</t>
        </is>
      </c>
      <c r="D251" s="46" t="inlineStr">
        <is>
          <t>이나래</t>
        </is>
      </c>
      <c r="E251" s="46" t="n">
        <v>25</v>
      </c>
      <c r="F251" s="46" t="inlineStr">
        <is>
          <t>중동</t>
        </is>
      </c>
      <c r="G251" s="50" t="n"/>
      <c r="H251" s="51" t="n"/>
      <c r="I251" s="46" t="inlineStr">
        <is>
          <t>우승택</t>
        </is>
      </c>
      <c r="K251" s="46" t="n">
        <v>250</v>
      </c>
      <c r="L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">
      <c r="A252" s="229" t="n">
        <v>45662</v>
      </c>
      <c r="B252" s="46" t="inlineStr">
        <is>
          <t>메모</t>
        </is>
      </c>
      <c r="C252" s="46" t="inlineStr">
        <is>
          <t>부천지역</t>
        </is>
      </c>
      <c r="D252" s="46" t="inlineStr">
        <is>
          <t>민재홍휴가</t>
        </is>
      </c>
      <c r="E252" s="46" t="n"/>
      <c r="F252" s="46" t="n"/>
      <c r="G252" s="50" t="n"/>
      <c r="H252" s="51" t="n"/>
      <c r="I252" s="46" t="n"/>
      <c r="K252" s="46" t="n">
        <v>251</v>
      </c>
      <c r="L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">
      <c r="A253" s="229" t="n">
        <v>45662</v>
      </c>
      <c r="B253" s="46" t="inlineStr">
        <is>
          <t>메모</t>
        </is>
      </c>
      <c r="C253" s="46" t="inlineStr">
        <is>
          <t>부천지역</t>
        </is>
      </c>
      <c r="D253" s="46" t="inlineStr">
        <is>
          <t>송낙명휴가</t>
        </is>
      </c>
      <c r="E253" s="46" t="n"/>
      <c r="F253" s="46" t="n"/>
      <c r="G253" s="50" t="n"/>
      <c r="H253" s="51" t="n"/>
      <c r="I253" s="46" t="n"/>
      <c r="K253" s="46" t="n">
        <v>252</v>
      </c>
      <c r="L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">
      <c r="A254" s="229" t="n">
        <v>45662</v>
      </c>
      <c r="B254" s="46" t="inlineStr">
        <is>
          <t>사용전검사</t>
        </is>
      </c>
      <c r="C254" s="46" t="inlineStr">
        <is>
          <t>김포지역</t>
        </is>
      </c>
      <c r="D254" s="46" t="inlineStr">
        <is>
          <t>한국파렛트풀(수전,피뢰)</t>
        </is>
      </c>
      <c r="E254" s="46" t="n">
        <v>990</v>
      </c>
      <c r="F254" s="46" t="inlineStr">
        <is>
          <t>흥신리</t>
        </is>
      </c>
      <c r="G254" s="50" t="n"/>
      <c r="H254" s="51" t="n"/>
      <c r="I254" s="46" t="inlineStr">
        <is>
          <t>이종석</t>
        </is>
      </c>
      <c r="K254" s="46" t="n">
        <v>253</v>
      </c>
      <c r="L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">
      <c r="A255" s="229" t="n">
        <v>45662</v>
      </c>
      <c r="B255" s="46" t="inlineStr">
        <is>
          <t>사용전검사</t>
        </is>
      </c>
      <c r="C255" s="46" t="inlineStr">
        <is>
          <t>김포지역</t>
        </is>
      </c>
      <c r="D255" s="46" t="inlineStr">
        <is>
          <t>한성 eng1</t>
        </is>
      </c>
      <c r="E255" s="46" t="n">
        <v>353</v>
      </c>
      <c r="F255" s="46" t="inlineStr">
        <is>
          <t>대포리</t>
        </is>
      </c>
      <c r="G255" s="50" t="n"/>
      <c r="H255" s="51" t="n"/>
      <c r="I255" s="46" t="inlineStr">
        <is>
          <t>송두기</t>
        </is>
      </c>
      <c r="K255" s="46" t="n">
        <v>254</v>
      </c>
      <c r="L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">
      <c r="A256" s="229" t="n">
        <v>45662</v>
      </c>
      <c r="B256" s="46" t="inlineStr">
        <is>
          <t>사용전검사</t>
        </is>
      </c>
      <c r="C256" s="46" t="inlineStr">
        <is>
          <t>김포지역</t>
        </is>
      </c>
      <c r="D256" s="46" t="inlineStr">
        <is>
          <t>동현씨앤에스</t>
        </is>
      </c>
      <c r="E256" s="46" t="n">
        <v>87</v>
      </c>
      <c r="F256" s="46" t="inlineStr">
        <is>
          <t>학운리</t>
        </is>
      </c>
      <c r="G256" s="50" t="n"/>
      <c r="H256" s="51" t="n"/>
      <c r="I256" s="46" t="inlineStr">
        <is>
          <t>민경수</t>
        </is>
      </c>
      <c r="K256" s="46" t="n">
        <v>255</v>
      </c>
      <c r="L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">
      <c r="A257" s="229" t="n">
        <v>45662</v>
      </c>
      <c r="B257" s="46" t="inlineStr">
        <is>
          <t>사용전검사</t>
        </is>
      </c>
      <c r="C257" s="46" t="inlineStr">
        <is>
          <t>김포지역</t>
        </is>
      </c>
      <c r="D257" s="46" t="inlineStr">
        <is>
          <t>하목당</t>
        </is>
      </c>
      <c r="E257" s="46" t="n">
        <v>250</v>
      </c>
      <c r="F257" s="46" t="inlineStr">
        <is>
          <t>가현리</t>
        </is>
      </c>
      <c r="G257" s="50" t="n"/>
      <c r="H257" s="51" t="n"/>
      <c r="I257" s="46" t="inlineStr">
        <is>
          <t>이덕기</t>
        </is>
      </c>
      <c r="K257" s="46" t="n">
        <v>256</v>
      </c>
      <c r="L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">
      <c r="A258" s="229" t="n">
        <v>45663</v>
      </c>
      <c r="B258" s="46" t="inlineStr">
        <is>
          <t>정기검사</t>
        </is>
      </c>
      <c r="C258" s="46" t="inlineStr">
        <is>
          <t>부천지역</t>
        </is>
      </c>
      <c r="D258" s="46" t="inlineStr">
        <is>
          <t>황소빌딩</t>
        </is>
      </c>
      <c r="E258" s="46" t="inlineStr">
        <is>
          <t>300/115</t>
        </is>
      </c>
      <c r="F258" s="46" t="inlineStr">
        <is>
          <t>상동</t>
        </is>
      </c>
      <c r="G258" s="50" t="n">
        <v>0.3958333333333333</v>
      </c>
      <c r="H258" s="51" t="n">
        <v>572880</v>
      </c>
      <c r="I258" s="46" t="inlineStr">
        <is>
          <t>이종석</t>
        </is>
      </c>
      <c r="K258" s="46" t="n">
        <v>257</v>
      </c>
      <c r="L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">
      <c r="A259" s="229" t="n">
        <v>45663</v>
      </c>
      <c r="B259" s="46" t="inlineStr">
        <is>
          <t>사용전검사</t>
        </is>
      </c>
      <c r="C259" s="46" t="inlineStr">
        <is>
          <t>부천지역</t>
        </is>
      </c>
      <c r="D259" s="46" t="inlineStr">
        <is>
          <t>에이피위성</t>
        </is>
      </c>
      <c r="E259" s="46" t="n">
        <v>950</v>
      </c>
      <c r="F259" s="46" t="inlineStr">
        <is>
          <t>약대동</t>
        </is>
      </c>
      <c r="G259" s="50" t="n"/>
      <c r="H259" s="51" t="n"/>
      <c r="I259" s="46" t="inlineStr">
        <is>
          <t>이덕기</t>
        </is>
      </c>
      <c r="K259" s="46" t="n">
        <v>258</v>
      </c>
      <c r="L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">
      <c r="A260" s="229" t="n">
        <v>45663</v>
      </c>
      <c r="B260" s="46" t="inlineStr">
        <is>
          <t>사용전검사</t>
        </is>
      </c>
      <c r="C260" s="46" t="inlineStr">
        <is>
          <t>부천지역</t>
        </is>
      </c>
      <c r="D260" s="46" t="inlineStr">
        <is>
          <t>에이피위성</t>
        </is>
      </c>
      <c r="E260" s="46" t="inlineStr">
        <is>
          <t>피뢰</t>
        </is>
      </c>
      <c r="F260" s="46" t="inlineStr">
        <is>
          <t>약대동</t>
        </is>
      </c>
      <c r="G260" s="50" t="n"/>
      <c r="H260" s="51" t="n"/>
      <c r="I260" s="46" t="inlineStr">
        <is>
          <t>장현민</t>
        </is>
      </c>
      <c r="K260" s="46" t="n">
        <v>259</v>
      </c>
      <c r="L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">
      <c r="A261" s="229" t="n">
        <v>45663</v>
      </c>
      <c r="B261" s="46" t="inlineStr">
        <is>
          <t>사용전검사</t>
        </is>
      </c>
      <c r="C261" s="46" t="inlineStr">
        <is>
          <t>부천지역</t>
        </is>
      </c>
      <c r="D261" s="46" t="inlineStr">
        <is>
          <t>옥길문화센터 태양광</t>
        </is>
      </c>
      <c r="E261" s="46" t="n">
        <v>78</v>
      </c>
      <c r="F261" s="46" t="inlineStr">
        <is>
          <t>옥길동</t>
        </is>
      </c>
      <c r="G261" s="50" t="n"/>
      <c r="H261" s="51" t="n"/>
      <c r="I261" s="46" t="inlineStr">
        <is>
          <t>김상규</t>
        </is>
      </c>
      <c r="K261" s="46" t="n">
        <v>260</v>
      </c>
      <c r="L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">
      <c r="A262" s="229" t="n">
        <v>45663</v>
      </c>
      <c r="B262" s="46" t="inlineStr">
        <is>
          <t>메모</t>
        </is>
      </c>
      <c r="C262" s="46" t="inlineStr">
        <is>
          <t>부천지역</t>
        </is>
      </c>
      <c r="D262" s="46" t="inlineStr">
        <is>
          <t>민재홍휴가</t>
        </is>
      </c>
      <c r="E262" s="46" t="inlineStr">
        <is>
          <t>김상규-우승택</t>
        </is>
      </c>
      <c r="F262" s="46" t="n"/>
      <c r="G262" s="50" t="n"/>
      <c r="H262" s="51" t="n"/>
      <c r="I262" s="46" t="n"/>
      <c r="K262" s="46" t="n">
        <v>261</v>
      </c>
      <c r="L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">
      <c r="A263" s="229" t="n">
        <v>45663</v>
      </c>
      <c r="B263" s="46" t="inlineStr">
        <is>
          <t>메모</t>
        </is>
      </c>
      <c r="C263" s="46" t="inlineStr">
        <is>
          <t>부천지역</t>
        </is>
      </c>
      <c r="D263" s="46" t="inlineStr">
        <is>
          <t>송낙명휴가</t>
        </is>
      </c>
      <c r="E263" s="46" t="n"/>
      <c r="F263" s="46" t="n"/>
      <c r="G263" s="50" t="n"/>
      <c r="H263" s="51" t="n"/>
      <c r="I263" s="46" t="n"/>
      <c r="K263" s="46" t="n">
        <v>262</v>
      </c>
      <c r="L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">
      <c r="A264" s="229" t="n">
        <v>45663</v>
      </c>
      <c r="B264" s="46" t="inlineStr">
        <is>
          <t>사용전검사</t>
        </is>
      </c>
      <c r="C264" s="46" t="inlineStr">
        <is>
          <t>김포지역</t>
        </is>
      </c>
      <c r="D264" s="46" t="inlineStr">
        <is>
          <t>신샘1호 태양광발전소</t>
        </is>
      </c>
      <c r="E264" s="46" t="n">
        <v>89.655</v>
      </c>
      <c r="F264" s="46" t="inlineStr">
        <is>
          <t>송마리</t>
        </is>
      </c>
      <c r="G264" s="50" t="n"/>
      <c r="H264" s="51" t="n"/>
      <c r="I264" s="46" t="inlineStr">
        <is>
          <t>김영권</t>
        </is>
      </c>
      <c r="K264" s="46" t="n">
        <v>263</v>
      </c>
      <c r="L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">
      <c r="A265" s="229" t="n">
        <v>45663</v>
      </c>
      <c r="B265" s="46" t="inlineStr">
        <is>
          <t>사용전검사</t>
        </is>
      </c>
      <c r="C265" s="46" t="inlineStr">
        <is>
          <t>김포지역</t>
        </is>
      </c>
      <c r="D265" s="46" t="inlineStr">
        <is>
          <t>신샘2호 태양광발전소</t>
        </is>
      </c>
      <c r="E265" s="46" t="n">
        <v>89.655</v>
      </c>
      <c r="F265" s="46" t="inlineStr">
        <is>
          <t>송마리</t>
        </is>
      </c>
      <c r="G265" s="50" t="n"/>
      <c r="H265" s="51" t="n"/>
      <c r="I265" s="46" t="inlineStr">
        <is>
          <t>김영권</t>
        </is>
      </c>
      <c r="K265" s="46" t="n">
        <v>264</v>
      </c>
      <c r="L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">
      <c r="A266" s="229" t="n">
        <v>45663</v>
      </c>
      <c r="B266" s="46" t="inlineStr">
        <is>
          <t>사용전검사</t>
        </is>
      </c>
      <c r="C266" s="46" t="inlineStr">
        <is>
          <t>김포지역</t>
        </is>
      </c>
      <c r="D266" s="46" t="inlineStr">
        <is>
          <t>신샘3호 태양광발전소</t>
        </is>
      </c>
      <c r="E266" s="46" t="n">
        <v>89.655</v>
      </c>
      <c r="F266" s="46" t="inlineStr">
        <is>
          <t>송마리</t>
        </is>
      </c>
      <c r="G266" s="50" t="n"/>
      <c r="H266" s="51" t="n"/>
      <c r="I266" s="46" t="inlineStr">
        <is>
          <t>허창수</t>
        </is>
      </c>
      <c r="K266" s="46" t="n">
        <v>265</v>
      </c>
      <c r="L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">
      <c r="A267" s="229" t="n">
        <v>45663</v>
      </c>
      <c r="B267" s="46" t="inlineStr">
        <is>
          <t>사용전검사</t>
        </is>
      </c>
      <c r="C267" s="46" t="inlineStr">
        <is>
          <t>김포지역</t>
        </is>
      </c>
      <c r="D267" s="46" t="inlineStr">
        <is>
          <t>신샘4호 태양광발전소</t>
        </is>
      </c>
      <c r="E267" s="46" t="n">
        <v>89.655</v>
      </c>
      <c r="F267" s="46" t="inlineStr">
        <is>
          <t>송마리</t>
        </is>
      </c>
      <c r="G267" s="50" t="n"/>
      <c r="H267" s="51" t="n"/>
      <c r="I267" s="46" t="inlineStr">
        <is>
          <t>허창수</t>
        </is>
      </c>
      <c r="K267" s="46" t="n">
        <v>266</v>
      </c>
      <c r="L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">
      <c r="A268" s="229" t="n">
        <v>45663</v>
      </c>
      <c r="B268" s="46" t="inlineStr">
        <is>
          <t>사용전검사</t>
        </is>
      </c>
      <c r="C268" s="46" t="inlineStr">
        <is>
          <t>김포지역</t>
        </is>
      </c>
      <c r="D268" s="46" t="inlineStr">
        <is>
          <t>신샘5호 태양광발전소</t>
        </is>
      </c>
      <c r="E268" s="46" t="n">
        <v>41.28</v>
      </c>
      <c r="F268" s="46" t="inlineStr">
        <is>
          <t>송마리</t>
        </is>
      </c>
      <c r="G268" s="50" t="n"/>
      <c r="H268" s="51" t="n"/>
      <c r="I268" s="46" t="inlineStr">
        <is>
          <t>허창수</t>
        </is>
      </c>
      <c r="K268" s="46" t="n">
        <v>267</v>
      </c>
      <c r="L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">
      <c r="A269" s="229" t="n">
        <v>45663</v>
      </c>
      <c r="B269" s="46" t="inlineStr">
        <is>
          <t>사용전검사</t>
        </is>
      </c>
      <c r="C269" s="46" t="inlineStr">
        <is>
          <t>김포지역</t>
        </is>
      </c>
      <c r="D269" s="46" t="inlineStr">
        <is>
          <t>형제</t>
        </is>
      </c>
      <c r="E269" s="46" t="n">
        <v>154</v>
      </c>
      <c r="F269" s="46" t="inlineStr">
        <is>
          <t>원산리</t>
        </is>
      </c>
      <c r="G269" s="50" t="n"/>
      <c r="H269" s="51" t="n"/>
      <c r="I269" s="46" t="inlineStr">
        <is>
          <t>서수형</t>
        </is>
      </c>
      <c r="K269" s="46" t="n">
        <v>268</v>
      </c>
      <c r="L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">
      <c r="A270" s="229" t="n">
        <v>45664</v>
      </c>
      <c r="B270" s="46" t="inlineStr">
        <is>
          <t>정기검사</t>
        </is>
      </c>
      <c r="C270" s="46" t="inlineStr">
        <is>
          <t>김포지역</t>
        </is>
      </c>
      <c r="D270" s="46" t="inlineStr">
        <is>
          <t>동영산업</t>
        </is>
      </c>
      <c r="E270" s="46" t="n">
        <v>250</v>
      </c>
      <c r="F270" s="46" t="inlineStr">
        <is>
          <t>고정리</t>
        </is>
      </c>
      <c r="G270" s="50" t="n">
        <v>0.4791666666666667</v>
      </c>
      <c r="H270" s="51" t="n">
        <v>489170</v>
      </c>
      <c r="I270" s="46" t="inlineStr">
        <is>
          <t>정신배</t>
        </is>
      </c>
      <c r="K270" s="46" t="n">
        <v>269</v>
      </c>
      <c r="L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">
      <c r="A271" s="229" t="n">
        <v>45664</v>
      </c>
      <c r="B271" s="46" t="inlineStr">
        <is>
          <t>정기검사</t>
        </is>
      </c>
      <c r="C271" s="46" t="inlineStr">
        <is>
          <t>김포지역</t>
        </is>
      </c>
      <c r="D271" s="46" t="inlineStr">
        <is>
          <t>김포제일고</t>
        </is>
      </c>
      <c r="E271" s="46" t="n">
        <v>750</v>
      </c>
      <c r="F271" s="46" t="inlineStr">
        <is>
          <t>운양동</t>
        </is>
      </c>
      <c r="G271" s="50" t="n">
        <v>0.4791666666666667</v>
      </c>
      <c r="H271" s="51" t="n">
        <v>821700</v>
      </c>
      <c r="I271" s="46" t="inlineStr">
        <is>
          <t>허창수</t>
        </is>
      </c>
      <c r="K271" s="46" t="n">
        <v>270</v>
      </c>
      <c r="L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">
      <c r="A272" s="229" t="n">
        <v>45664</v>
      </c>
      <c r="B272" s="46" t="inlineStr">
        <is>
          <t>정기검사</t>
        </is>
      </c>
      <c r="C272" s="46" t="inlineStr">
        <is>
          <t>김포지역</t>
        </is>
      </c>
      <c r="D272" s="46" t="inlineStr">
        <is>
          <t>템텍</t>
        </is>
      </c>
      <c r="E272" s="46" t="n">
        <v>250</v>
      </c>
      <c r="F272" s="46" t="inlineStr">
        <is>
          <t>학운리</t>
        </is>
      </c>
      <c r="G272" s="50" t="n">
        <v>0.5</v>
      </c>
      <c r="H272" s="51" t="n">
        <v>489170</v>
      </c>
      <c r="I272" s="46" t="inlineStr">
        <is>
          <t>송두기</t>
        </is>
      </c>
      <c r="K272" s="46" t="n">
        <v>271</v>
      </c>
      <c r="L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">
      <c r="A273" s="229" t="n">
        <v>45664</v>
      </c>
      <c r="B273" s="46" t="inlineStr">
        <is>
          <t>사용전검사</t>
        </is>
      </c>
      <c r="C273" s="46" t="inlineStr">
        <is>
          <t>부천지역</t>
        </is>
      </c>
      <c r="D273" s="46" t="inlineStr">
        <is>
          <t>사회적협동조합플러스</t>
        </is>
      </c>
      <c r="E273" s="46" t="n">
        <v>130</v>
      </c>
      <c r="F273" s="46" t="inlineStr">
        <is>
          <t>삼정동</t>
        </is>
      </c>
      <c r="G273" s="50" t="n"/>
      <c r="H273" s="51" t="n"/>
      <c r="I273" s="46" t="inlineStr">
        <is>
          <t>김상규</t>
        </is>
      </c>
      <c r="K273" s="46" t="n">
        <v>272</v>
      </c>
      <c r="L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">
      <c r="A274" s="229" t="n">
        <v>45664</v>
      </c>
      <c r="B274" s="46" t="inlineStr">
        <is>
          <t>사용전검사</t>
        </is>
      </c>
      <c r="C274" s="46" t="inlineStr">
        <is>
          <t>부천지역</t>
        </is>
      </c>
      <c r="D274" s="46" t="n"/>
      <c r="E274" s="46" t="inlineStr">
        <is>
          <t>김상규-우승택</t>
        </is>
      </c>
      <c r="F274" s="46" t="n"/>
      <c r="G274" s="50" t="n"/>
      <c r="H274" s="51" t="n"/>
      <c r="I274" s="46" t="n"/>
      <c r="K274" s="46" t="n">
        <v>273</v>
      </c>
      <c r="L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">
      <c r="A275" s="229" t="n">
        <v>45664</v>
      </c>
      <c r="B275" s="46" t="inlineStr">
        <is>
          <t>메모</t>
        </is>
      </c>
      <c r="C275" s="46" t="inlineStr">
        <is>
          <t>부천지역</t>
        </is>
      </c>
      <c r="D275" s="46" t="inlineStr">
        <is>
          <t>민재홍휴가</t>
        </is>
      </c>
      <c r="E275" s="46" t="n"/>
      <c r="F275" s="46" t="n"/>
      <c r="G275" s="50" t="n"/>
      <c r="H275" s="51" t="n"/>
      <c r="I275" s="46" t="n"/>
      <c r="K275" s="46" t="n">
        <v>274</v>
      </c>
      <c r="L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">
      <c r="A276" s="229" t="n">
        <v>45664</v>
      </c>
      <c r="B276" s="46" t="inlineStr">
        <is>
          <t>메모</t>
        </is>
      </c>
      <c r="C276" s="46" t="inlineStr">
        <is>
          <t>부천지역</t>
        </is>
      </c>
      <c r="D276" s="46" t="inlineStr">
        <is>
          <t>송낙명휴가</t>
        </is>
      </c>
      <c r="E276" s="46" t="n"/>
      <c r="F276" s="46" t="n"/>
      <c r="G276" s="50" t="n"/>
      <c r="H276" s="51" t="n"/>
      <c r="I276" s="46" t="n"/>
      <c r="K276" s="46" t="n">
        <v>275</v>
      </c>
      <c r="L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">
      <c r="A277" s="229" t="n">
        <v>45664</v>
      </c>
      <c r="B277" s="46" t="inlineStr">
        <is>
          <t>사용전검사</t>
        </is>
      </c>
      <c r="C277" s="46" t="inlineStr">
        <is>
          <t>김포지역</t>
        </is>
      </c>
      <c r="D277" s="46" t="inlineStr">
        <is>
          <t>재일1</t>
        </is>
      </c>
      <c r="E277" s="46" t="n">
        <v>88</v>
      </c>
      <c r="F277" s="46" t="inlineStr">
        <is>
          <t>약암리</t>
        </is>
      </c>
      <c r="G277" s="50" t="n"/>
      <c r="H277" s="51" t="n"/>
      <c r="I277" s="46" t="inlineStr">
        <is>
          <t>이덕기</t>
        </is>
      </c>
      <c r="K277" s="46" t="n">
        <v>276</v>
      </c>
      <c r="L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">
      <c r="A278" s="229" t="n">
        <v>45664</v>
      </c>
      <c r="B278" s="46" t="inlineStr">
        <is>
          <t>사용전검사</t>
        </is>
      </c>
      <c r="C278" s="46" t="inlineStr">
        <is>
          <t>김포지역</t>
        </is>
      </c>
      <c r="D278" s="46" t="inlineStr">
        <is>
          <t>재일2</t>
        </is>
      </c>
      <c r="E278" s="46" t="n">
        <v>89</v>
      </c>
      <c r="F278" s="46" t="inlineStr">
        <is>
          <t>약암리</t>
        </is>
      </c>
      <c r="G278" s="50" t="n"/>
      <c r="H278" s="51" t="n"/>
      <c r="I278" s="46" t="inlineStr">
        <is>
          <t>이덕기</t>
        </is>
      </c>
      <c r="K278" s="46" t="n">
        <v>277</v>
      </c>
      <c r="L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">
      <c r="A279" s="229" t="n">
        <v>45664</v>
      </c>
      <c r="B279" s="46" t="inlineStr">
        <is>
          <t>사용전검사</t>
        </is>
      </c>
      <c r="C279" s="46" t="inlineStr">
        <is>
          <t>김포지역</t>
        </is>
      </c>
      <c r="D279" s="46" t="inlineStr">
        <is>
          <t>재일3</t>
        </is>
      </c>
      <c r="E279" s="46" t="n">
        <v>90</v>
      </c>
      <c r="F279" s="46" t="inlineStr">
        <is>
          <t>약암리</t>
        </is>
      </c>
      <c r="G279" s="50" t="n"/>
      <c r="H279" s="51" t="n"/>
      <c r="I279" s="46" t="inlineStr">
        <is>
          <t>장현민</t>
        </is>
      </c>
      <c r="K279" s="46" t="n">
        <v>278</v>
      </c>
      <c r="L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">
      <c r="A280" s="229" t="n">
        <v>45664</v>
      </c>
      <c r="B280" s="46" t="inlineStr">
        <is>
          <t>사용전검사</t>
        </is>
      </c>
      <c r="C280" s="46" t="inlineStr">
        <is>
          <t>김포지역</t>
        </is>
      </c>
      <c r="D280" s="46" t="inlineStr">
        <is>
          <t>재일4</t>
        </is>
      </c>
      <c r="E280" s="46" t="n">
        <v>91</v>
      </c>
      <c r="F280" s="46" t="inlineStr">
        <is>
          <t>약암리</t>
        </is>
      </c>
      <c r="G280" s="50" t="n"/>
      <c r="H280" s="51" t="n"/>
      <c r="I280" s="46" t="inlineStr">
        <is>
          <t>장현민</t>
        </is>
      </c>
      <c r="K280" s="46" t="n">
        <v>279</v>
      </c>
      <c r="L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">
      <c r="A281" s="229" t="n">
        <v>45665</v>
      </c>
      <c r="B281" s="46" t="inlineStr">
        <is>
          <t>정기검사</t>
        </is>
      </c>
      <c r="C281" s="46" t="inlineStr">
        <is>
          <t>부천지역</t>
        </is>
      </c>
      <c r="D281" s="46" t="inlineStr">
        <is>
          <t>신정상회</t>
        </is>
      </c>
      <c r="E281" s="46" t="n">
        <v>300</v>
      </c>
      <c r="F281" s="46" t="inlineStr">
        <is>
          <t>괴안동</t>
        </is>
      </c>
      <c r="G281" s="50" t="n">
        <v>0.6458333333333334</v>
      </c>
      <c r="H281" s="51" t="n">
        <v>521730</v>
      </c>
      <c r="I281" s="46" t="inlineStr">
        <is>
          <t>서수형</t>
        </is>
      </c>
      <c r="K281" s="46" t="n">
        <v>280</v>
      </c>
      <c r="L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">
      <c r="A282" s="229" t="n">
        <v>45665</v>
      </c>
      <c r="B282" s="46" t="inlineStr">
        <is>
          <t>정기검사</t>
        </is>
      </c>
      <c r="C282" s="46" t="inlineStr">
        <is>
          <t>김포지역</t>
        </is>
      </c>
      <c r="D282" s="46" t="inlineStr">
        <is>
          <t>운진건설기업</t>
        </is>
      </c>
      <c r="E282" s="46" t="n">
        <v>290</v>
      </c>
      <c r="F282" s="46" t="inlineStr">
        <is>
          <t>고정리</t>
        </is>
      </c>
      <c r="G282" s="50" t="n">
        <v>0.4166666666666667</v>
      </c>
      <c r="H282" s="51" t="n">
        <v>515130</v>
      </c>
      <c r="I282" s="46" t="inlineStr">
        <is>
          <t>김상규</t>
        </is>
      </c>
      <c r="K282" s="46" t="n">
        <v>281</v>
      </c>
      <c r="L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">
      <c r="A283" s="229" t="n">
        <v>45665</v>
      </c>
      <c r="B283" s="46" t="inlineStr">
        <is>
          <t>정기검사</t>
        </is>
      </c>
      <c r="C283" s="46" t="inlineStr">
        <is>
          <t>김포지역</t>
        </is>
      </c>
      <c r="D283" s="46" t="inlineStr">
        <is>
          <t>청수초</t>
        </is>
      </c>
      <c r="E283" s="46" t="inlineStr">
        <is>
          <t>600/165.8</t>
        </is>
      </c>
      <c r="F283" s="46" t="inlineStr">
        <is>
          <t>운양동</t>
        </is>
      </c>
      <c r="G283" s="50" t="n">
        <v>0.6041666666666666</v>
      </c>
      <c r="H283" s="51" t="n">
        <v>1095490</v>
      </c>
      <c r="I283" s="46" t="inlineStr">
        <is>
          <t>김영권</t>
        </is>
      </c>
      <c r="K283" s="46" t="n">
        <v>282</v>
      </c>
      <c r="L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">
      <c r="A284" s="229" t="n">
        <v>45665</v>
      </c>
      <c r="B284" s="46" t="inlineStr">
        <is>
          <t>정기검사</t>
        </is>
      </c>
      <c r="C284" s="46" t="inlineStr">
        <is>
          <t>김포지역</t>
        </is>
      </c>
      <c r="D284" s="46" t="inlineStr">
        <is>
          <t>수안마을태양광</t>
        </is>
      </c>
      <c r="E284" s="46" t="n">
        <v>3</v>
      </c>
      <c r="F284" s="46" t="inlineStr">
        <is>
          <t>대능리</t>
        </is>
      </c>
      <c r="G284" s="50" t="n"/>
      <c r="H284" s="51" t="n">
        <v>89210</v>
      </c>
      <c r="I284" s="46" t="inlineStr">
        <is>
          <t>장현민</t>
        </is>
      </c>
      <c r="K284" s="46" t="n">
        <v>283</v>
      </c>
      <c r="L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">
      <c r="A285" s="229" t="n">
        <v>45665</v>
      </c>
      <c r="B285" s="46" t="inlineStr">
        <is>
          <t>사용전검사</t>
        </is>
      </c>
      <c r="C285" s="46" t="inlineStr">
        <is>
          <t>부천지역</t>
        </is>
      </c>
      <c r="D285" s="46" t="inlineStr">
        <is>
          <t>골든캐슬요양원 부분</t>
        </is>
      </c>
      <c r="E285" s="46" t="n"/>
      <c r="F285" s="46" t="inlineStr">
        <is>
          <t>소사동</t>
        </is>
      </c>
      <c r="G285" s="50" t="n"/>
      <c r="H285" s="51" t="n"/>
      <c r="I285" s="46" t="inlineStr">
        <is>
          <t>이덕기</t>
        </is>
      </c>
      <c r="K285" s="46" t="n">
        <v>284</v>
      </c>
      <c r="L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">
      <c r="A286" s="229" t="n">
        <v>45665</v>
      </c>
      <c r="B286" s="46" t="inlineStr">
        <is>
          <t>사용전검사</t>
        </is>
      </c>
      <c r="C286" s="46" t="inlineStr">
        <is>
          <t>부천지역</t>
        </is>
      </c>
      <c r="D286" s="46" t="inlineStr">
        <is>
          <t>케이티</t>
        </is>
      </c>
      <c r="E286" s="46" t="n"/>
      <c r="F286" s="46" t="inlineStr">
        <is>
          <t>고강동</t>
        </is>
      </c>
      <c r="G286" s="50" t="n"/>
      <c r="H286" s="51" t="n"/>
      <c r="I286" s="46" t="inlineStr">
        <is>
          <t>당효진</t>
        </is>
      </c>
      <c r="K286" s="46" t="n">
        <v>285</v>
      </c>
      <c r="L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">
      <c r="A287" s="229" t="n">
        <v>45665</v>
      </c>
      <c r="B287" s="46" t="inlineStr">
        <is>
          <t>사용전검사</t>
        </is>
      </c>
      <c r="C287" s="46" t="inlineStr">
        <is>
          <t>부천지역</t>
        </is>
      </c>
      <c r="D287" s="46" t="inlineStr">
        <is>
          <t>케이티</t>
        </is>
      </c>
      <c r="E287" s="46" t="n"/>
      <c r="F287" s="46" t="inlineStr">
        <is>
          <t>심곡동</t>
        </is>
      </c>
      <c r="G287" s="50" t="n"/>
      <c r="H287" s="51" t="n"/>
      <c r="I287" s="46" t="inlineStr">
        <is>
          <t>이종석</t>
        </is>
      </c>
      <c r="K287" s="46" t="n">
        <v>286</v>
      </c>
      <c r="L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">
      <c r="A288" s="229" t="n">
        <v>45665</v>
      </c>
      <c r="B288" s="46" t="inlineStr">
        <is>
          <t>메모</t>
        </is>
      </c>
      <c r="C288" s="46" t="inlineStr">
        <is>
          <t>부천지역</t>
        </is>
      </c>
      <c r="D288" s="46" t="inlineStr">
        <is>
          <t>민경수휴가</t>
        </is>
      </c>
      <c r="E288" s="46" t="n"/>
      <c r="F288" s="46" t="n"/>
      <c r="G288" s="50" t="n"/>
      <c r="H288" s="51" t="n"/>
      <c r="I288" s="46" t="n"/>
      <c r="K288" s="46" t="n">
        <v>287</v>
      </c>
      <c r="L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">
      <c r="A289" s="229" t="n">
        <v>45665</v>
      </c>
      <c r="B289" s="46" t="inlineStr">
        <is>
          <t>메모</t>
        </is>
      </c>
      <c r="C289" s="46" t="inlineStr">
        <is>
          <t>부천지역</t>
        </is>
      </c>
      <c r="D289" s="46" t="inlineStr">
        <is>
          <t>민재홍휴가</t>
        </is>
      </c>
      <c r="E289" s="46" t="inlineStr">
        <is>
          <t>우승택-서수형</t>
        </is>
      </c>
      <c r="F289" s="46" t="n"/>
      <c r="G289" s="50" t="n"/>
      <c r="H289" s="51" t="n"/>
      <c r="I289" s="46" t="n"/>
      <c r="K289" s="46" t="n">
        <v>288</v>
      </c>
      <c r="L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">
      <c r="A290" s="229" t="n">
        <v>45665</v>
      </c>
      <c r="B290" s="46" t="inlineStr">
        <is>
          <t>메모</t>
        </is>
      </c>
      <c r="C290" s="46" t="inlineStr">
        <is>
          <t>부천지역</t>
        </is>
      </c>
      <c r="D290" s="46" t="inlineStr">
        <is>
          <t>정신배 노조</t>
        </is>
      </c>
      <c r="E290" s="46" t="n"/>
      <c r="F290" s="46" t="n"/>
      <c r="G290" s="50" t="n"/>
      <c r="H290" s="51" t="n"/>
      <c r="I290" s="46" t="n"/>
      <c r="K290" s="46" t="n">
        <v>289</v>
      </c>
      <c r="L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">
      <c r="A291" s="229" t="n">
        <v>45665</v>
      </c>
      <c r="B291" s="46" t="inlineStr">
        <is>
          <t>사용전검사</t>
        </is>
      </c>
      <c r="C291" s="46" t="inlineStr">
        <is>
          <t>김포지역</t>
        </is>
      </c>
      <c r="D291" s="46" t="inlineStr">
        <is>
          <t>크레투웍스</t>
        </is>
      </c>
      <c r="E291" s="46" t="n"/>
      <c r="F291" s="46" t="inlineStr">
        <is>
          <t>신곡리</t>
        </is>
      </c>
      <c r="G291" s="50" t="n"/>
      <c r="H291" s="51" t="n"/>
      <c r="I291" s="46" t="inlineStr">
        <is>
          <t>송두기</t>
        </is>
      </c>
      <c r="K291" s="46" t="n">
        <v>290</v>
      </c>
      <c r="L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">
      <c r="A292" s="229" t="n">
        <v>45665</v>
      </c>
      <c r="B292" s="46" t="inlineStr">
        <is>
          <t>사용전검사</t>
        </is>
      </c>
      <c r="C292" s="46" t="inlineStr">
        <is>
          <t>김포지역</t>
        </is>
      </c>
      <c r="D292" s="46" t="inlineStr">
        <is>
          <t>육군17포병사단</t>
        </is>
      </c>
      <c r="E292" s="46" t="n"/>
      <c r="F292" s="46" t="inlineStr">
        <is>
          <t>학운리</t>
        </is>
      </c>
      <c r="G292" s="50" t="n"/>
      <c r="H292" s="51" t="n"/>
      <c r="I292" s="46" t="inlineStr">
        <is>
          <t>허창수</t>
        </is>
      </c>
      <c r="K292" s="46" t="n">
        <v>291</v>
      </c>
      <c r="L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">
      <c r="A293" s="229" t="n">
        <v>45666</v>
      </c>
      <c r="B293" s="46" t="inlineStr">
        <is>
          <t>정기검사</t>
        </is>
      </c>
      <c r="C293" s="46" t="inlineStr">
        <is>
          <t>부천지역</t>
        </is>
      </c>
      <c r="D293" s="46" t="inlineStr">
        <is>
          <t>반도프라자</t>
        </is>
      </c>
      <c r="E293" s="46" t="inlineStr">
        <is>
          <t>600/145</t>
        </is>
      </c>
      <c r="F293" s="46" t="inlineStr">
        <is>
          <t>송내동</t>
        </is>
      </c>
      <c r="G293" s="50" t="n">
        <v>0.3958333333333333</v>
      </c>
      <c r="H293" s="51" t="n">
        <v>824230</v>
      </c>
      <c r="I293" s="46" t="inlineStr">
        <is>
          <t>송낙명</t>
        </is>
      </c>
      <c r="K293" s="46" t="n">
        <v>292</v>
      </c>
      <c r="L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">
      <c r="A294" s="229" t="n">
        <v>45666</v>
      </c>
      <c r="B294" s="46" t="inlineStr">
        <is>
          <t>정기검사</t>
        </is>
      </c>
      <c r="C294" s="46" t="inlineStr">
        <is>
          <t>부천지역</t>
        </is>
      </c>
      <c r="D294" s="46" t="inlineStr">
        <is>
          <t>신세계종합관리 플로렌스</t>
        </is>
      </c>
      <c r="E294" s="46" t="inlineStr">
        <is>
          <t>400/455/7</t>
        </is>
      </c>
      <c r="F294" s="46" t="inlineStr">
        <is>
          <t>심곡동</t>
        </is>
      </c>
      <c r="G294" s="50" t="n">
        <v>0.4166666666666667</v>
      </c>
      <c r="H294" s="51" t="n">
        <v>1014860</v>
      </c>
      <c r="I294" s="46" t="inlineStr">
        <is>
          <t>서수형</t>
        </is>
      </c>
      <c r="K294" s="46" t="n">
        <v>293</v>
      </c>
      <c r="L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">
      <c r="A295" s="229" t="n">
        <v>45666</v>
      </c>
      <c r="B295" s="46" t="inlineStr">
        <is>
          <t>정기검사</t>
        </is>
      </c>
      <c r="C295" s="46" t="inlineStr">
        <is>
          <t>부천지역</t>
        </is>
      </c>
      <c r="D295" s="46" t="inlineStr">
        <is>
          <t>하이룩스</t>
        </is>
      </c>
      <c r="E295" s="46" t="n">
        <v>150</v>
      </c>
      <c r="F295" s="46" t="inlineStr">
        <is>
          <t>내동</t>
        </is>
      </c>
      <c r="G295" s="50" t="n"/>
      <c r="H295" s="51" t="n">
        <v>424160</v>
      </c>
      <c r="I295" s="46" t="inlineStr">
        <is>
          <t>송낙명</t>
        </is>
      </c>
      <c r="K295" s="46" t="n">
        <v>294</v>
      </c>
      <c r="L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">
      <c r="A296" s="229" t="n">
        <v>45666</v>
      </c>
      <c r="B296" s="46" t="inlineStr">
        <is>
          <t>정기검사</t>
        </is>
      </c>
      <c r="C296" s="46" t="inlineStr">
        <is>
          <t>김포지역</t>
        </is>
      </c>
      <c r="D296" s="46" t="inlineStr">
        <is>
          <t>제일타워</t>
        </is>
      </c>
      <c r="E296" s="46" t="inlineStr">
        <is>
          <t>500/227</t>
        </is>
      </c>
      <c r="F296" s="46" t="inlineStr">
        <is>
          <t>장기동</t>
        </is>
      </c>
      <c r="G296" s="50" t="n">
        <v>0.5833333333333334</v>
      </c>
      <c r="H296" s="51" t="n">
        <v>796290</v>
      </c>
      <c r="I296" s="46" t="inlineStr">
        <is>
          <t>김영권</t>
        </is>
      </c>
      <c r="K296" s="46" t="n">
        <v>295</v>
      </c>
      <c r="L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">
      <c r="A297" s="229" t="n">
        <v>45666</v>
      </c>
      <c r="B297" s="46" t="inlineStr">
        <is>
          <t>정기검사</t>
        </is>
      </c>
      <c r="C297" s="46" t="inlineStr">
        <is>
          <t>김포지역</t>
        </is>
      </c>
      <c r="D297" s="46" t="inlineStr">
        <is>
          <t>신영그라텍</t>
        </is>
      </c>
      <c r="E297" s="46" t="n">
        <v>250</v>
      </c>
      <c r="F297" s="46" t="inlineStr">
        <is>
          <t>마곡리</t>
        </is>
      </c>
      <c r="G297" s="50" t="n">
        <v>0.4791666666666667</v>
      </c>
      <c r="H297" s="51" t="n">
        <v>489170</v>
      </c>
      <c r="I297" s="46" t="inlineStr">
        <is>
          <t>김상규</t>
        </is>
      </c>
      <c r="K297" s="46" t="n">
        <v>296</v>
      </c>
      <c r="L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">
      <c r="A298" s="229" t="n">
        <v>45666</v>
      </c>
      <c r="B298" s="46" t="inlineStr">
        <is>
          <t>정기검사</t>
        </is>
      </c>
      <c r="C298" s="46" t="inlineStr">
        <is>
          <t>김포지역</t>
        </is>
      </c>
      <c r="D298" s="46" t="inlineStr">
        <is>
          <t>미소태양광발전소</t>
        </is>
      </c>
      <c r="E298" s="46" t="n">
        <v>99.40000000000001</v>
      </c>
      <c r="F298" s="46" t="inlineStr">
        <is>
          <t>시암리</t>
        </is>
      </c>
      <c r="G298" s="50" t="n">
        <v>0.4375</v>
      </c>
      <c r="H298" s="51" t="n">
        <v>444400</v>
      </c>
      <c r="I298" s="46" t="inlineStr">
        <is>
          <t>송두기</t>
        </is>
      </c>
      <c r="K298" s="46" t="n">
        <v>297</v>
      </c>
      <c r="L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">
      <c r="A299" s="229" t="n">
        <v>45666</v>
      </c>
      <c r="B299" s="46" t="inlineStr">
        <is>
          <t>사용전검사</t>
        </is>
      </c>
      <c r="C299" s="46" t="inlineStr">
        <is>
          <t>부천지역</t>
        </is>
      </c>
      <c r="D299" s="46" t="inlineStr">
        <is>
          <t>카운텍</t>
        </is>
      </c>
      <c r="E299" s="46" t="n"/>
      <c r="F299" s="46" t="inlineStr">
        <is>
          <t>오정동</t>
        </is>
      </c>
      <c r="G299" s="50" t="n"/>
      <c r="H299" s="51" t="n"/>
      <c r="I299" s="46" t="inlineStr">
        <is>
          <t>당효진</t>
        </is>
      </c>
      <c r="K299" s="46" t="n">
        <v>298</v>
      </c>
      <c r="L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">
      <c r="A300" s="229" t="n">
        <v>45666</v>
      </c>
      <c r="B300" s="46" t="inlineStr">
        <is>
          <t>메모</t>
        </is>
      </c>
      <c r="C300" s="46" t="inlineStr">
        <is>
          <t>부천지역</t>
        </is>
      </c>
      <c r="D300" s="46" t="inlineStr">
        <is>
          <t>허창수노조</t>
        </is>
      </c>
      <c r="E300" s="46" t="n"/>
      <c r="F300" s="46" t="n"/>
      <c r="G300" s="50" t="n"/>
      <c r="H300" s="51" t="n"/>
      <c r="I300" s="46" t="n"/>
      <c r="K300" s="46" t="n">
        <v>299</v>
      </c>
      <c r="L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">
      <c r="A301" s="229" t="n">
        <v>45666</v>
      </c>
      <c r="B301" s="46" t="inlineStr">
        <is>
          <t>메모</t>
        </is>
      </c>
      <c r="C301" s="46" t="inlineStr">
        <is>
          <t>부천지역</t>
        </is>
      </c>
      <c r="D301" s="46" t="inlineStr">
        <is>
          <t>민재홍휴가</t>
        </is>
      </c>
      <c r="E301" s="46" t="n"/>
      <c r="F301" s="46" t="n"/>
      <c r="G301" s="50" t="n"/>
      <c r="H301" s="51" t="n"/>
      <c r="I301" s="46" t="n"/>
      <c r="K301" s="46" t="n">
        <v>300</v>
      </c>
      <c r="L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">
      <c r="A302" s="229" t="n">
        <v>45666</v>
      </c>
      <c r="B302" s="46" t="inlineStr">
        <is>
          <t>메모</t>
        </is>
      </c>
      <c r="C302" s="46" t="inlineStr">
        <is>
          <t>부천지역</t>
        </is>
      </c>
      <c r="D302" s="46" t="inlineStr">
        <is>
          <t>이종석휴가</t>
        </is>
      </c>
      <c r="E302" s="46" t="n"/>
      <c r="F302" s="46" t="n"/>
      <c r="G302" s="50" t="n"/>
      <c r="H302" s="51" t="n"/>
      <c r="I302" s="46" t="n"/>
      <c r="K302" s="46" t="n">
        <v>301</v>
      </c>
      <c r="L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">
      <c r="A303" s="229" t="n">
        <v>45666</v>
      </c>
      <c r="B303" s="46" t="inlineStr">
        <is>
          <t>사용전검사</t>
        </is>
      </c>
      <c r="C303" s="46" t="inlineStr">
        <is>
          <t>부천지역</t>
        </is>
      </c>
      <c r="D303" s="46" t="inlineStr">
        <is>
          <t>정신배 노조</t>
        </is>
      </c>
      <c r="E303" s="46" t="inlineStr">
        <is>
          <t>서수형,당효진</t>
        </is>
      </c>
      <c r="F303" s="46" t="n"/>
      <c r="G303" s="50" t="n"/>
      <c r="H303" s="51" t="n"/>
      <c r="I303" s="46" t="n"/>
      <c r="K303" s="46" t="n">
        <v>302</v>
      </c>
      <c r="L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">
      <c r="A304" s="229" t="n">
        <v>45666</v>
      </c>
      <c r="B304" s="46" t="inlineStr">
        <is>
          <t>메모</t>
        </is>
      </c>
      <c r="C304" s="46" t="inlineStr">
        <is>
          <t>부천지역</t>
        </is>
      </c>
      <c r="D304" s="46" t="inlineStr">
        <is>
          <t>이덕기휴가</t>
        </is>
      </c>
      <c r="E304" s="46" t="inlineStr">
        <is>
          <t>송낙명,김상규</t>
        </is>
      </c>
      <c r="F304" s="46" t="n"/>
      <c r="G304" s="50" t="n"/>
      <c r="H304" s="51" t="n"/>
      <c r="I304" s="46" t="n"/>
      <c r="K304" s="46" t="n">
        <v>303</v>
      </c>
      <c r="L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">
      <c r="A305" s="229" t="n">
        <v>45666</v>
      </c>
      <c r="B305" s="46" t="inlineStr">
        <is>
          <t>메모</t>
        </is>
      </c>
      <c r="C305" s="46" t="inlineStr">
        <is>
          <t>부천지역</t>
        </is>
      </c>
      <c r="D305" s="46" t="inlineStr">
        <is>
          <t>장현민휴가</t>
        </is>
      </c>
      <c r="E305" s="46" t="inlineStr">
        <is>
          <t>김영권,김상규</t>
        </is>
      </c>
      <c r="F305" s="46" t="n"/>
      <c r="G305" s="50" t="n"/>
      <c r="H305" s="51" t="n"/>
      <c r="I305" s="46" t="n"/>
      <c r="K305" s="46" t="n">
        <v>304</v>
      </c>
      <c r="L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">
      <c r="A306" s="229" t="n">
        <v>45666</v>
      </c>
      <c r="B306" s="46" t="inlineStr">
        <is>
          <t>메모</t>
        </is>
      </c>
      <c r="C306" s="46" t="inlineStr">
        <is>
          <t>부천지역</t>
        </is>
      </c>
      <c r="D306" s="46" t="inlineStr">
        <is>
          <t>우승택휴가</t>
        </is>
      </c>
      <c r="E306" s="46" t="n"/>
      <c r="F306" s="46" t="n"/>
      <c r="G306" s="50" t="n"/>
      <c r="H306" s="51" t="n"/>
      <c r="I306" s="46" t="n"/>
      <c r="K306" s="46" t="n">
        <v>305</v>
      </c>
      <c r="L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">
      <c r="A307" s="229" t="n">
        <v>45666</v>
      </c>
      <c r="B307" s="46" t="inlineStr">
        <is>
          <t>사용전검사</t>
        </is>
      </c>
      <c r="C307" s="46" t="inlineStr">
        <is>
          <t>김포지역</t>
        </is>
      </c>
      <c r="D307" s="46" t="inlineStr">
        <is>
          <t>양원고</t>
        </is>
      </c>
      <c r="E307" s="46" t="inlineStr">
        <is>
          <t>푀뢰</t>
        </is>
      </c>
      <c r="F307" s="46" t="inlineStr">
        <is>
          <t>양곡리</t>
        </is>
      </c>
      <c r="G307" s="50" t="n"/>
      <c r="H307" s="51" t="n"/>
      <c r="I307" s="46" t="inlineStr">
        <is>
          <t>민경수</t>
        </is>
      </c>
      <c r="K307" s="46" t="n">
        <v>306</v>
      </c>
      <c r="L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">
      <c r="A308" s="229" t="n">
        <v>45667</v>
      </c>
      <c r="B308" s="46" t="inlineStr">
        <is>
          <t>정기검사</t>
        </is>
      </c>
      <c r="C308" s="46" t="inlineStr">
        <is>
          <t>부천지역</t>
        </is>
      </c>
      <c r="D308" s="46" t="inlineStr">
        <is>
          <t>신원에스앤티</t>
        </is>
      </c>
      <c r="E308" s="46" t="n">
        <v>290</v>
      </c>
      <c r="F308" s="46" t="inlineStr">
        <is>
          <t>오정동</t>
        </is>
      </c>
      <c r="G308" s="50" t="n">
        <v>0.4166666666666667</v>
      </c>
      <c r="H308" s="51" t="n">
        <v>669790</v>
      </c>
      <c r="I308" s="46" t="inlineStr">
        <is>
          <t>김상규</t>
        </is>
      </c>
      <c r="K308" s="46" t="n">
        <v>307</v>
      </c>
      <c r="L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">
      <c r="A309" s="229" t="n">
        <v>45667</v>
      </c>
      <c r="B309" s="46" t="inlineStr">
        <is>
          <t>정기검사</t>
        </is>
      </c>
      <c r="C309" s="46" t="inlineStr">
        <is>
          <t>김포지역</t>
        </is>
      </c>
      <c r="D309" s="46" t="inlineStr">
        <is>
          <t>icr</t>
        </is>
      </c>
      <c r="E309" s="46" t="n">
        <v>1600</v>
      </c>
      <c r="F309" s="46" t="inlineStr">
        <is>
          <t>학운리</t>
        </is>
      </c>
      <c r="G309" s="50" t="n">
        <v>0.4166666666666667</v>
      </c>
      <c r="H309" s="51" t="n">
        <v>1235300</v>
      </c>
      <c r="I309" s="46" t="inlineStr">
        <is>
          <t>우승택</t>
        </is>
      </c>
      <c r="K309" s="46" t="n">
        <v>308</v>
      </c>
      <c r="L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">
      <c r="A310" s="229" t="n">
        <v>45667</v>
      </c>
      <c r="B310" s="46" t="inlineStr">
        <is>
          <t>메모</t>
        </is>
      </c>
      <c r="C310" s="46" t="inlineStr">
        <is>
          <t>부천지역</t>
        </is>
      </c>
      <c r="D310" s="46" t="inlineStr">
        <is>
          <t>민재홍휴가</t>
        </is>
      </c>
      <c r="E310" s="46" t="n"/>
      <c r="F310" s="46" t="n"/>
      <c r="G310" s="50" t="n"/>
      <c r="H310" s="51" t="n"/>
      <c r="I310" s="46" t="n"/>
      <c r="K310" s="46" t="n">
        <v>309</v>
      </c>
      <c r="L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">
      <c r="A311" s="229" t="n">
        <v>45667</v>
      </c>
      <c r="B311" s="46" t="inlineStr">
        <is>
          <t>메모</t>
        </is>
      </c>
      <c r="C311" s="46" t="inlineStr">
        <is>
          <t>부천지역</t>
        </is>
      </c>
      <c r="D311" s="46" t="inlineStr">
        <is>
          <t>김영권휴가</t>
        </is>
      </c>
      <c r="E311" s="46" t="n"/>
      <c r="F311" s="46" t="n"/>
      <c r="G311" s="50" t="n"/>
      <c r="H311" s="51" t="n"/>
      <c r="I311" s="46" t="n"/>
      <c r="K311" s="46" t="n">
        <v>310</v>
      </c>
      <c r="L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">
      <c r="A312" s="229" t="n">
        <v>45667</v>
      </c>
      <c r="B312" s="46" t="inlineStr">
        <is>
          <t>메모</t>
        </is>
      </c>
      <c r="C312" s="46" t="inlineStr">
        <is>
          <t>부천지역</t>
        </is>
      </c>
      <c r="D312" s="46" t="inlineStr">
        <is>
          <t>이종석휴가</t>
        </is>
      </c>
      <c r="E312" s="46" t="n"/>
      <c r="F312" s="46" t="n"/>
      <c r="G312" s="50" t="n"/>
      <c r="H312" s="51" t="n"/>
      <c r="I312" s="46" t="n"/>
      <c r="K312" s="46" t="n">
        <v>311</v>
      </c>
      <c r="L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">
      <c r="A313" s="229" t="n">
        <v>45667</v>
      </c>
      <c r="B313" s="46" t="inlineStr">
        <is>
          <t>메모</t>
        </is>
      </c>
      <c r="C313" s="46" t="inlineStr">
        <is>
          <t>부천지역</t>
        </is>
      </c>
      <c r="D313" s="46" t="inlineStr">
        <is>
          <t>정신배 노조</t>
        </is>
      </c>
      <c r="E313" s="46" t="n"/>
      <c r="F313" s="46" t="n"/>
      <c r="G313" s="50" t="n"/>
      <c r="H313" s="51" t="n"/>
      <c r="I313" s="46" t="n"/>
      <c r="K313" s="46" t="n">
        <v>312</v>
      </c>
      <c r="L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">
      <c r="A314" s="229" t="n">
        <v>45667</v>
      </c>
      <c r="B314" s="46" t="inlineStr">
        <is>
          <t>메모</t>
        </is>
      </c>
      <c r="C314" s="46" t="inlineStr">
        <is>
          <t>부천지역</t>
        </is>
      </c>
      <c r="D314" s="46" t="inlineStr">
        <is>
          <t>이덕기휴가</t>
        </is>
      </c>
      <c r="E314" s="46" t="n"/>
      <c r="F314" s="46" t="n"/>
      <c r="G314" s="50" t="n"/>
      <c r="H314" s="51" t="n"/>
      <c r="I314" s="46" t="n"/>
      <c r="K314" s="46" t="n">
        <v>313</v>
      </c>
      <c r="L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">
      <c r="A315" s="229" t="n">
        <v>45667</v>
      </c>
      <c r="B315" s="46" t="inlineStr">
        <is>
          <t>메모</t>
        </is>
      </c>
      <c r="C315" s="46" t="inlineStr">
        <is>
          <t>부천지역</t>
        </is>
      </c>
      <c r="D315" s="46" t="inlineStr">
        <is>
          <t>장현민휴가</t>
        </is>
      </c>
      <c r="E315" s="46" t="n"/>
      <c r="F315" s="46" t="n"/>
      <c r="G315" s="50" t="n"/>
      <c r="H315" s="51" t="n"/>
      <c r="I315" s="46" t="n"/>
      <c r="K315" s="46" t="n">
        <v>314</v>
      </c>
      <c r="L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">
      <c r="A316" s="229" t="n">
        <v>45668</v>
      </c>
      <c r="B316" s="46" t="inlineStr">
        <is>
          <t>메모</t>
        </is>
      </c>
      <c r="C316" s="46" t="inlineStr">
        <is>
          <t>부천지역</t>
        </is>
      </c>
      <c r="D316" s="46" t="inlineStr">
        <is>
          <t>민재홍휴가</t>
        </is>
      </c>
      <c r="E316" s="46" t="n"/>
      <c r="F316" s="46" t="n"/>
      <c r="G316" s="50" t="n"/>
      <c r="H316" s="51" t="n"/>
      <c r="I316" s="46" t="n"/>
      <c r="K316" s="46" t="n">
        <v>315</v>
      </c>
      <c r="L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">
      <c r="A317" s="229" t="n">
        <v>45668</v>
      </c>
      <c r="B317" s="46" t="inlineStr">
        <is>
          <t>메모</t>
        </is>
      </c>
      <c r="C317" s="46" t="inlineStr">
        <is>
          <t>부천지역</t>
        </is>
      </c>
      <c r="D317" s="46" t="inlineStr">
        <is>
          <t>이종석휴가</t>
        </is>
      </c>
      <c r="E317" s="46" t="n"/>
      <c r="F317" s="46" t="n"/>
      <c r="G317" s="50" t="n"/>
      <c r="H317" s="51" t="n"/>
      <c r="I317" s="46" t="n"/>
      <c r="K317" s="46" t="n">
        <v>316</v>
      </c>
      <c r="L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">
      <c r="A318" s="229" t="n">
        <v>45668</v>
      </c>
      <c r="B318" s="46" t="inlineStr">
        <is>
          <t>메모</t>
        </is>
      </c>
      <c r="C318" s="46" t="inlineStr">
        <is>
          <t>부천지역</t>
        </is>
      </c>
      <c r="D318" s="46" t="inlineStr">
        <is>
          <t>정신배 노조</t>
        </is>
      </c>
      <c r="E318" s="46" t="n"/>
      <c r="F318" s="46" t="n"/>
      <c r="G318" s="50" t="n"/>
      <c r="H318" s="51" t="n"/>
      <c r="I318" s="46" t="n"/>
      <c r="K318" s="46" t="n">
        <v>317</v>
      </c>
      <c r="L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">
      <c r="A319" s="229" t="n">
        <v>45668</v>
      </c>
      <c r="B319" s="46" t="inlineStr">
        <is>
          <t>메모</t>
        </is>
      </c>
      <c r="C319" s="46" t="inlineStr">
        <is>
          <t>부천지역</t>
        </is>
      </c>
      <c r="D319" s="46" t="inlineStr">
        <is>
          <t>이덕기휴가</t>
        </is>
      </c>
      <c r="E319" s="46" t="n"/>
      <c r="F319" s="46" t="n"/>
      <c r="G319" s="50" t="n"/>
      <c r="H319" s="51" t="n"/>
      <c r="I319" s="46" t="n"/>
      <c r="K319" s="46" t="n">
        <v>318</v>
      </c>
      <c r="L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">
      <c r="A320" s="229" t="n">
        <v>45668</v>
      </c>
      <c r="B320" s="46" t="inlineStr">
        <is>
          <t>메모</t>
        </is>
      </c>
      <c r="C320" s="46" t="inlineStr">
        <is>
          <t>부천지역</t>
        </is>
      </c>
      <c r="D320" s="46" t="inlineStr">
        <is>
          <t>장현민휴가</t>
        </is>
      </c>
      <c r="E320" s="46" t="n"/>
      <c r="F320" s="46" t="n"/>
      <c r="G320" s="50" t="n"/>
      <c r="H320" s="51" t="n"/>
      <c r="I320" s="46" t="n"/>
      <c r="K320" s="46" t="n">
        <v>319</v>
      </c>
      <c r="L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">
      <c r="A321" s="229" t="n">
        <v>45675</v>
      </c>
      <c r="B321" s="46" t="inlineStr">
        <is>
          <t>메모</t>
        </is>
      </c>
      <c r="C321" s="46" t="inlineStr">
        <is>
          <t>부천지역</t>
        </is>
      </c>
      <c r="D321" s="46" t="inlineStr">
        <is>
          <t>우승택휴가</t>
        </is>
      </c>
      <c r="E321" s="46" t="n"/>
      <c r="F321" s="46" t="n"/>
      <c r="G321" s="50" t="n"/>
      <c r="H321" s="51" t="n"/>
      <c r="I321" s="46" t="n"/>
      <c r="K321" s="46" t="n">
        <v>320</v>
      </c>
      <c r="L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">
      <c r="A322" s="229" t="n">
        <v>45675</v>
      </c>
      <c r="B322" s="46" t="inlineStr">
        <is>
          <t>메모</t>
        </is>
      </c>
      <c r="C322" s="46" t="inlineStr">
        <is>
          <t>부천지역</t>
        </is>
      </c>
      <c r="D322" s="46" t="inlineStr">
        <is>
          <t>허창수휴가</t>
        </is>
      </c>
      <c r="E322" s="46" t="n"/>
      <c r="F322" s="46" t="n"/>
      <c r="G322" s="50" t="n"/>
      <c r="H322" s="51" t="n"/>
      <c r="I322" s="46" t="n"/>
      <c r="K322" s="46" t="n">
        <v>321</v>
      </c>
      <c r="L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">
      <c r="A323" s="229" t="n">
        <v>45675</v>
      </c>
      <c r="B323" s="46" t="inlineStr">
        <is>
          <t>메모</t>
        </is>
      </c>
      <c r="C323" s="46" t="inlineStr">
        <is>
          <t>부천지역</t>
        </is>
      </c>
      <c r="D323" s="46" t="inlineStr">
        <is>
          <t>민재홍병가</t>
        </is>
      </c>
      <c r="E323" s="46" t="n"/>
      <c r="F323" s="46" t="n"/>
      <c r="G323" s="50" t="n"/>
      <c r="H323" s="51" t="n"/>
      <c r="I323" s="46" t="n"/>
      <c r="K323" s="46" t="n">
        <v>322</v>
      </c>
      <c r="L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">
      <c r="A324" s="229" t="n">
        <v>45675</v>
      </c>
      <c r="B324" s="46" t="inlineStr">
        <is>
          <t>메모</t>
        </is>
      </c>
      <c r="C324" s="46" t="inlineStr">
        <is>
          <t>부천지역</t>
        </is>
      </c>
      <c r="D324" s="46" t="inlineStr">
        <is>
          <t>이덕기휴가</t>
        </is>
      </c>
      <c r="E324" s="46" t="n"/>
      <c r="F324" s="46" t="n"/>
      <c r="G324" s="50" t="n"/>
      <c r="H324" s="51" t="n"/>
      <c r="I324" s="46" t="n"/>
      <c r="K324" s="46" t="n">
        <v>323</v>
      </c>
      <c r="L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">
      <c r="A325" s="229" t="n">
        <v>45682</v>
      </c>
      <c r="B325" s="46" t="inlineStr">
        <is>
          <t>메모</t>
        </is>
      </c>
      <c r="C325" s="46" t="inlineStr">
        <is>
          <t>부천지역</t>
        </is>
      </c>
      <c r="D325" s="46" t="inlineStr">
        <is>
          <t>민재홍병가</t>
        </is>
      </c>
      <c r="E325" s="46" t="n"/>
      <c r="F325" s="46" t="n"/>
      <c r="G325" s="50" t="n"/>
      <c r="H325" s="51" t="n"/>
      <c r="I325" s="46" t="n"/>
      <c r="K325" s="46" t="n">
        <v>324</v>
      </c>
      <c r="L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">
      <c r="A326" s="229" t="n">
        <v>45689</v>
      </c>
      <c r="B326" s="46" t="inlineStr">
        <is>
          <t>메모</t>
        </is>
      </c>
      <c r="C326" s="46" t="inlineStr">
        <is>
          <t>부천지역</t>
        </is>
      </c>
      <c r="D326" s="46" t="inlineStr">
        <is>
          <t>민재홍휴가</t>
        </is>
      </c>
      <c r="E326" s="46" t="n"/>
      <c r="F326" s="46" t="n"/>
      <c r="G326" s="50" t="n"/>
      <c r="H326" s="51" t="n"/>
      <c r="I326" s="46" t="n"/>
      <c r="K326" s="46" t="n">
        <v>325</v>
      </c>
      <c r="L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">
      <c r="A327" s="229" t="n">
        <v>45689</v>
      </c>
      <c r="B327" s="46" t="inlineStr">
        <is>
          <t>메모</t>
        </is>
      </c>
      <c r="C327" s="46" t="inlineStr">
        <is>
          <t>부천지역</t>
        </is>
      </c>
      <c r="D327" s="46" t="inlineStr">
        <is>
          <t>서수형휴가</t>
        </is>
      </c>
      <c r="E327" s="46" t="n"/>
      <c r="F327" s="46" t="n"/>
      <c r="G327" s="50" t="n"/>
      <c r="H327" s="51" t="n"/>
      <c r="I327" s="46" t="n"/>
      <c r="K327" s="46" t="n">
        <v>326</v>
      </c>
      <c r="L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">
      <c r="A328" s="229" t="n">
        <v>45690</v>
      </c>
      <c r="B328" s="46" t="inlineStr">
        <is>
          <t>정기검사</t>
        </is>
      </c>
      <c r="C328" s="46" t="inlineStr">
        <is>
          <t>부천지역</t>
        </is>
      </c>
      <c r="D328" s="46" t="inlineStr">
        <is>
          <t>삼광교회</t>
        </is>
      </c>
      <c r="E328" s="46" t="n">
        <v>69</v>
      </c>
      <c r="F328" s="46" t="n"/>
      <c r="G328" s="50" t="n"/>
      <c r="H328" s="51" t="n">
        <v>20000</v>
      </c>
      <c r="I328" s="46" t="inlineStr">
        <is>
          <t>송낙명</t>
        </is>
      </c>
      <c r="K328" s="46" t="n">
        <v>327</v>
      </c>
      <c r="L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">
      <c r="A329" s="229" t="n">
        <v>45690</v>
      </c>
      <c r="B329" s="46" t="inlineStr">
        <is>
          <t>정기검사</t>
        </is>
      </c>
      <c r="C329" s="46" t="inlineStr">
        <is>
          <t>김포지역</t>
        </is>
      </c>
      <c r="D329" s="46" t="inlineStr">
        <is>
          <t>태성산업기계</t>
        </is>
      </c>
      <c r="E329" s="46" t="n">
        <v>100</v>
      </c>
      <c r="F329" s="46" t="inlineStr">
        <is>
          <t>약암리</t>
        </is>
      </c>
      <c r="G329" s="50" t="n">
        <v>0.4791666666666667</v>
      </c>
      <c r="H329" s="51" t="n">
        <v>391710</v>
      </c>
      <c r="I329" s="46" t="inlineStr">
        <is>
          <t>허창수</t>
        </is>
      </c>
      <c r="K329" s="46" t="n">
        <v>328</v>
      </c>
      <c r="L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">
      <c r="A330" s="229" t="n">
        <v>45690</v>
      </c>
      <c r="B330" s="46" t="inlineStr">
        <is>
          <t>정기검사</t>
        </is>
      </c>
      <c r="C330" s="46" t="inlineStr">
        <is>
          <t>김포지역</t>
        </is>
      </c>
      <c r="D330" s="46" t="inlineStr">
        <is>
          <t>김포대글러벌캠퍼스</t>
        </is>
      </c>
      <c r="E330" s="46" t="inlineStr">
        <is>
          <t>전기차</t>
        </is>
      </c>
      <c r="F330" s="46" t="inlineStr">
        <is>
          <t>운양동</t>
        </is>
      </c>
      <c r="G330" s="50" t="n">
        <v>0</v>
      </c>
      <c r="H330" s="51" t="n">
        <v>64240</v>
      </c>
      <c r="I330" s="46" t="inlineStr">
        <is>
          <t>민경수</t>
        </is>
      </c>
      <c r="K330" s="46" t="n">
        <v>329</v>
      </c>
      <c r="L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">
      <c r="A331" s="229" t="n">
        <v>45690</v>
      </c>
      <c r="B331" s="46" t="inlineStr">
        <is>
          <t>사용전검사</t>
        </is>
      </c>
      <c r="C331" s="46" t="inlineStr">
        <is>
          <t>부천지역</t>
        </is>
      </c>
      <c r="D331" s="46" t="inlineStr">
        <is>
          <t>송내1-1</t>
        </is>
      </c>
      <c r="E331" s="46" t="inlineStr">
        <is>
          <t>2250/610</t>
        </is>
      </c>
      <c r="F331" s="46" t="inlineStr">
        <is>
          <t>송내동</t>
        </is>
      </c>
      <c r="G331" s="50" t="n"/>
      <c r="H331" s="51" t="n"/>
      <c r="I331" s="46" t="inlineStr">
        <is>
          <t>이덕기</t>
        </is>
      </c>
      <c r="K331" s="46" t="n">
        <v>330</v>
      </c>
      <c r="L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">
      <c r="A332" s="229" t="n">
        <v>45690</v>
      </c>
      <c r="B332" s="46" t="inlineStr">
        <is>
          <t>사용전검사</t>
        </is>
      </c>
      <c r="C332" s="46" t="inlineStr">
        <is>
          <t>부천지역</t>
        </is>
      </c>
      <c r="D332" s="46" t="inlineStr">
        <is>
          <t>디자인공간</t>
        </is>
      </c>
      <c r="E332" s="46" t="n"/>
      <c r="F332" s="46" t="n"/>
      <c r="G332" s="50" t="n"/>
      <c r="H332" s="51" t="n"/>
      <c r="I332" s="46" t="inlineStr">
        <is>
          <t>송낙명</t>
        </is>
      </c>
      <c r="K332" s="46" t="n">
        <v>331</v>
      </c>
      <c r="L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">
      <c r="A333" s="229" t="n">
        <v>45690</v>
      </c>
      <c r="B333" s="46" t="inlineStr">
        <is>
          <t>메모</t>
        </is>
      </c>
      <c r="C333" s="46" t="inlineStr">
        <is>
          <t>부천지역</t>
        </is>
      </c>
      <c r="D333" s="46" t="inlineStr">
        <is>
          <t>민재홍휴가</t>
        </is>
      </c>
      <c r="E333" s="46" t="n"/>
      <c r="F333" s="46" t="n"/>
      <c r="G333" s="50" t="n"/>
      <c r="H333" s="51" t="n"/>
      <c r="I333" s="46" t="n"/>
      <c r="K333" s="46" t="n">
        <v>332</v>
      </c>
      <c r="L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">
      <c r="A334" s="229" t="n">
        <v>45690</v>
      </c>
      <c r="B334" s="46" t="inlineStr">
        <is>
          <t>메모</t>
        </is>
      </c>
      <c r="C334" s="46" t="inlineStr">
        <is>
          <t>부천지역</t>
        </is>
      </c>
      <c r="D334" s="46" t="inlineStr">
        <is>
          <t>송두기휴가</t>
        </is>
      </c>
      <c r="E334" s="46" t="n"/>
      <c r="F334" s="46" t="n"/>
      <c r="G334" s="50" t="n"/>
      <c r="H334" s="51" t="n"/>
      <c r="I334" s="46" t="n"/>
      <c r="K334" s="46" t="n">
        <v>333</v>
      </c>
      <c r="L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">
      <c r="A335" s="229" t="n">
        <v>45691</v>
      </c>
      <c r="B335" s="46" t="inlineStr">
        <is>
          <t>정기검사</t>
        </is>
      </c>
      <c r="C335" s="46" t="inlineStr">
        <is>
          <t>부천지역</t>
        </is>
      </c>
      <c r="D335" s="46" t="inlineStr">
        <is>
          <t>부천시청어린이집</t>
        </is>
      </c>
      <c r="E335" s="46" t="n">
        <v>39</v>
      </c>
      <c r="F335" s="46" t="inlineStr">
        <is>
          <t>상동</t>
        </is>
      </c>
      <c r="G335" s="50" t="inlineStr">
        <is>
          <t>10:000</t>
        </is>
      </c>
      <c r="H335" s="51" t="n">
        <v>191950</v>
      </c>
      <c r="I335" s="46" t="inlineStr">
        <is>
          <t>이종석</t>
        </is>
      </c>
      <c r="K335" s="46" t="n">
        <v>334</v>
      </c>
      <c r="L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">
      <c r="A336" s="229" t="n">
        <v>45691</v>
      </c>
      <c r="B336" s="46" t="inlineStr">
        <is>
          <t>정기검사</t>
        </is>
      </c>
      <c r="C336" s="46" t="inlineStr">
        <is>
          <t>김포지역</t>
        </is>
      </c>
      <c r="D336" s="46" t="inlineStr">
        <is>
          <t>조숙희</t>
        </is>
      </c>
      <c r="E336" s="46" t="n">
        <v>190</v>
      </c>
      <c r="F336" s="46" t="inlineStr">
        <is>
          <t>개곡리</t>
        </is>
      </c>
      <c r="G336" s="50" t="n">
        <v>0.4791666666666667</v>
      </c>
      <c r="H336" s="51" t="n">
        <v>450120</v>
      </c>
      <c r="I336" s="46" t="inlineStr">
        <is>
          <t>김영권</t>
        </is>
      </c>
      <c r="K336" s="46" t="n">
        <v>335</v>
      </c>
      <c r="L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">
      <c r="A337" s="229" t="n">
        <v>45691</v>
      </c>
      <c r="B337" s="46" t="inlineStr">
        <is>
          <t>정기검사</t>
        </is>
      </c>
      <c r="C337" s="46" t="inlineStr">
        <is>
          <t>김포지역</t>
        </is>
      </c>
      <c r="D337" s="46" t="inlineStr">
        <is>
          <t>안강</t>
        </is>
      </c>
      <c r="E337" s="46" t="n">
        <v>150</v>
      </c>
      <c r="F337" s="46" t="inlineStr">
        <is>
          <t>누산리</t>
        </is>
      </c>
      <c r="G337" s="50" t="n">
        <v>0.625</v>
      </c>
      <c r="H337" s="51" t="n">
        <v>424160</v>
      </c>
      <c r="I337" s="46" t="inlineStr">
        <is>
          <t>이덕기</t>
        </is>
      </c>
      <c r="K337" s="46" t="n">
        <v>336</v>
      </c>
      <c r="L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">
      <c r="A338" s="229" t="n">
        <v>45691</v>
      </c>
      <c r="B338" s="46" t="inlineStr">
        <is>
          <t>사용전검사</t>
        </is>
      </c>
      <c r="C338" s="46" t="inlineStr">
        <is>
          <t>부천지역</t>
        </is>
      </c>
      <c r="D338" s="46" t="inlineStr">
        <is>
          <t>코리아신탁</t>
        </is>
      </c>
      <c r="E338" s="46" t="n">
        <v>7.36</v>
      </c>
      <c r="F338" s="46" t="inlineStr">
        <is>
          <t>심곡동</t>
        </is>
      </c>
      <c r="G338" s="50" t="n"/>
      <c r="H338" s="51" t="n"/>
      <c r="I338" s="46" t="inlineStr">
        <is>
          <t>송두기</t>
        </is>
      </c>
      <c r="K338" s="46" t="n">
        <v>337</v>
      </c>
      <c r="L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">
      <c r="A339" s="229" t="n">
        <v>45691</v>
      </c>
      <c r="B339" s="46" t="inlineStr">
        <is>
          <t>사용전검사</t>
        </is>
      </c>
      <c r="C339" s="46" t="inlineStr">
        <is>
          <t>부천지역</t>
        </is>
      </c>
      <c r="D339" s="46" t="inlineStr">
        <is>
          <t>lpg충전소</t>
        </is>
      </c>
      <c r="E339" s="46" t="n">
        <v>45</v>
      </c>
      <c r="F339" s="46" t="inlineStr">
        <is>
          <t>춘의동</t>
        </is>
      </c>
      <c r="G339" s="50" t="n"/>
      <c r="H339" s="51" t="n"/>
      <c r="I339" s="46" t="inlineStr">
        <is>
          <t>우승택</t>
        </is>
      </c>
      <c r="K339" s="46" t="n">
        <v>338</v>
      </c>
      <c r="L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">
      <c r="A340" s="229" t="n">
        <v>45691</v>
      </c>
      <c r="B340" s="46" t="inlineStr">
        <is>
          <t>사용전검사</t>
        </is>
      </c>
      <c r="C340" s="46" t="inlineStr">
        <is>
          <t>부천지역</t>
        </is>
      </c>
      <c r="D340" s="46" t="inlineStr">
        <is>
          <t>케이티</t>
        </is>
      </c>
      <c r="E340" s="46" t="n">
        <v>4</v>
      </c>
      <c r="F340" s="46" t="inlineStr">
        <is>
          <t>원종동</t>
        </is>
      </c>
      <c r="G340" s="50" t="n"/>
      <c r="H340" s="51" t="n"/>
      <c r="I340" s="46" t="inlineStr">
        <is>
          <t>송낙명</t>
        </is>
      </c>
      <c r="K340" s="46" t="n">
        <v>339</v>
      </c>
      <c r="L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">
      <c r="A341" s="229" t="n">
        <v>45691</v>
      </c>
      <c r="B341" s="46" t="inlineStr">
        <is>
          <t>사용전검사</t>
        </is>
      </c>
      <c r="C341" s="46" t="inlineStr">
        <is>
          <t>부천지역</t>
        </is>
      </c>
      <c r="D341" s="46" t="inlineStr">
        <is>
          <t>코리아신탁</t>
        </is>
      </c>
      <c r="E341" s="46" t="inlineStr">
        <is>
          <t>부분</t>
        </is>
      </c>
      <c r="F341" s="46" t="n"/>
      <c r="G341" s="50" t="n"/>
      <c r="H341" s="51" t="n"/>
      <c r="I341" s="46" t="inlineStr">
        <is>
          <t>송낙명</t>
        </is>
      </c>
      <c r="K341" s="46" t="n">
        <v>340</v>
      </c>
      <c r="L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">
      <c r="A342" s="229" t="n">
        <v>45691</v>
      </c>
      <c r="B342" s="46" t="inlineStr">
        <is>
          <t>메모</t>
        </is>
      </c>
      <c r="C342" s="46" t="inlineStr">
        <is>
          <t>부천지역</t>
        </is>
      </c>
      <c r="D342" s="46" t="inlineStr">
        <is>
          <t>당효진휴가</t>
        </is>
      </c>
      <c r="E342" s="46" t="n"/>
      <c r="F342" s="46" t="n"/>
      <c r="G342" s="50" t="n"/>
      <c r="H342" s="51" t="n"/>
      <c r="I342" s="46" t="n"/>
      <c r="K342" s="46" t="n">
        <v>341</v>
      </c>
      <c r="L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">
      <c r="A343" s="229" t="n">
        <v>45691</v>
      </c>
      <c r="B343" s="46" t="inlineStr">
        <is>
          <t>메모</t>
        </is>
      </c>
      <c r="C343" s="46" t="inlineStr">
        <is>
          <t>부천지역</t>
        </is>
      </c>
      <c r="D343" s="46" t="inlineStr">
        <is>
          <t>민재홍휴가</t>
        </is>
      </c>
      <c r="E343" s="46" t="n"/>
      <c r="F343" s="46" t="n"/>
      <c r="G343" s="50" t="n"/>
      <c r="H343" s="51" t="n"/>
      <c r="I343" s="46" t="n"/>
      <c r="K343" s="46" t="n">
        <v>342</v>
      </c>
      <c r="L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">
      <c r="A344" s="229" t="n">
        <v>45691</v>
      </c>
      <c r="B344" s="46" t="inlineStr">
        <is>
          <t>사용전검사</t>
        </is>
      </c>
      <c r="C344" s="46" t="inlineStr">
        <is>
          <t>김포지역</t>
        </is>
      </c>
      <c r="D344" s="46" t="inlineStr">
        <is>
          <t>효성중공업</t>
        </is>
      </c>
      <c r="E344" s="46" t="n">
        <v>500</v>
      </c>
      <c r="F344" s="46" t="inlineStr">
        <is>
          <t>풍무동</t>
        </is>
      </c>
      <c r="G344" s="50" t="n"/>
      <c r="H344" s="51" t="n"/>
      <c r="I344" s="46" t="inlineStr">
        <is>
          <t>정신배</t>
        </is>
      </c>
      <c r="K344" s="46" t="n">
        <v>343</v>
      </c>
      <c r="L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">
      <c r="A345" s="229" t="n">
        <v>45691</v>
      </c>
      <c r="B345" s="46" t="inlineStr">
        <is>
          <t>사용전검사</t>
        </is>
      </c>
      <c r="C345" s="46" t="inlineStr">
        <is>
          <t>김포지역</t>
        </is>
      </c>
      <c r="D345" s="46" t="inlineStr">
        <is>
          <t>효성중공업</t>
        </is>
      </c>
      <c r="E345" s="46" t="n">
        <v>501</v>
      </c>
      <c r="F345" s="46" t="inlineStr">
        <is>
          <t>풍무동</t>
        </is>
      </c>
      <c r="G345" s="50" t="n"/>
      <c r="H345" s="51" t="n"/>
      <c r="I345" s="46" t="inlineStr">
        <is>
          <t>서수형</t>
        </is>
      </c>
      <c r="K345" s="46" t="n">
        <v>344</v>
      </c>
      <c r="L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">
      <c r="A346" s="229" t="n">
        <v>45691</v>
      </c>
      <c r="B346" s="46" t="inlineStr">
        <is>
          <t>사용전검사</t>
        </is>
      </c>
      <c r="C346" s="46" t="inlineStr">
        <is>
          <t>김포지역</t>
        </is>
      </c>
      <c r="D346" s="46" t="inlineStr">
        <is>
          <t>이브이시스</t>
        </is>
      </c>
      <c r="E346" s="46" t="n">
        <v>168</v>
      </c>
      <c r="F346" s="46" t="inlineStr">
        <is>
          <t>걸포동</t>
        </is>
      </c>
      <c r="G346" s="50" t="n"/>
      <c r="H346" s="51" t="n"/>
      <c r="I346" s="46" t="inlineStr">
        <is>
          <t>이덕기</t>
        </is>
      </c>
      <c r="K346" s="46" t="n">
        <v>345</v>
      </c>
      <c r="L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">
      <c r="A347" s="229" t="n">
        <v>45691</v>
      </c>
      <c r="B347" s="46" t="inlineStr">
        <is>
          <t>사용전검사</t>
        </is>
      </c>
      <c r="C347" s="46" t="inlineStr">
        <is>
          <t>김포지역</t>
        </is>
      </c>
      <c r="D347" s="46" t="inlineStr">
        <is>
          <t>세우금속</t>
        </is>
      </c>
      <c r="E347" s="46" t="n">
        <v>299</v>
      </c>
      <c r="F347" s="46" t="inlineStr">
        <is>
          <t>석정리</t>
        </is>
      </c>
      <c r="G347" s="50" t="n"/>
      <c r="H347" s="51" t="n"/>
      <c r="I347" s="46" t="inlineStr">
        <is>
          <t>허창수</t>
        </is>
      </c>
      <c r="K347" s="46" t="n">
        <v>346</v>
      </c>
      <c r="L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">
      <c r="A348" s="229" t="n">
        <v>45692</v>
      </c>
      <c r="B348" s="46" t="inlineStr">
        <is>
          <t>정기검사</t>
        </is>
      </c>
      <c r="C348" s="46" t="inlineStr">
        <is>
          <t>부천지역</t>
        </is>
      </c>
      <c r="D348" s="46" t="inlineStr">
        <is>
          <t>상원고</t>
        </is>
      </c>
      <c r="E348" s="46" t="n">
        <v>800</v>
      </c>
      <c r="F348" s="46" t="inlineStr">
        <is>
          <t>상동</t>
        </is>
      </c>
      <c r="G348" s="50" t="n">
        <v>0.3958333333333333</v>
      </c>
      <c r="H348" s="51" t="n">
        <v>838640</v>
      </c>
      <c r="I348" s="46" t="inlineStr">
        <is>
          <t>김영권</t>
        </is>
      </c>
      <c r="K348" s="46" t="n">
        <v>347</v>
      </c>
      <c r="L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">
      <c r="A349" s="229" t="n">
        <v>45692</v>
      </c>
      <c r="B349" s="46" t="inlineStr">
        <is>
          <t>정기검사</t>
        </is>
      </c>
      <c r="C349" s="46" t="inlineStr">
        <is>
          <t>부천지역</t>
        </is>
      </c>
      <c r="D349" s="46" t="inlineStr">
        <is>
          <t>솔라리움</t>
        </is>
      </c>
      <c r="E349" s="46" t="inlineStr">
        <is>
          <t>2000/455</t>
        </is>
      </c>
      <c r="F349" s="46" t="inlineStr">
        <is>
          <t>중동</t>
        </is>
      </c>
      <c r="G349" s="50" t="n">
        <v>0.25</v>
      </c>
      <c r="H349" s="51" t="n">
        <v>1467180</v>
      </c>
      <c r="I349" s="46" t="inlineStr">
        <is>
          <t>송두기</t>
        </is>
      </c>
      <c r="K349" s="46" t="n">
        <v>348</v>
      </c>
      <c r="L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">
      <c r="A350" s="229" t="n">
        <v>45692</v>
      </c>
      <c r="B350" s="46" t="inlineStr">
        <is>
          <t>정기검사</t>
        </is>
      </c>
      <c r="C350" s="46" t="inlineStr">
        <is>
          <t>부천지역</t>
        </is>
      </c>
      <c r="D350" s="46" t="inlineStr">
        <is>
          <t>범한테크</t>
        </is>
      </c>
      <c r="E350" s="46" t="n">
        <v>150</v>
      </c>
      <c r="F350" s="46" t="inlineStr">
        <is>
          <t>도당동</t>
        </is>
      </c>
      <c r="G350" s="50" t="n">
        <v>0.5</v>
      </c>
      <c r="H350" s="51" t="n">
        <v>424160</v>
      </c>
      <c r="I350" s="46" t="inlineStr">
        <is>
          <t>민경수</t>
        </is>
      </c>
      <c r="K350" s="46" t="n">
        <v>349</v>
      </c>
      <c r="L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">
      <c r="A351" s="229" t="n">
        <v>45692</v>
      </c>
      <c r="B351" s="46" t="inlineStr">
        <is>
          <t>정기검사</t>
        </is>
      </c>
      <c r="C351" s="46" t="inlineStr">
        <is>
          <t>부천지역</t>
        </is>
      </c>
      <c r="D351" s="46" t="inlineStr">
        <is>
          <t>수주도서관</t>
        </is>
      </c>
      <c r="E351" s="46" t="n">
        <v>80</v>
      </c>
      <c r="F351" s="46" t="inlineStr">
        <is>
          <t>원종동</t>
        </is>
      </c>
      <c r="G351" s="50" t="n">
        <v>0.4166666666666667</v>
      </c>
      <c r="H351" s="51" t="n">
        <v>204050</v>
      </c>
      <c r="I351" s="46" t="inlineStr">
        <is>
          <t>허창수</t>
        </is>
      </c>
      <c r="K351" s="46" t="n">
        <v>350</v>
      </c>
      <c r="L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">
      <c r="A352" s="229" t="n">
        <v>45692</v>
      </c>
      <c r="B352" s="46" t="inlineStr">
        <is>
          <t>정기검사</t>
        </is>
      </c>
      <c r="C352" s="46" t="inlineStr">
        <is>
          <t>김포지역</t>
        </is>
      </c>
      <c r="D352" s="46" t="inlineStr">
        <is>
          <t>위드퍼</t>
        </is>
      </c>
      <c r="E352" s="46" t="n">
        <v>290</v>
      </c>
      <c r="F352" s="46" t="inlineStr">
        <is>
          <t>대명리</t>
        </is>
      </c>
      <c r="G352" s="50" t="n">
        <v>0.5833333333333334</v>
      </c>
      <c r="H352" s="51" t="n">
        <v>515130</v>
      </c>
      <c r="I352" s="46" t="inlineStr">
        <is>
          <t>정성관</t>
        </is>
      </c>
      <c r="K352" s="46" t="n">
        <v>351</v>
      </c>
      <c r="L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">
      <c r="A353" s="229" t="n">
        <v>45692</v>
      </c>
      <c r="B353" s="46" t="inlineStr">
        <is>
          <t>사용전검사</t>
        </is>
      </c>
      <c r="C353" s="46" t="inlineStr">
        <is>
          <t>부천지역</t>
        </is>
      </c>
      <c r="D353" s="46" t="inlineStr">
        <is>
          <t>DB</t>
        </is>
      </c>
      <c r="E353" s="46" t="n"/>
      <c r="F353" s="46" t="n"/>
      <c r="G353" s="50" t="n"/>
      <c r="H353" s="51" t="n"/>
      <c r="I353" s="46" t="inlineStr">
        <is>
          <t>정신배</t>
        </is>
      </c>
      <c r="K353" s="46" t="n">
        <v>352</v>
      </c>
      <c r="L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">
      <c r="A354" s="229" t="n">
        <v>45692</v>
      </c>
      <c r="B354" s="46" t="inlineStr">
        <is>
          <t>메모</t>
        </is>
      </c>
      <c r="C354" s="46" t="inlineStr">
        <is>
          <t>부천지역</t>
        </is>
      </c>
      <c r="D354" s="46" t="inlineStr">
        <is>
          <t>우승택</t>
        </is>
      </c>
      <c r="E354" s="46" t="n"/>
      <c r="F354" s="46" t="n"/>
      <c r="G354" s="50" t="n"/>
      <c r="H354" s="51" t="n"/>
      <c r="I354" s="46" t="n"/>
      <c r="K354" s="46" t="n">
        <v>353</v>
      </c>
      <c r="L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">
      <c r="A355" s="229" t="n">
        <v>45692</v>
      </c>
      <c r="B355" s="46" t="inlineStr">
        <is>
          <t>메모</t>
        </is>
      </c>
      <c r="C355" s="46" t="inlineStr">
        <is>
          <t>부천지역</t>
        </is>
      </c>
      <c r="D355" s="46" t="inlineStr">
        <is>
          <t>당효진휴가</t>
        </is>
      </c>
      <c r="E355" s="46" t="n"/>
      <c r="F355" s="46" t="n"/>
      <c r="G355" s="50" t="n"/>
      <c r="H355" s="51" t="n"/>
      <c r="I355" s="46" t="n"/>
      <c r="K355" s="46" t="n">
        <v>354</v>
      </c>
      <c r="L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">
      <c r="A356" s="229" t="n">
        <v>45692</v>
      </c>
      <c r="B356" s="46" t="inlineStr">
        <is>
          <t>메모</t>
        </is>
      </c>
      <c r="C356" s="46" t="inlineStr">
        <is>
          <t>부천지역</t>
        </is>
      </c>
      <c r="D356" s="46" t="inlineStr">
        <is>
          <t>민재홍휴가</t>
        </is>
      </c>
      <c r="E356" s="46" t="n"/>
      <c r="F356" s="46" t="n"/>
      <c r="G356" s="50" t="n"/>
      <c r="H356" s="51" t="n"/>
      <c r="I356" s="46" t="n"/>
      <c r="K356" s="46" t="n">
        <v>355</v>
      </c>
      <c r="L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">
      <c r="A357" s="229" t="n">
        <v>45692</v>
      </c>
      <c r="B357" s="46" t="inlineStr">
        <is>
          <t>사용전검사</t>
        </is>
      </c>
      <c r="C357" s="46" t="inlineStr">
        <is>
          <t>김포지역</t>
        </is>
      </c>
      <c r="D357" s="46" t="inlineStr">
        <is>
          <t>김포시청</t>
        </is>
      </c>
      <c r="E357" s="46" t="n"/>
      <c r="F357" s="46" t="n"/>
      <c r="G357" s="50" t="n"/>
      <c r="H357" s="51" t="n"/>
      <c r="I357" s="46" t="inlineStr">
        <is>
          <t>이덕기</t>
        </is>
      </c>
      <c r="K357" s="46" t="n">
        <v>356</v>
      </c>
      <c r="L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">
      <c r="A358" s="229" t="n">
        <v>45692</v>
      </c>
      <c r="B358" s="46" t="inlineStr">
        <is>
          <t>사용전검사</t>
        </is>
      </c>
      <c r="C358" s="46" t="inlineStr">
        <is>
          <t>김포지역</t>
        </is>
      </c>
      <c r="D358" s="46" t="inlineStr">
        <is>
          <t>유진엔텍</t>
        </is>
      </c>
      <c r="E358" s="46" t="n">
        <v>44</v>
      </c>
      <c r="F358" s="46" t="inlineStr">
        <is>
          <t>원산리</t>
        </is>
      </c>
      <c r="G358" s="50" t="n"/>
      <c r="H358" s="51" t="n"/>
      <c r="I358" s="46" t="inlineStr">
        <is>
          <t>이종석</t>
        </is>
      </c>
      <c r="K358" s="46" t="n">
        <v>357</v>
      </c>
      <c r="L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">
      <c r="A359" s="229" t="n">
        <v>45692</v>
      </c>
      <c r="B359" s="46" t="inlineStr">
        <is>
          <t>사용전검사</t>
        </is>
      </c>
      <c r="C359" s="46" t="inlineStr">
        <is>
          <t>김포지역</t>
        </is>
      </c>
      <c r="D359" s="46" t="inlineStr">
        <is>
          <t>신성정공</t>
        </is>
      </c>
      <c r="E359" s="46" t="n">
        <v>255</v>
      </c>
      <c r="F359" s="46" t="inlineStr">
        <is>
          <t>율생리</t>
        </is>
      </c>
      <c r="G359" s="50" t="n"/>
      <c r="H359" s="51" t="n"/>
      <c r="I359" s="46" t="inlineStr">
        <is>
          <t>송낙명</t>
        </is>
      </c>
      <c r="K359" s="46" t="n">
        <v>358</v>
      </c>
      <c r="L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">
      <c r="A360" s="229" t="n">
        <v>45692</v>
      </c>
      <c r="B360" s="46" t="inlineStr">
        <is>
          <t>사용전검사</t>
        </is>
      </c>
      <c r="C360" s="46" t="inlineStr">
        <is>
          <t>김포지역</t>
        </is>
      </c>
      <c r="D360" s="46" t="inlineStr">
        <is>
          <t>김춘화빌딩</t>
        </is>
      </c>
      <c r="E360" s="46" t="n">
        <v>50</v>
      </c>
      <c r="F360" s="46" t="inlineStr">
        <is>
          <t>유현리</t>
        </is>
      </c>
      <c r="G360" s="50" t="n"/>
      <c r="H360" s="51" t="n"/>
      <c r="I360" s="46" t="inlineStr">
        <is>
          <t>한태희</t>
        </is>
      </c>
      <c r="K360" s="46" t="n">
        <v>359</v>
      </c>
      <c r="L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">
      <c r="A361" s="229" t="n">
        <v>45693</v>
      </c>
      <c r="B361" s="46" t="inlineStr">
        <is>
          <t>정기검사</t>
        </is>
      </c>
      <c r="C361" s="46" t="inlineStr">
        <is>
          <t>김포지역</t>
        </is>
      </c>
      <c r="D361" s="46" t="inlineStr">
        <is>
          <t>신안실크밸리</t>
        </is>
      </c>
      <c r="E361" s="46" t="inlineStr">
        <is>
          <t>800/260</t>
        </is>
      </c>
      <c r="F361" s="46" t="inlineStr">
        <is>
          <t>감정동</t>
        </is>
      </c>
      <c r="G361" s="50" t="n">
        <v>0.5625</v>
      </c>
      <c r="H361" s="51" t="n">
        <v>900350</v>
      </c>
      <c r="I361" s="46" t="inlineStr">
        <is>
          <t>정신배</t>
        </is>
      </c>
      <c r="K361" s="46" t="n">
        <v>360</v>
      </c>
      <c r="L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">
      <c r="A362" s="229" t="n">
        <v>45693</v>
      </c>
      <c r="B362" s="46" t="inlineStr">
        <is>
          <t>정기검사</t>
        </is>
      </c>
      <c r="C362" s="46" t="inlineStr">
        <is>
          <t>김포지역</t>
        </is>
      </c>
      <c r="D362" s="46" t="inlineStr">
        <is>
          <t>유동이엠피</t>
        </is>
      </c>
      <c r="E362" s="46" t="n">
        <v>150</v>
      </c>
      <c r="F362" s="46" t="inlineStr">
        <is>
          <t>학운리</t>
        </is>
      </c>
      <c r="G362" s="50" t="n">
        <v>0.4583333333333333</v>
      </c>
      <c r="H362" s="51" t="n">
        <v>424160</v>
      </c>
      <c r="I362" s="46" t="inlineStr">
        <is>
          <t>김영권</t>
        </is>
      </c>
      <c r="K362" s="46" t="n">
        <v>361</v>
      </c>
      <c r="L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">
      <c r="A363" s="229" t="n">
        <v>45693</v>
      </c>
      <c r="B363" s="46" t="inlineStr">
        <is>
          <t>사용전검사</t>
        </is>
      </c>
      <c r="C363" s="46" t="inlineStr">
        <is>
          <t>부천지역</t>
        </is>
      </c>
      <c r="D363" s="46" t="inlineStr">
        <is>
          <t>부천물류랜드</t>
        </is>
      </c>
      <c r="E363" s="46" t="inlineStr">
        <is>
          <t>6000/1136</t>
        </is>
      </c>
      <c r="F363" s="46" t="inlineStr">
        <is>
          <t>삼정동</t>
        </is>
      </c>
      <c r="G363" s="50" t="n"/>
      <c r="H363" s="51" t="n"/>
      <c r="I363" s="46" t="inlineStr">
        <is>
          <t>민경수</t>
        </is>
      </c>
      <c r="K363" s="46" t="n">
        <v>362</v>
      </c>
      <c r="L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">
      <c r="A364" s="229" t="n">
        <v>45693</v>
      </c>
      <c r="B364" s="46" t="inlineStr">
        <is>
          <t>사용전검사</t>
        </is>
      </c>
      <c r="C364" s="46" t="inlineStr">
        <is>
          <t>부천지역</t>
        </is>
      </c>
      <c r="D364" s="46" t="inlineStr">
        <is>
          <t>선광스틸</t>
        </is>
      </c>
      <c r="E364" s="46" t="n">
        <v>107.52</v>
      </c>
      <c r="F364" s="46" t="inlineStr">
        <is>
          <t>도당동</t>
        </is>
      </c>
      <c r="G364" s="50" t="n"/>
      <c r="H364" s="51" t="n"/>
      <c r="I364" s="46" t="inlineStr">
        <is>
          <t>송두기</t>
        </is>
      </c>
      <c r="K364" s="46" t="n">
        <v>363</v>
      </c>
      <c r="L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">
      <c r="A365" s="229" t="n">
        <v>45693</v>
      </c>
      <c r="B365" s="46" t="inlineStr">
        <is>
          <t>메모</t>
        </is>
      </c>
      <c r="C365" s="46" t="inlineStr">
        <is>
          <t>부천지역</t>
        </is>
      </c>
      <c r="D365" s="46" t="inlineStr">
        <is>
          <t>당효진휴가</t>
        </is>
      </c>
      <c r="E365" s="46" t="n"/>
      <c r="F365" s="46" t="n"/>
      <c r="G365" s="50" t="n"/>
      <c r="H365" s="51" t="n"/>
      <c r="I365" s="46" t="n"/>
      <c r="K365" s="46" t="n">
        <v>364</v>
      </c>
      <c r="L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">
      <c r="A366" s="229" t="n">
        <v>45693</v>
      </c>
      <c r="B366" s="46" t="inlineStr">
        <is>
          <t>메모</t>
        </is>
      </c>
      <c r="C366" s="46" t="inlineStr">
        <is>
          <t>부천지역</t>
        </is>
      </c>
      <c r="D366" s="46" t="inlineStr">
        <is>
          <t>민재홍휴가</t>
        </is>
      </c>
      <c r="E366" s="46" t="n"/>
      <c r="F366" s="46" t="n"/>
      <c r="G366" s="50" t="n"/>
      <c r="H366" s="51" t="n"/>
      <c r="I366" s="46" t="n"/>
      <c r="K366" s="46" t="n">
        <v>365</v>
      </c>
      <c r="L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">
      <c r="A367" s="229" t="n">
        <v>45693</v>
      </c>
      <c r="B367" s="46" t="inlineStr">
        <is>
          <t>메모</t>
        </is>
      </c>
      <c r="C367" s="46" t="inlineStr">
        <is>
          <t>부천지역</t>
        </is>
      </c>
      <c r="D367" s="46" t="inlineStr">
        <is>
          <t>이덕기휴가</t>
        </is>
      </c>
      <c r="E367" s="46" t="n"/>
      <c r="F367" s="46" t="n"/>
      <c r="G367" s="50" t="n"/>
      <c r="H367" s="51" t="n"/>
      <c r="I367" s="46" t="n"/>
      <c r="K367" s="46" t="n">
        <v>366</v>
      </c>
      <c r="L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">
      <c r="A368" s="229" t="n">
        <v>45693</v>
      </c>
      <c r="B368" s="46" t="inlineStr">
        <is>
          <t>메모</t>
        </is>
      </c>
      <c r="C368" s="46" t="inlineStr">
        <is>
          <t>부천지역</t>
        </is>
      </c>
      <c r="D368" s="46" t="inlineStr">
        <is>
          <t>우승택휴가</t>
        </is>
      </c>
      <c r="E368" s="46" t="n"/>
      <c r="F368" s="46" t="n"/>
      <c r="G368" s="50" t="n"/>
      <c r="H368" s="51" t="n"/>
      <c r="I368" s="46" t="n"/>
      <c r="K368" s="46" t="n">
        <v>367</v>
      </c>
      <c r="L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">
      <c r="A369" s="229" t="n">
        <v>45694</v>
      </c>
      <c r="B369" s="46" t="inlineStr">
        <is>
          <t>정기검사</t>
        </is>
      </c>
      <c r="C369" s="46" t="inlineStr">
        <is>
          <t>부천지역</t>
        </is>
      </c>
      <c r="D369" s="46" t="inlineStr">
        <is>
          <t>상원초</t>
        </is>
      </c>
      <c r="E369" s="46" t="n">
        <v>650</v>
      </c>
      <c r="F369" s="46" t="inlineStr">
        <is>
          <t>상동</t>
        </is>
      </c>
      <c r="G369" s="50" t="n">
        <v>0.6458333333333334</v>
      </c>
      <c r="H369" s="51" t="n">
        <v>787820</v>
      </c>
      <c r="I369" s="46" t="inlineStr">
        <is>
          <t>정성관</t>
        </is>
      </c>
      <c r="K369" s="46" t="n">
        <v>368</v>
      </c>
      <c r="L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">
      <c r="A370" s="229" t="n">
        <v>45694</v>
      </c>
      <c r="B370" s="46" t="inlineStr">
        <is>
          <t>정기검사</t>
        </is>
      </c>
      <c r="C370" s="46" t="inlineStr">
        <is>
          <t>김포지역</t>
        </is>
      </c>
      <c r="D370" s="46" t="inlineStr">
        <is>
          <t>이정진</t>
        </is>
      </c>
      <c r="E370" s="46" t="n">
        <v>96</v>
      </c>
      <c r="F370" s="46" t="inlineStr">
        <is>
          <t>대벽리</t>
        </is>
      </c>
      <c r="G370" s="50" t="n">
        <v>0.4791666666666667</v>
      </c>
      <c r="H370" s="51" t="n">
        <v>336930</v>
      </c>
      <c r="I370" s="46" t="inlineStr">
        <is>
          <t>허창수</t>
        </is>
      </c>
      <c r="K370" s="46" t="n">
        <v>369</v>
      </c>
      <c r="L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">
      <c r="A371" s="229" t="n">
        <v>45694</v>
      </c>
      <c r="B371" s="46" t="inlineStr">
        <is>
          <t>정기검사</t>
        </is>
      </c>
      <c r="C371" s="46" t="inlineStr">
        <is>
          <t>김포지역</t>
        </is>
      </c>
      <c r="D371" s="46" t="inlineStr">
        <is>
          <t>동화폴리</t>
        </is>
      </c>
      <c r="E371" s="46" t="n">
        <v>99</v>
      </c>
      <c r="F371" s="46" t="inlineStr">
        <is>
          <t>동을산리</t>
        </is>
      </c>
      <c r="G371" s="50" t="n">
        <v>0.4375</v>
      </c>
      <c r="H371" s="51" t="n">
        <v>254980</v>
      </c>
      <c r="I371" s="46" t="inlineStr">
        <is>
          <t>정신배</t>
        </is>
      </c>
      <c r="K371" s="46" t="n">
        <v>370</v>
      </c>
      <c r="L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">
      <c r="A372" s="229" t="n">
        <v>45694</v>
      </c>
      <c r="B372" s="46" t="inlineStr">
        <is>
          <t>정기검사</t>
        </is>
      </c>
      <c r="C372" s="46" t="inlineStr">
        <is>
          <t>김포지역</t>
        </is>
      </c>
      <c r="D372" s="46" t="inlineStr">
        <is>
          <t>진우금속</t>
        </is>
      </c>
      <c r="E372" s="46" t="n">
        <v>490</v>
      </c>
      <c r="F372" s="46" t="inlineStr">
        <is>
          <t>귀전리</t>
        </is>
      </c>
      <c r="G372" s="50" t="n">
        <v>0.6458333333333334</v>
      </c>
      <c r="H372" s="51" t="n">
        <v>733590</v>
      </c>
      <c r="I372" s="46" t="inlineStr">
        <is>
          <t>서수형</t>
        </is>
      </c>
      <c r="K372" s="46" t="n">
        <v>371</v>
      </c>
      <c r="L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">
      <c r="A373" s="229" t="n">
        <v>45694</v>
      </c>
      <c r="B373" s="46" t="inlineStr">
        <is>
          <t>정기검사</t>
        </is>
      </c>
      <c r="C373" s="46" t="inlineStr">
        <is>
          <t>김포지역</t>
        </is>
      </c>
      <c r="D373" s="46" t="inlineStr">
        <is>
          <t>폴리코</t>
        </is>
      </c>
      <c r="E373" s="46" t="n">
        <v>150</v>
      </c>
      <c r="F373" s="46" t="inlineStr">
        <is>
          <t>가현리</t>
        </is>
      </c>
      <c r="G373" s="50" t="n">
        <v>0.4791666666666667</v>
      </c>
      <c r="H373" s="51" t="n">
        <v>424160</v>
      </c>
      <c r="I373" s="46" t="inlineStr">
        <is>
          <t>우승택</t>
        </is>
      </c>
      <c r="K373" s="46" t="n">
        <v>372</v>
      </c>
      <c r="L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">
      <c r="A374" s="229" t="n">
        <v>45694</v>
      </c>
      <c r="B374" s="46" t="inlineStr">
        <is>
          <t>사용전검사</t>
        </is>
      </c>
      <c r="C374" s="46" t="inlineStr">
        <is>
          <t>부천지역</t>
        </is>
      </c>
      <c r="D374" s="46" t="inlineStr">
        <is>
          <t>세진태양광</t>
        </is>
      </c>
      <c r="E374" s="46" t="n">
        <v>30</v>
      </c>
      <c r="F374" s="46" t="inlineStr">
        <is>
          <t>삼정동</t>
        </is>
      </c>
      <c r="G374" s="50" t="n">
        <v>0.5833333333333334</v>
      </c>
      <c r="H374" s="51" t="n"/>
      <c r="I374" s="46" t="inlineStr">
        <is>
          <t>이종석</t>
        </is>
      </c>
      <c r="K374" s="46" t="n">
        <v>373</v>
      </c>
      <c r="L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">
      <c r="A375" s="229" t="n">
        <v>45694</v>
      </c>
      <c r="B375" s="46" t="inlineStr">
        <is>
          <t>메모</t>
        </is>
      </c>
      <c r="C375" s="46" t="inlineStr">
        <is>
          <t>부천지역</t>
        </is>
      </c>
      <c r="D375" s="46" t="inlineStr">
        <is>
          <t>당효진휴가</t>
        </is>
      </c>
      <c r="E375" s="46" t="n"/>
      <c r="F375" s="46" t="n"/>
      <c r="G375" s="50" t="n"/>
      <c r="H375" s="51" t="n"/>
      <c r="I375" s="46" t="n"/>
      <c r="K375" s="46" t="n">
        <v>374</v>
      </c>
      <c r="L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">
      <c r="A376" s="229" t="n">
        <v>45694</v>
      </c>
      <c r="B376" s="46" t="inlineStr">
        <is>
          <t>메모</t>
        </is>
      </c>
      <c r="C376" s="46" t="inlineStr">
        <is>
          <t>부천지역</t>
        </is>
      </c>
      <c r="D376" s="46" t="inlineStr">
        <is>
          <t>민재홍휴가</t>
        </is>
      </c>
      <c r="E376" s="46" t="n"/>
      <c r="F376" s="46" t="n"/>
      <c r="G376" s="50" t="n"/>
      <c r="H376" s="51" t="n"/>
      <c r="I376" s="46" t="n"/>
      <c r="K376" s="46" t="n">
        <v>375</v>
      </c>
      <c r="L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">
      <c r="A377" s="229" t="n">
        <v>45694</v>
      </c>
      <c r="B377" s="46" t="inlineStr">
        <is>
          <t>메모</t>
        </is>
      </c>
      <c r="C377" s="46" t="inlineStr">
        <is>
          <t>부천지역</t>
        </is>
      </c>
      <c r="D377" s="46" t="inlineStr">
        <is>
          <t>이덕기휴가</t>
        </is>
      </c>
      <c r="E377" s="46" t="n"/>
      <c r="F377" s="46" t="n"/>
      <c r="G377" s="50" t="n"/>
      <c r="H377" s="51" t="n"/>
      <c r="I377" s="46" t="n"/>
      <c r="K377" s="46" t="n">
        <v>376</v>
      </c>
      <c r="L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">
      <c r="A378" s="229" t="n">
        <v>45694</v>
      </c>
      <c r="B378" s="46" t="inlineStr">
        <is>
          <t>사용전검사</t>
        </is>
      </c>
      <c r="C378" s="46" t="inlineStr">
        <is>
          <t>김포지역</t>
        </is>
      </c>
      <c r="D378" s="46" t="inlineStr">
        <is>
          <t>SMP1호</t>
        </is>
      </c>
      <c r="E378" s="46" t="n">
        <v>89</v>
      </c>
      <c r="F378" s="46" t="inlineStr">
        <is>
          <t>학운리</t>
        </is>
      </c>
      <c r="G378" s="50" t="n"/>
      <c r="H378" s="51" t="n"/>
      <c r="I378" s="46" t="inlineStr">
        <is>
          <t>민경수</t>
        </is>
      </c>
      <c r="K378" s="46" t="n">
        <v>377</v>
      </c>
      <c r="L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">
      <c r="A379" s="229" t="n">
        <v>45694</v>
      </c>
      <c r="B379" s="46" t="inlineStr">
        <is>
          <t>사용전검사</t>
        </is>
      </c>
      <c r="C379" s="46" t="inlineStr">
        <is>
          <t>김포지역</t>
        </is>
      </c>
      <c r="D379" s="46" t="inlineStr">
        <is>
          <t>SMP2호</t>
        </is>
      </c>
      <c r="E379" s="46" t="n">
        <v>90</v>
      </c>
      <c r="F379" s="46" t="inlineStr">
        <is>
          <t>학운리</t>
        </is>
      </c>
      <c r="G379" s="50" t="n"/>
      <c r="H379" s="51" t="n"/>
      <c r="I379" s="46" t="inlineStr">
        <is>
          <t>민경수</t>
        </is>
      </c>
      <c r="K379" s="46" t="n">
        <v>378</v>
      </c>
      <c r="L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">
      <c r="A380" s="229" t="n">
        <v>45694</v>
      </c>
      <c r="B380" s="46" t="inlineStr">
        <is>
          <t>사용전검사</t>
        </is>
      </c>
      <c r="C380" s="46" t="inlineStr">
        <is>
          <t>김포지역</t>
        </is>
      </c>
      <c r="D380" s="46" t="inlineStr">
        <is>
          <t>SMP3호</t>
        </is>
      </c>
      <c r="E380" s="46" t="n">
        <v>91</v>
      </c>
      <c r="F380" s="46" t="inlineStr">
        <is>
          <t>학운리</t>
        </is>
      </c>
      <c r="G380" s="50" t="n"/>
      <c r="H380" s="51" t="n"/>
      <c r="I380" s="46" t="inlineStr">
        <is>
          <t>송두기</t>
        </is>
      </c>
      <c r="K380" s="46" t="n">
        <v>379</v>
      </c>
      <c r="L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">
      <c r="A381" s="229" t="n">
        <v>45694</v>
      </c>
      <c r="B381" s="46" t="inlineStr">
        <is>
          <t>사용전검사</t>
        </is>
      </c>
      <c r="C381" s="46" t="inlineStr">
        <is>
          <t>김포지역</t>
        </is>
      </c>
      <c r="D381" s="46" t="inlineStr">
        <is>
          <t>SMP4호</t>
        </is>
      </c>
      <c r="E381" s="46" t="n">
        <v>92</v>
      </c>
      <c r="F381" s="46" t="inlineStr">
        <is>
          <t>학운리</t>
        </is>
      </c>
      <c r="G381" s="50" t="n"/>
      <c r="H381" s="51" t="n"/>
      <c r="I381" s="46" t="inlineStr">
        <is>
          <t>송두기</t>
        </is>
      </c>
      <c r="K381" s="46" t="n">
        <v>380</v>
      </c>
      <c r="L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">
      <c r="A382" s="229" t="n">
        <v>45694</v>
      </c>
      <c r="B382" s="46" t="inlineStr">
        <is>
          <t>사용전검사</t>
        </is>
      </c>
      <c r="C382" s="46" t="inlineStr">
        <is>
          <t>김포지역</t>
        </is>
      </c>
      <c r="D382" s="46" t="inlineStr">
        <is>
          <t>우성엔시</t>
        </is>
      </c>
      <c r="E382" s="46" t="n">
        <v>76</v>
      </c>
      <c r="F382" s="46" t="inlineStr">
        <is>
          <t>상마리</t>
        </is>
      </c>
      <c r="G382" s="50" t="n"/>
      <c r="H382" s="51" t="n"/>
      <c r="I382" s="46" t="inlineStr">
        <is>
          <t>김영권</t>
        </is>
      </c>
      <c r="K382" s="46" t="n">
        <v>381</v>
      </c>
      <c r="L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">
      <c r="A383" s="229" t="n">
        <v>45695</v>
      </c>
      <c r="B383" s="46" t="inlineStr">
        <is>
          <t>메모</t>
        </is>
      </c>
      <c r="C383" s="46" t="inlineStr">
        <is>
          <t>부천지역</t>
        </is>
      </c>
      <c r="D383" s="46" t="inlineStr">
        <is>
          <t>당효진휴가</t>
        </is>
      </c>
      <c r="E383" s="46" t="n"/>
      <c r="F383" s="46" t="n"/>
      <c r="G383" s="50" t="n"/>
      <c r="H383" s="51" t="n"/>
      <c r="I383" s="46" t="n"/>
      <c r="K383" s="46" t="n">
        <v>382</v>
      </c>
      <c r="L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">
      <c r="A384" s="229" t="n">
        <v>45695</v>
      </c>
      <c r="B384" s="46" t="inlineStr">
        <is>
          <t>메모</t>
        </is>
      </c>
      <c r="C384" s="46" t="inlineStr">
        <is>
          <t>부천지역</t>
        </is>
      </c>
      <c r="D384" s="46" t="inlineStr">
        <is>
          <t>민재홍휴가</t>
        </is>
      </c>
      <c r="E384" s="46" t="n"/>
      <c r="F384" s="46" t="n"/>
      <c r="G384" s="50" t="n"/>
      <c r="H384" s="51" t="n"/>
      <c r="I384" s="46" t="n"/>
      <c r="K384" s="46" t="n">
        <v>383</v>
      </c>
      <c r="L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">
      <c r="A385" s="229" t="n">
        <v>45695</v>
      </c>
      <c r="B385" s="46" t="inlineStr">
        <is>
          <t>메모</t>
        </is>
      </c>
      <c r="C385" s="46" t="inlineStr">
        <is>
          <t>부천지역</t>
        </is>
      </c>
      <c r="D385" s="46" t="inlineStr">
        <is>
          <t>이덕기휴가</t>
        </is>
      </c>
      <c r="E385" s="46" t="n"/>
      <c r="F385" s="46" t="n"/>
      <c r="G385" s="50" t="n"/>
      <c r="H385" s="51" t="n"/>
      <c r="I385" s="46" t="n"/>
      <c r="K385" s="46" t="n">
        <v>384</v>
      </c>
      <c r="L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">
      <c r="A386" s="229" t="n">
        <v>45696</v>
      </c>
      <c r="B386" s="46" t="inlineStr">
        <is>
          <t>정기검사</t>
        </is>
      </c>
      <c r="C386" s="46" t="inlineStr">
        <is>
          <t>부천지역</t>
        </is>
      </c>
      <c r="D386" s="46" t="inlineStr">
        <is>
          <t>시스킨코리아</t>
        </is>
      </c>
      <c r="E386" s="46" t="n">
        <v>500</v>
      </c>
      <c r="F386" s="46" t="inlineStr">
        <is>
          <t>역곡동</t>
        </is>
      </c>
      <c r="G386" s="50" t="n">
        <v>0.4166666666666667</v>
      </c>
      <c r="H386" s="51" t="n">
        <v>958100</v>
      </c>
      <c r="I386" s="46" t="inlineStr">
        <is>
          <t>이종석</t>
        </is>
      </c>
      <c r="K386" s="46" t="n">
        <v>385</v>
      </c>
      <c r="L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">
      <c r="A387" s="229" t="n">
        <v>45696</v>
      </c>
      <c r="B387" s="46" t="inlineStr">
        <is>
          <t>사용전검사</t>
        </is>
      </c>
      <c r="C387" s="46" t="inlineStr">
        <is>
          <t>부천지역</t>
        </is>
      </c>
      <c r="D387" s="46" t="inlineStr">
        <is>
          <t>한일시켄트</t>
        </is>
      </c>
      <c r="E387" s="46" t="inlineStr">
        <is>
          <t>변변</t>
        </is>
      </c>
      <c r="F387" s="46" t="n"/>
      <c r="G387" s="50" t="n"/>
      <c r="H387" s="51" t="n"/>
      <c r="I387" s="46" t="inlineStr">
        <is>
          <t>서수형</t>
        </is>
      </c>
      <c r="K387" s="46" t="n">
        <v>386</v>
      </c>
      <c r="L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">
      <c r="A388" s="229" t="n">
        <v>45696</v>
      </c>
      <c r="B388" s="46" t="inlineStr">
        <is>
          <t>메모</t>
        </is>
      </c>
      <c r="C388" s="46" t="inlineStr">
        <is>
          <t>부천지역</t>
        </is>
      </c>
      <c r="D388" s="46" t="inlineStr">
        <is>
          <t>당효진휴가</t>
        </is>
      </c>
      <c r="E388" s="46" t="n"/>
      <c r="F388" s="46" t="n"/>
      <c r="G388" s="50" t="n"/>
      <c r="H388" s="51" t="n"/>
      <c r="I388" s="46" t="n"/>
      <c r="K388" s="46" t="n">
        <v>387</v>
      </c>
      <c r="L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">
      <c r="A389" s="229" t="n">
        <v>45696</v>
      </c>
      <c r="B389" s="46" t="inlineStr">
        <is>
          <t>메모</t>
        </is>
      </c>
      <c r="C389" s="46" t="inlineStr">
        <is>
          <t>부천지역</t>
        </is>
      </c>
      <c r="D389" s="46" t="inlineStr">
        <is>
          <t>민재홍휴가</t>
        </is>
      </c>
      <c r="E389" s="46" t="n"/>
      <c r="F389" s="46" t="n"/>
      <c r="G389" s="50" t="n"/>
      <c r="H389" s="51" t="n"/>
      <c r="I389" s="46" t="n"/>
      <c r="K389" s="46" t="n">
        <v>388</v>
      </c>
      <c r="L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">
      <c r="A390" s="229" t="n">
        <v>45696</v>
      </c>
      <c r="B390" s="46" t="inlineStr">
        <is>
          <t>메모</t>
        </is>
      </c>
      <c r="C390" s="46" t="inlineStr">
        <is>
          <t>부천지역</t>
        </is>
      </c>
      <c r="D390" s="46" t="inlineStr">
        <is>
          <t>이덕기휴가</t>
        </is>
      </c>
      <c r="E390" s="46" t="n"/>
      <c r="F390" s="46" t="n"/>
      <c r="G390" s="50" t="n"/>
      <c r="H390" s="51" t="n"/>
      <c r="I390" s="46" t="n"/>
      <c r="K390" s="46" t="n">
        <v>389</v>
      </c>
      <c r="L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">
      <c r="A391" s="229" t="n">
        <v>45696</v>
      </c>
      <c r="B391" s="46" t="inlineStr">
        <is>
          <t>사용전검사</t>
        </is>
      </c>
      <c r="C391" s="46" t="inlineStr">
        <is>
          <t>김포지역</t>
        </is>
      </c>
      <c r="D391" s="46" t="inlineStr">
        <is>
          <t>신성프라스틱</t>
        </is>
      </c>
      <c r="E391" s="46" t="n">
        <v>950</v>
      </c>
      <c r="F391" s="46" t="inlineStr">
        <is>
          <t>대벽리</t>
        </is>
      </c>
      <c r="G391" s="50" t="n"/>
      <c r="H391" s="51" t="n"/>
      <c r="I391" s="46" t="inlineStr">
        <is>
          <t>서수형</t>
        </is>
      </c>
      <c r="K391" s="46" t="n">
        <v>390</v>
      </c>
      <c r="L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">
      <c r="A392" s="229" t="n">
        <v>45696</v>
      </c>
      <c r="B392" s="46" t="inlineStr">
        <is>
          <t>사용전검사</t>
        </is>
      </c>
      <c r="C392" s="46" t="inlineStr">
        <is>
          <t>김포지역</t>
        </is>
      </c>
      <c r="D392" s="46" t="inlineStr">
        <is>
          <t>준에프엔에스</t>
        </is>
      </c>
      <c r="E392" s="46" t="n">
        <v>150</v>
      </c>
      <c r="F392" s="46" t="inlineStr">
        <is>
          <t>오니산리</t>
        </is>
      </c>
      <c r="G392" s="50" t="n"/>
      <c r="H392" s="51" t="n"/>
      <c r="I392" s="46" t="inlineStr">
        <is>
          <t>정신배</t>
        </is>
      </c>
      <c r="K392" s="46" t="n">
        <v>391</v>
      </c>
      <c r="L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">
      <c r="A393" s="229" t="n">
        <v>45697</v>
      </c>
      <c r="B393" s="46" t="inlineStr">
        <is>
          <t>정기검사</t>
        </is>
      </c>
      <c r="C393" s="46" t="inlineStr">
        <is>
          <t>부천지역</t>
        </is>
      </c>
      <c r="D393" s="46" t="inlineStr">
        <is>
          <t>라비앙로제</t>
        </is>
      </c>
      <c r="E393" s="46" t="inlineStr">
        <is>
          <t>900/364</t>
        </is>
      </c>
      <c r="F393" s="46" t="inlineStr">
        <is>
          <t>중동</t>
        </is>
      </c>
      <c r="G393" s="50" t="n">
        <v>0.2916666666666667</v>
      </c>
      <c r="H393" s="51" t="n">
        <v>1437260</v>
      </c>
      <c r="I393" s="46" t="inlineStr">
        <is>
          <t>김영권</t>
        </is>
      </c>
      <c r="K393" s="46" t="n">
        <v>392</v>
      </c>
      <c r="L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">
      <c r="A394" s="229" t="n">
        <v>45697</v>
      </c>
      <c r="B394" s="46" t="inlineStr">
        <is>
          <t>정기검사</t>
        </is>
      </c>
      <c r="C394" s="46" t="inlineStr">
        <is>
          <t>김포지역</t>
        </is>
      </c>
      <c r="D394" s="46" t="inlineStr">
        <is>
          <t>파인테크</t>
        </is>
      </c>
      <c r="E394" s="46" t="n">
        <v>600</v>
      </c>
      <c r="F394" s="46" t="inlineStr">
        <is>
          <t>학운리</t>
        </is>
      </c>
      <c r="G394" s="50" t="n">
        <v>0.4791666666666667</v>
      </c>
      <c r="H394" s="51" t="n">
        <v>770880</v>
      </c>
      <c r="I394" s="46" t="inlineStr">
        <is>
          <t>송낙명</t>
        </is>
      </c>
      <c r="K394" s="46" t="n">
        <v>393</v>
      </c>
      <c r="L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">
      <c r="A395" s="229" t="n">
        <v>45697</v>
      </c>
      <c r="B395" s="46" t="inlineStr">
        <is>
          <t>정기검사</t>
        </is>
      </c>
      <c r="C395" s="46" t="inlineStr">
        <is>
          <t>김포지역</t>
        </is>
      </c>
      <c r="D395" s="46" t="inlineStr">
        <is>
          <t>송원엔지니어링</t>
        </is>
      </c>
      <c r="E395" s="46" t="n">
        <v>290</v>
      </c>
      <c r="F395" s="46" t="inlineStr">
        <is>
          <t>하사리</t>
        </is>
      </c>
      <c r="G395" s="50" t="n">
        <v>0.3958333333333333</v>
      </c>
      <c r="H395" s="51" t="n">
        <v>515130</v>
      </c>
      <c r="I395" s="46" t="inlineStr">
        <is>
          <t>이종석</t>
        </is>
      </c>
      <c r="K395" s="46" t="n">
        <v>394</v>
      </c>
      <c r="L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">
      <c r="A396" s="229" t="n">
        <v>45697</v>
      </c>
      <c r="B396" s="46" t="inlineStr">
        <is>
          <t>정기검사</t>
        </is>
      </c>
      <c r="C396" s="46" t="inlineStr">
        <is>
          <t>김포지역</t>
        </is>
      </c>
      <c r="D396" s="46" t="inlineStr">
        <is>
          <t>서병민</t>
        </is>
      </c>
      <c r="E396" s="46" t="n">
        <v>3</v>
      </c>
      <c r="F396" s="46" t="inlineStr">
        <is>
          <t>대벽리</t>
        </is>
      </c>
      <c r="G396" s="50" t="n"/>
      <c r="H396" s="51" t="n">
        <v>89210</v>
      </c>
      <c r="I396" s="46" t="inlineStr">
        <is>
          <t>정성관</t>
        </is>
      </c>
      <c r="K396" s="46" t="n">
        <v>395</v>
      </c>
      <c r="L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">
      <c r="A397" s="229" t="n">
        <v>45697</v>
      </c>
      <c r="B397" s="46" t="inlineStr">
        <is>
          <t>메모</t>
        </is>
      </c>
      <c r="C397" s="46" t="inlineStr">
        <is>
          <t>부천지역</t>
        </is>
      </c>
      <c r="D397" s="46" t="inlineStr">
        <is>
          <t>당효진휴가</t>
        </is>
      </c>
      <c r="E397" s="46" t="n"/>
      <c r="F397" s="46" t="n"/>
      <c r="G397" s="50" t="n"/>
      <c r="H397" s="51" t="n"/>
      <c r="I397" s="46" t="n"/>
      <c r="K397" s="46" t="n">
        <v>396</v>
      </c>
      <c r="L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">
      <c r="A398" s="229" t="n">
        <v>45697</v>
      </c>
      <c r="B398" s="46" t="inlineStr">
        <is>
          <t>메모</t>
        </is>
      </c>
      <c r="C398" s="46" t="inlineStr">
        <is>
          <t>부천지역</t>
        </is>
      </c>
      <c r="D398" s="46" t="inlineStr">
        <is>
          <t>민재홍휴가</t>
        </is>
      </c>
      <c r="E398" s="46" t="n"/>
      <c r="F398" s="46" t="n"/>
      <c r="G398" s="50" t="n"/>
      <c r="H398" s="51" t="n"/>
      <c r="I398" s="46" t="n"/>
      <c r="K398" s="46" t="n">
        <v>397</v>
      </c>
      <c r="L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">
      <c r="A399" s="229" t="n">
        <v>45697</v>
      </c>
      <c r="B399" s="46" t="inlineStr">
        <is>
          <t>메모</t>
        </is>
      </c>
      <c r="C399" s="46" t="inlineStr">
        <is>
          <t>부천지역</t>
        </is>
      </c>
      <c r="D399" s="46" t="inlineStr">
        <is>
          <t>이덕기휴가</t>
        </is>
      </c>
      <c r="E399" s="46" t="n"/>
      <c r="F399" s="46" t="n"/>
      <c r="G399" s="50" t="n"/>
      <c r="H399" s="51" t="n"/>
      <c r="I399" s="46" t="n"/>
      <c r="K399" s="46" t="n">
        <v>398</v>
      </c>
      <c r="L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">
      <c r="A400" s="229" t="n">
        <v>45697</v>
      </c>
      <c r="B400" s="46" t="inlineStr">
        <is>
          <t>사용전검사</t>
        </is>
      </c>
      <c r="C400" s="46" t="inlineStr">
        <is>
          <t>김포지역</t>
        </is>
      </c>
      <c r="D400" s="46" t="inlineStr">
        <is>
          <t>노효진</t>
        </is>
      </c>
      <c r="E400" s="46" t="n">
        <v>7</v>
      </c>
      <c r="F400" s="46" t="inlineStr">
        <is>
          <t>대능리</t>
        </is>
      </c>
      <c r="G400" s="50" t="n"/>
      <c r="H400" s="51" t="n"/>
      <c r="I400" s="46" t="inlineStr">
        <is>
          <t>정성관</t>
        </is>
      </c>
      <c r="K400" s="46" t="n">
        <v>399</v>
      </c>
      <c r="L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">
      <c r="A401" s="229" t="n">
        <v>45697</v>
      </c>
      <c r="B401" s="46" t="inlineStr">
        <is>
          <t>사용전검사</t>
        </is>
      </c>
      <c r="C401" s="46" t="inlineStr">
        <is>
          <t>김포지역</t>
        </is>
      </c>
      <c r="D401" s="46" t="inlineStr">
        <is>
          <t>갈산리태양광</t>
        </is>
      </c>
      <c r="E401" s="46" t="n">
        <v>71</v>
      </c>
      <c r="F401" s="46" t="inlineStr">
        <is>
          <t>갈산리</t>
        </is>
      </c>
      <c r="G401" s="50" t="n"/>
      <c r="H401" s="51" t="n"/>
      <c r="I401" s="46" t="inlineStr">
        <is>
          <t>정신배</t>
        </is>
      </c>
      <c r="K401" s="46" t="n">
        <v>400</v>
      </c>
      <c r="L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">
      <c r="A402" s="229" t="n">
        <v>45697</v>
      </c>
      <c r="B402" s="46" t="inlineStr">
        <is>
          <t>사용전검사</t>
        </is>
      </c>
      <c r="C402" s="46" t="inlineStr">
        <is>
          <t>김포지역</t>
        </is>
      </c>
      <c r="D402" s="46" t="inlineStr">
        <is>
          <t>대건케미칼</t>
        </is>
      </c>
      <c r="E402" s="46" t="n">
        <v>87</v>
      </c>
      <c r="F402" s="46" t="inlineStr">
        <is>
          <t>쇄암리</t>
        </is>
      </c>
      <c r="G402" s="50" t="n"/>
      <c r="H402" s="51" t="n"/>
      <c r="I402" s="46" t="inlineStr">
        <is>
          <t>서수형</t>
        </is>
      </c>
      <c r="K402" s="46" t="n">
        <v>401</v>
      </c>
      <c r="L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">
      <c r="A403" s="229" t="n">
        <v>45698</v>
      </c>
      <c r="B403" s="46" t="inlineStr">
        <is>
          <t>정기검사</t>
        </is>
      </c>
      <c r="C403" s="46" t="inlineStr">
        <is>
          <t>부천지역</t>
        </is>
      </c>
      <c r="D403" s="46" t="inlineStr">
        <is>
          <t>부천중앙그린빌</t>
        </is>
      </c>
      <c r="E403" s="46" t="inlineStr">
        <is>
          <t>407/105</t>
        </is>
      </c>
      <c r="F403" s="46" t="inlineStr">
        <is>
          <t>춘의동</t>
        </is>
      </c>
      <c r="G403" s="50" t="n">
        <v>0.4375</v>
      </c>
      <c r="H403" s="51" t="n">
        <v>943470</v>
      </c>
      <c r="I403" s="46" t="inlineStr">
        <is>
          <t>이덕기</t>
        </is>
      </c>
      <c r="K403" s="46" t="n">
        <v>402</v>
      </c>
      <c r="L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">
      <c r="A404" s="229" t="n">
        <v>45698</v>
      </c>
      <c r="B404" s="46" t="inlineStr">
        <is>
          <t>정기검사</t>
        </is>
      </c>
      <c r="C404" s="46" t="inlineStr">
        <is>
          <t>부천지역</t>
        </is>
      </c>
      <c r="D404" s="46" t="inlineStr">
        <is>
          <t>알티피</t>
        </is>
      </c>
      <c r="E404" s="46" t="n">
        <v>290</v>
      </c>
      <c r="F404" s="46" t="inlineStr">
        <is>
          <t>삼정동</t>
        </is>
      </c>
      <c r="G404" s="50" t="n">
        <v>0.5</v>
      </c>
      <c r="H404" s="51" t="n">
        <v>515130</v>
      </c>
      <c r="I404" s="46" t="inlineStr">
        <is>
          <t>송낙명</t>
        </is>
      </c>
      <c r="K404" s="46" t="n">
        <v>403</v>
      </c>
      <c r="L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">
      <c r="A405" s="229" t="n">
        <v>45698</v>
      </c>
      <c r="B405" s="46" t="inlineStr">
        <is>
          <t>정기검사</t>
        </is>
      </c>
      <c r="C405" s="46" t="inlineStr">
        <is>
          <t>김포지역</t>
        </is>
      </c>
      <c r="D405" s="46" t="inlineStr">
        <is>
          <t>풍경채아파트</t>
        </is>
      </c>
      <c r="E405" s="46" t="inlineStr">
        <is>
          <t>950/291</t>
        </is>
      </c>
      <c r="F405" s="46" t="inlineStr">
        <is>
          <t>장기동</t>
        </is>
      </c>
      <c r="G405" s="50" t="n">
        <v>0.4375</v>
      </c>
      <c r="H405" s="51" t="n">
        <v>953480</v>
      </c>
      <c r="I405" s="46" t="inlineStr">
        <is>
          <t>김영권</t>
        </is>
      </c>
      <c r="K405" s="46" t="n">
        <v>404</v>
      </c>
      <c r="L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">
      <c r="A406" s="229" t="n">
        <v>45698</v>
      </c>
      <c r="B406" s="46" t="inlineStr">
        <is>
          <t>정기검사</t>
        </is>
      </c>
      <c r="C406" s="46" t="inlineStr">
        <is>
          <t>김포지역</t>
        </is>
      </c>
      <c r="D406" s="46" t="inlineStr">
        <is>
          <t>테라하우스</t>
        </is>
      </c>
      <c r="E406" s="46" t="n">
        <v>500</v>
      </c>
      <c r="F406" s="46" t="inlineStr">
        <is>
          <t>장기동</t>
        </is>
      </c>
      <c r="G406" s="50" t="n">
        <v>0.4166666666666667</v>
      </c>
      <c r="H406" s="51" t="n">
        <v>737000</v>
      </c>
      <c r="I406" s="46" t="inlineStr">
        <is>
          <t>이종석</t>
        </is>
      </c>
      <c r="K406" s="46" t="n">
        <v>405</v>
      </c>
      <c r="L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">
      <c r="A407" s="229" t="n">
        <v>45698</v>
      </c>
      <c r="B407" s="46" t="inlineStr">
        <is>
          <t>정기검사</t>
        </is>
      </c>
      <c r="C407" s="46" t="inlineStr">
        <is>
          <t>김포지역</t>
        </is>
      </c>
      <c r="D407" s="46" t="inlineStr">
        <is>
          <t>피티케이</t>
        </is>
      </c>
      <c r="E407" s="46" t="n">
        <v>200</v>
      </c>
      <c r="F407" s="46" t="inlineStr">
        <is>
          <t>학운리</t>
        </is>
      </c>
      <c r="G407" s="50" t="n">
        <v>0.5</v>
      </c>
      <c r="H407" s="51" t="n">
        <v>456720</v>
      </c>
      <c r="I407" s="46" t="inlineStr">
        <is>
          <t>허창수</t>
        </is>
      </c>
      <c r="K407" s="46" t="n">
        <v>406</v>
      </c>
      <c r="L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">
      <c r="A408" s="229" t="n">
        <v>45698</v>
      </c>
      <c r="B408" s="46" t="inlineStr">
        <is>
          <t>사용전검사</t>
        </is>
      </c>
      <c r="C408" s="46" t="inlineStr">
        <is>
          <t>부천지역</t>
        </is>
      </c>
      <c r="D408" s="46" t="inlineStr">
        <is>
          <t>송내1-1</t>
        </is>
      </c>
      <c r="E408" s="46" t="n"/>
      <c r="F408" s="46" t="n"/>
      <c r="G408" s="50" t="n"/>
      <c r="H408" s="51" t="n"/>
      <c r="I408" s="46" t="inlineStr">
        <is>
          <t>정성관</t>
        </is>
      </c>
      <c r="K408" s="46" t="n">
        <v>407</v>
      </c>
      <c r="L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">
      <c r="A409" s="229" t="n">
        <v>45698</v>
      </c>
      <c r="B409" s="46" t="inlineStr">
        <is>
          <t>메모</t>
        </is>
      </c>
      <c r="C409" s="46" t="inlineStr">
        <is>
          <t>부천지역</t>
        </is>
      </c>
      <c r="D409" s="46" t="inlineStr">
        <is>
          <t>당효진휴가</t>
        </is>
      </c>
      <c r="E409" s="46" t="n"/>
      <c r="F409" s="46" t="n"/>
      <c r="G409" s="50" t="n"/>
      <c r="H409" s="51" t="n"/>
      <c r="I409" s="46" t="n"/>
      <c r="K409" s="46" t="n">
        <v>408</v>
      </c>
      <c r="L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">
      <c r="A410" s="229" t="n">
        <v>45698</v>
      </c>
      <c r="B410" s="46" t="inlineStr">
        <is>
          <t>메모</t>
        </is>
      </c>
      <c r="C410" s="46" t="inlineStr">
        <is>
          <t>부천지역</t>
        </is>
      </c>
      <c r="D410" s="46" t="inlineStr">
        <is>
          <t>민재홍휴가</t>
        </is>
      </c>
      <c r="E410" s="46" t="n"/>
      <c r="F410" s="46" t="n"/>
      <c r="G410" s="50" t="n"/>
      <c r="H410" s="51" t="n"/>
      <c r="I410" s="46" t="n"/>
      <c r="K410" s="46" t="n">
        <v>409</v>
      </c>
      <c r="L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">
      <c r="A411" s="229" t="n">
        <v>45698</v>
      </c>
      <c r="B411" s="46" t="inlineStr">
        <is>
          <t>사용전검사</t>
        </is>
      </c>
      <c r="C411" s="46" t="inlineStr">
        <is>
          <t>김포지역</t>
        </is>
      </c>
      <c r="D411" s="46" t="inlineStr">
        <is>
          <t>케이원핌포로지스</t>
        </is>
      </c>
      <c r="E411" s="46" t="n">
        <v>2300</v>
      </c>
      <c r="F411" s="46" t="inlineStr">
        <is>
          <t>학운리</t>
        </is>
      </c>
      <c r="G411" s="50" t="n">
        <v>0.25</v>
      </c>
      <c r="H411" s="51" t="n"/>
      <c r="I411" s="46" t="inlineStr">
        <is>
          <t>민경수</t>
        </is>
      </c>
      <c r="K411" s="46" t="n">
        <v>410</v>
      </c>
      <c r="L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">
      <c r="A412" s="229" t="n">
        <v>45698</v>
      </c>
      <c r="B412" s="46" t="inlineStr">
        <is>
          <t>사용전검사</t>
        </is>
      </c>
      <c r="C412" s="46" t="inlineStr">
        <is>
          <t>김포지역</t>
        </is>
      </c>
      <c r="D412" s="46" t="inlineStr">
        <is>
          <t>우응1호</t>
        </is>
      </c>
      <c r="E412" s="46" t="n">
        <v>78.09999999999999</v>
      </c>
      <c r="F412" s="46" t="inlineStr">
        <is>
          <t>가현리</t>
        </is>
      </c>
      <c r="G412" s="50" t="n"/>
      <c r="H412" s="51" t="n"/>
      <c r="I412" s="46" t="inlineStr">
        <is>
          <t>서수형</t>
        </is>
      </c>
      <c r="K412" s="46" t="n">
        <v>411</v>
      </c>
      <c r="L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">
      <c r="A413" s="229" t="n">
        <v>45698</v>
      </c>
      <c r="B413" s="46" t="inlineStr">
        <is>
          <t>사용전검사</t>
        </is>
      </c>
      <c r="C413" s="46" t="inlineStr">
        <is>
          <t>김포지역</t>
        </is>
      </c>
      <c r="D413" s="46" t="inlineStr">
        <is>
          <t>우응2호</t>
        </is>
      </c>
      <c r="E413" s="46" t="n">
        <v>79.09999999999999</v>
      </c>
      <c r="F413" s="46" t="inlineStr">
        <is>
          <t>가현리</t>
        </is>
      </c>
      <c r="G413" s="50" t="n"/>
      <c r="H413" s="51" t="n"/>
      <c r="I413" s="46" t="inlineStr">
        <is>
          <t>서수형</t>
        </is>
      </c>
      <c r="K413" s="46" t="n">
        <v>412</v>
      </c>
      <c r="L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">
      <c r="A414" s="229" t="n">
        <v>45698</v>
      </c>
      <c r="B414" s="46" t="inlineStr">
        <is>
          <t>사용전검사</t>
        </is>
      </c>
      <c r="C414" s="46" t="inlineStr">
        <is>
          <t>김포지역</t>
        </is>
      </c>
      <c r="D414" s="46" t="inlineStr">
        <is>
          <t>우응3호</t>
        </is>
      </c>
      <c r="E414" s="46" t="n">
        <v>80.09999999999999</v>
      </c>
      <c r="F414" s="46" t="inlineStr">
        <is>
          <t>가현리</t>
        </is>
      </c>
      <c r="G414" s="50" t="n"/>
      <c r="H414" s="51" t="n"/>
      <c r="I414" s="46" t="inlineStr">
        <is>
          <t>정신배</t>
        </is>
      </c>
      <c r="K414" s="46" t="n">
        <v>413</v>
      </c>
      <c r="L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">
      <c r="A415" s="229" t="n">
        <v>45698</v>
      </c>
      <c r="B415" s="46" t="inlineStr">
        <is>
          <t>사용전검사</t>
        </is>
      </c>
      <c r="C415" s="46" t="inlineStr">
        <is>
          <t>김포지역</t>
        </is>
      </c>
      <c r="D415" s="46" t="inlineStr">
        <is>
          <t>우응4호</t>
        </is>
      </c>
      <c r="E415" s="46" t="n">
        <v>81.09999999999999</v>
      </c>
      <c r="F415" s="46" t="inlineStr">
        <is>
          <t>가현리</t>
        </is>
      </c>
      <c r="G415" s="50" t="n"/>
      <c r="H415" s="51" t="n"/>
      <c r="I415" s="46" t="inlineStr">
        <is>
          <t>정신배</t>
        </is>
      </c>
      <c r="K415" s="46" t="n">
        <v>414</v>
      </c>
      <c r="L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">
      <c r="A416" s="229" t="n">
        <v>45698</v>
      </c>
      <c r="B416" s="46" t="inlineStr">
        <is>
          <t>사용전검사</t>
        </is>
      </c>
      <c r="C416" s="46" t="inlineStr">
        <is>
          <t>김포지역</t>
        </is>
      </c>
      <c r="D416" s="46" t="inlineStr">
        <is>
          <t>우응5호</t>
        </is>
      </c>
      <c r="E416" s="46" t="n">
        <v>82.09999999999999</v>
      </c>
      <c r="F416" s="46" t="inlineStr">
        <is>
          <t>가현리</t>
        </is>
      </c>
      <c r="G416" s="50" t="n"/>
      <c r="H416" s="51" t="n"/>
      <c r="I416" s="46" t="inlineStr">
        <is>
          <t>정신배</t>
        </is>
      </c>
      <c r="K416" s="46" t="n">
        <v>415</v>
      </c>
      <c r="L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">
      <c r="A417" s="229" t="n">
        <v>45698</v>
      </c>
      <c r="B417" s="46" t="inlineStr">
        <is>
          <t>사용전검사</t>
        </is>
      </c>
      <c r="C417" s="46" t="inlineStr">
        <is>
          <t>김포지역</t>
        </is>
      </c>
      <c r="D417" s="46" t="inlineStr">
        <is>
          <t>동양기전</t>
        </is>
      </c>
      <c r="E417" s="46" t="n">
        <v>290</v>
      </c>
      <c r="F417" s="46" t="inlineStr">
        <is>
          <t>학운리</t>
        </is>
      </c>
      <c r="G417" s="50" t="n"/>
      <c r="H417" s="51" t="n"/>
      <c r="I417" s="46" t="inlineStr">
        <is>
          <t>한태희</t>
        </is>
      </c>
      <c r="K417" s="46" t="n">
        <v>416</v>
      </c>
      <c r="L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">
      <c r="A418" s="229" t="n">
        <v>45698</v>
      </c>
      <c r="B418" s="46" t="inlineStr">
        <is>
          <t>사용전검사</t>
        </is>
      </c>
      <c r="C418" s="46" t="inlineStr">
        <is>
          <t>김포지역</t>
        </is>
      </c>
      <c r="D418" s="46" t="inlineStr">
        <is>
          <t>양원고</t>
        </is>
      </c>
      <c r="E418" s="46" t="inlineStr">
        <is>
          <t>부분</t>
        </is>
      </c>
      <c r="F418" s="46" t="n"/>
      <c r="G418" s="50" t="n"/>
      <c r="H418" s="51" t="n"/>
      <c r="I418" s="46" t="inlineStr">
        <is>
          <t>민경수</t>
        </is>
      </c>
      <c r="K418" s="46" t="n">
        <v>417</v>
      </c>
      <c r="L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">
      <c r="A419" s="229" t="n">
        <v>45698</v>
      </c>
      <c r="B419" s="46" t="inlineStr">
        <is>
          <t>사용전검사</t>
        </is>
      </c>
      <c r="C419" s="46" t="inlineStr">
        <is>
          <t>김포지역</t>
        </is>
      </c>
      <c r="D419" s="46" t="inlineStr">
        <is>
          <t>양원고</t>
        </is>
      </c>
      <c r="E419" s="46" t="inlineStr">
        <is>
          <t>부분</t>
        </is>
      </c>
      <c r="F419" s="46" t="n"/>
      <c r="G419" s="50" t="n"/>
      <c r="H419" s="51" t="n"/>
      <c r="I419" s="46" t="inlineStr">
        <is>
          <t>민경수</t>
        </is>
      </c>
      <c r="K419" s="46" t="n">
        <v>418</v>
      </c>
      <c r="L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">
      <c r="A420" s="229" t="n">
        <v>45698</v>
      </c>
      <c r="B420" s="46" t="inlineStr">
        <is>
          <t>사용전검사</t>
        </is>
      </c>
      <c r="C420" s="46" t="inlineStr">
        <is>
          <t>김포지역</t>
        </is>
      </c>
      <c r="D420" s="46" t="inlineStr">
        <is>
          <t>대운목재</t>
        </is>
      </c>
      <c r="E420" s="46" t="n">
        <v>120</v>
      </c>
      <c r="F420" s="46" t="inlineStr">
        <is>
          <t>송마리</t>
        </is>
      </c>
      <c r="G420" s="50" t="n"/>
      <c r="H420" s="51" t="n"/>
      <c r="I420" s="46" t="inlineStr">
        <is>
          <t>한태희</t>
        </is>
      </c>
      <c r="K420" s="46" t="n">
        <v>419</v>
      </c>
      <c r="L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">
      <c r="A421" s="229" t="n">
        <v>45699</v>
      </c>
      <c r="B421" s="46" t="inlineStr">
        <is>
          <t>정기검사</t>
        </is>
      </c>
      <c r="C421" s="46" t="inlineStr">
        <is>
          <t>부천지역</t>
        </is>
      </c>
      <c r="D421" s="46" t="inlineStr">
        <is>
          <t>센스콤</t>
        </is>
      </c>
      <c r="E421" s="46" t="n">
        <v>900</v>
      </c>
      <c r="F421" s="46" t="inlineStr">
        <is>
          <t>도당동</t>
        </is>
      </c>
      <c r="G421" s="50" t="n">
        <v>0.4791666666666667</v>
      </c>
      <c r="H421" s="51" t="n">
        <v>872520</v>
      </c>
      <c r="I421" s="46" t="inlineStr">
        <is>
          <t>이종석</t>
        </is>
      </c>
      <c r="K421" s="46" t="n">
        <v>420</v>
      </c>
      <c r="L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">
      <c r="A422" s="229" t="n">
        <v>45699</v>
      </c>
      <c r="B422" s="46" t="inlineStr">
        <is>
          <t>정기검사</t>
        </is>
      </c>
      <c r="C422" s="46" t="inlineStr">
        <is>
          <t>부천지역</t>
        </is>
      </c>
      <c r="D422" s="46" t="inlineStr">
        <is>
          <t>현대자동차</t>
        </is>
      </c>
      <c r="E422" s="46" t="n">
        <v>1510</v>
      </c>
      <c r="F422" s="46" t="inlineStr">
        <is>
          <t>중동</t>
        </is>
      </c>
      <c r="G422" s="50" t="n">
        <v>0.5625</v>
      </c>
      <c r="H422" s="51" t="n">
        <v>1373680</v>
      </c>
      <c r="I422" s="46" t="inlineStr">
        <is>
          <t>한태희</t>
        </is>
      </c>
      <c r="K422" s="46" t="n">
        <v>421</v>
      </c>
      <c r="L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">
      <c r="A423" s="229" t="n">
        <v>45699</v>
      </c>
      <c r="B423" s="46" t="inlineStr">
        <is>
          <t>정기검사</t>
        </is>
      </c>
      <c r="C423" s="46" t="inlineStr">
        <is>
          <t>김포지역</t>
        </is>
      </c>
      <c r="D423" s="46" t="inlineStr">
        <is>
          <t>윤성금속</t>
        </is>
      </c>
      <c r="E423" s="46" t="n">
        <v>200</v>
      </c>
      <c r="F423" s="46" t="inlineStr">
        <is>
          <t>대벽리</t>
        </is>
      </c>
      <c r="G423" s="50" t="n">
        <v>0.5</v>
      </c>
      <c r="H423" s="51" t="n">
        <v>456720</v>
      </c>
      <c r="I423" s="46" t="inlineStr">
        <is>
          <t>서수형</t>
        </is>
      </c>
      <c r="K423" s="46" t="n">
        <v>422</v>
      </c>
      <c r="L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">
      <c r="A424" s="229" t="n">
        <v>45699</v>
      </c>
      <c r="B424" s="46" t="inlineStr">
        <is>
          <t>정기검사</t>
        </is>
      </c>
      <c r="C424" s="46" t="inlineStr">
        <is>
          <t>김포지역</t>
        </is>
      </c>
      <c r="D424" s="46" t="inlineStr">
        <is>
          <t>일신밸브</t>
        </is>
      </c>
      <c r="E424" s="46" t="n">
        <v>63</v>
      </c>
      <c r="F424" s="46" t="inlineStr">
        <is>
          <t>송마리</t>
        </is>
      </c>
      <c r="G424" s="50" t="n">
        <v>0.4583333333333333</v>
      </c>
      <c r="H424" s="51" t="n">
        <v>217800</v>
      </c>
      <c r="I424" s="46" t="inlineStr">
        <is>
          <t>정신배</t>
        </is>
      </c>
      <c r="K424" s="46" t="n">
        <v>423</v>
      </c>
      <c r="L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">
      <c r="A425" s="229" t="n">
        <v>45699</v>
      </c>
      <c r="B425" s="46" t="inlineStr">
        <is>
          <t>정기검사</t>
        </is>
      </c>
      <c r="C425" s="46" t="inlineStr">
        <is>
          <t>김포지역</t>
        </is>
      </c>
      <c r="D425" s="46" t="inlineStr">
        <is>
          <t>육군5226부대</t>
        </is>
      </c>
      <c r="E425" s="46" t="inlineStr">
        <is>
          <t>200/175</t>
        </is>
      </c>
      <c r="F425" s="46" t="inlineStr">
        <is>
          <t>장기동</t>
        </is>
      </c>
      <c r="G425" s="50" t="n">
        <v>0.3958333333333333</v>
      </c>
      <c r="H425" s="51" t="n">
        <v>645040</v>
      </c>
      <c r="I425" s="46" t="inlineStr">
        <is>
          <t>정성관</t>
        </is>
      </c>
      <c r="K425" s="46" t="n">
        <v>424</v>
      </c>
      <c r="L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">
      <c r="A426" s="229" t="n">
        <v>45699</v>
      </c>
      <c r="B426" s="46" t="inlineStr">
        <is>
          <t>정기검사</t>
        </is>
      </c>
      <c r="C426" s="46" t="inlineStr">
        <is>
          <t>김포지역</t>
        </is>
      </c>
      <c r="D426" s="46" t="inlineStr">
        <is>
          <t>서원에어테크</t>
        </is>
      </c>
      <c r="E426" s="46" t="n">
        <v>200</v>
      </c>
      <c r="F426" s="46" t="inlineStr">
        <is>
          <t>석정리</t>
        </is>
      </c>
      <c r="G426" s="50" t="n">
        <v>0.4791666666666667</v>
      </c>
      <c r="H426" s="51" t="n">
        <v>456720</v>
      </c>
      <c r="I426" s="46" t="inlineStr">
        <is>
          <t>우승택</t>
        </is>
      </c>
      <c r="K426" s="46" t="n">
        <v>425</v>
      </c>
      <c r="L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">
      <c r="A427" s="229" t="n">
        <v>45699</v>
      </c>
      <c r="B427" s="46" t="inlineStr">
        <is>
          <t>메모</t>
        </is>
      </c>
      <c r="C427" s="46" t="inlineStr">
        <is>
          <t>부천지역</t>
        </is>
      </c>
      <c r="D427" s="46" t="inlineStr">
        <is>
          <t>당효진휴가</t>
        </is>
      </c>
      <c r="E427" s="46" t="n"/>
      <c r="F427" s="46" t="n"/>
      <c r="G427" s="50" t="n"/>
      <c r="H427" s="51" t="n"/>
      <c r="I427" s="46" t="n"/>
      <c r="K427" s="46" t="n">
        <v>426</v>
      </c>
      <c r="L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8">
      <c r="A428" s="229" t="n">
        <v>45699</v>
      </c>
      <c r="B428" s="46" t="inlineStr">
        <is>
          <t>메모</t>
        </is>
      </c>
      <c r="C428" s="46" t="inlineStr">
        <is>
          <t>부천지역</t>
        </is>
      </c>
      <c r="D428" s="46" t="inlineStr">
        <is>
          <t>민재홍휴가</t>
        </is>
      </c>
      <c r="E428" s="46" t="n"/>
      <c r="F428" s="46" t="n"/>
      <c r="G428" s="50" t="n"/>
      <c r="H428" s="51" t="n"/>
      <c r="I428" s="46" t="n"/>
      <c r="K428" s="46" t="n">
        <v>427</v>
      </c>
      <c r="L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9">
      <c r="A429" s="229" t="n">
        <v>45699</v>
      </c>
      <c r="B429" s="46" t="inlineStr">
        <is>
          <t>사용전검사</t>
        </is>
      </c>
      <c r="C429" s="46" t="inlineStr">
        <is>
          <t>김포지역</t>
        </is>
      </c>
      <c r="D429" s="46" t="inlineStr">
        <is>
          <t>유정1호</t>
        </is>
      </c>
      <c r="E429" s="46" t="n">
        <v>87</v>
      </c>
      <c r="F429" s="46" t="inlineStr">
        <is>
          <t>가현리</t>
        </is>
      </c>
      <c r="G429" s="50" t="n"/>
      <c r="H429" s="51" t="n"/>
      <c r="I429" s="46" t="inlineStr">
        <is>
          <t>김영권</t>
        </is>
      </c>
      <c r="K429" s="46" t="n">
        <v>428</v>
      </c>
      <c r="L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0">
      <c r="A430" s="229" t="n">
        <v>45699</v>
      </c>
      <c r="B430" s="46" t="inlineStr">
        <is>
          <t>사용전검사</t>
        </is>
      </c>
      <c r="C430" s="46" t="inlineStr">
        <is>
          <t>김포지역</t>
        </is>
      </c>
      <c r="D430" s="46" t="inlineStr">
        <is>
          <t>유정2호</t>
        </is>
      </c>
      <c r="E430" s="46" t="n">
        <v>88</v>
      </c>
      <c r="F430" s="46" t="inlineStr">
        <is>
          <t>가현리</t>
        </is>
      </c>
      <c r="G430" s="50" t="n"/>
      <c r="H430" s="51" t="n"/>
      <c r="I430" s="46" t="inlineStr">
        <is>
          <t>김영권</t>
        </is>
      </c>
      <c r="K430" s="46" t="n">
        <v>429</v>
      </c>
      <c r="L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1">
      <c r="A431" s="229" t="n">
        <v>45699</v>
      </c>
      <c r="B431" s="46" t="inlineStr">
        <is>
          <t>사용전검사</t>
        </is>
      </c>
      <c r="C431" s="46" t="inlineStr">
        <is>
          <t>김포지역</t>
        </is>
      </c>
      <c r="D431" s="46" t="inlineStr">
        <is>
          <t>유정3호</t>
        </is>
      </c>
      <c r="E431" s="46" t="n">
        <v>89</v>
      </c>
      <c r="F431" s="46" t="inlineStr">
        <is>
          <t>가현리</t>
        </is>
      </c>
      <c r="G431" s="50" t="n"/>
      <c r="H431" s="51" t="n"/>
      <c r="I431" s="46" t="inlineStr">
        <is>
          <t>허창수</t>
        </is>
      </c>
      <c r="K431" s="46" t="n">
        <v>430</v>
      </c>
      <c r="L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2">
      <c r="A432" s="229" t="n">
        <v>45699</v>
      </c>
      <c r="B432" s="46" t="inlineStr">
        <is>
          <t>사용전검사</t>
        </is>
      </c>
      <c r="C432" s="46" t="inlineStr">
        <is>
          <t>김포지역</t>
        </is>
      </c>
      <c r="D432" s="46" t="inlineStr">
        <is>
          <t>유정4호</t>
        </is>
      </c>
      <c r="E432" s="46" t="n">
        <v>90</v>
      </c>
      <c r="F432" s="46" t="inlineStr">
        <is>
          <t>가현리</t>
        </is>
      </c>
      <c r="G432" s="50" t="n"/>
      <c r="H432" s="51" t="n"/>
      <c r="I432" s="46" t="inlineStr">
        <is>
          <t>허창수</t>
        </is>
      </c>
      <c r="K432" s="46" t="n">
        <v>431</v>
      </c>
      <c r="L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3">
      <c r="A433" s="229" t="n">
        <v>45699</v>
      </c>
      <c r="B433" s="46" t="inlineStr">
        <is>
          <t>사용전검사</t>
        </is>
      </c>
      <c r="C433" s="46" t="inlineStr">
        <is>
          <t>김포지역</t>
        </is>
      </c>
      <c r="D433" s="46" t="inlineStr">
        <is>
          <t>유정5호</t>
        </is>
      </c>
      <c r="E433" s="46" t="n">
        <v>91</v>
      </c>
      <c r="F433" s="46" t="inlineStr">
        <is>
          <t>가현리</t>
        </is>
      </c>
      <c r="G433" s="50" t="n"/>
      <c r="H433" s="51" t="n"/>
      <c r="I433" s="46" t="inlineStr">
        <is>
          <t>허창수</t>
        </is>
      </c>
      <c r="K433" s="46" t="n">
        <v>432</v>
      </c>
      <c r="L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4">
      <c r="A434" s="229" t="n">
        <v>45699</v>
      </c>
      <c r="B434" s="46" t="inlineStr">
        <is>
          <t>사용전검사</t>
        </is>
      </c>
      <c r="C434" s="46" t="inlineStr">
        <is>
          <t>김포지역</t>
        </is>
      </c>
      <c r="D434" s="46" t="inlineStr">
        <is>
          <t>하성고</t>
        </is>
      </c>
      <c r="E434" s="46" t="inlineStr">
        <is>
          <t>부분</t>
        </is>
      </c>
      <c r="F434" s="46" t="inlineStr">
        <is>
          <t>마곡리</t>
        </is>
      </c>
      <c r="G434" s="50" t="n"/>
      <c r="H434" s="51" t="n"/>
      <c r="I434" s="46" t="inlineStr">
        <is>
          <t>송두기</t>
        </is>
      </c>
      <c r="K434" s="46" t="n">
        <v>433</v>
      </c>
      <c r="L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5">
      <c r="A435" s="229" t="n">
        <v>45699</v>
      </c>
      <c r="B435" s="46" t="inlineStr">
        <is>
          <t>사용전검사</t>
        </is>
      </c>
      <c r="C435" s="46" t="inlineStr">
        <is>
          <t>김포지역</t>
        </is>
      </c>
      <c r="D435" s="46" t="inlineStr">
        <is>
          <t>동준태양광</t>
        </is>
      </c>
      <c r="E435" s="46" t="n">
        <v>19</v>
      </c>
      <c r="F435" s="46" t="inlineStr">
        <is>
          <t>시암리</t>
        </is>
      </c>
      <c r="G435" s="50" t="n"/>
      <c r="H435" s="51" t="n"/>
      <c r="I435" s="46" t="inlineStr">
        <is>
          <t>민경수</t>
        </is>
      </c>
      <c r="K435" s="46" t="n">
        <v>434</v>
      </c>
      <c r="L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6">
      <c r="A436" s="229" t="n">
        <v>45699</v>
      </c>
      <c r="B436" s="46" t="inlineStr">
        <is>
          <t>사용전검사</t>
        </is>
      </c>
      <c r="C436" s="46" t="inlineStr">
        <is>
          <t>김포지역</t>
        </is>
      </c>
      <c r="D436" s="46" t="inlineStr">
        <is>
          <t>이뜬씨앤피</t>
        </is>
      </c>
      <c r="E436" s="46" t="n">
        <v>105</v>
      </c>
      <c r="F436" s="46" t="inlineStr">
        <is>
          <t>귀전리</t>
        </is>
      </c>
      <c r="G436" s="50" t="n"/>
      <c r="H436" s="51" t="n"/>
      <c r="I436" s="46" t="inlineStr">
        <is>
          <t>이덕기</t>
        </is>
      </c>
      <c r="K436" s="46" t="n">
        <v>435</v>
      </c>
      <c r="L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7">
      <c r="A437" s="229" t="n">
        <v>45699</v>
      </c>
      <c r="B437" s="46" t="inlineStr">
        <is>
          <t>사용전검사</t>
        </is>
      </c>
      <c r="C437" s="46" t="inlineStr">
        <is>
          <t>김포지역</t>
        </is>
      </c>
      <c r="D437" s="46" t="inlineStr">
        <is>
          <t>허윤숙</t>
        </is>
      </c>
      <c r="E437" s="46" t="n">
        <v>97</v>
      </c>
      <c r="F437" s="46" t="inlineStr">
        <is>
          <t>석탄리</t>
        </is>
      </c>
      <c r="G437" s="50" t="n"/>
      <c r="H437" s="51" t="n"/>
      <c r="I437" s="46" t="inlineStr">
        <is>
          <t>민경수</t>
        </is>
      </c>
      <c r="K437" s="46" t="n">
        <v>436</v>
      </c>
      <c r="L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8">
      <c r="A438" s="229" t="n">
        <v>45700</v>
      </c>
      <c r="B438" s="46" t="inlineStr">
        <is>
          <t>정기검사</t>
        </is>
      </c>
      <c r="C438" s="46" t="inlineStr">
        <is>
          <t>부천지역</t>
        </is>
      </c>
      <c r="D438" s="46" t="inlineStr">
        <is>
          <t>파우스</t>
        </is>
      </c>
      <c r="E438" s="46" t="n">
        <v>200</v>
      </c>
      <c r="F438" s="46" t="inlineStr">
        <is>
          <t>춘의동</t>
        </is>
      </c>
      <c r="G438" s="50" t="n">
        <v>0.5</v>
      </c>
      <c r="H438" s="51" t="n">
        <v>456720</v>
      </c>
      <c r="I438" s="46" t="inlineStr">
        <is>
          <t>송낙명</t>
        </is>
      </c>
      <c r="K438" s="46" t="n">
        <v>437</v>
      </c>
      <c r="L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9">
      <c r="A439" s="229" t="n">
        <v>45700</v>
      </c>
      <c r="B439" s="46" t="inlineStr">
        <is>
          <t>정기검사</t>
        </is>
      </c>
      <c r="C439" s="46" t="inlineStr">
        <is>
          <t>김포지역</t>
        </is>
      </c>
      <c r="D439" s="46" t="inlineStr">
        <is>
          <t>월드산업</t>
        </is>
      </c>
      <c r="E439" s="46" t="n">
        <v>290</v>
      </c>
      <c r="F439" s="46" t="inlineStr">
        <is>
          <t>가현리</t>
        </is>
      </c>
      <c r="G439" s="50" t="n">
        <v>0.5</v>
      </c>
      <c r="H439" s="51" t="n">
        <v>515130</v>
      </c>
      <c r="I439" s="46" t="inlineStr">
        <is>
          <t>서수형</t>
        </is>
      </c>
      <c r="K439" s="46" t="n">
        <v>438</v>
      </c>
      <c r="L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0">
      <c r="A440" s="229" t="n">
        <v>45700</v>
      </c>
      <c r="B440" s="46" t="inlineStr">
        <is>
          <t>정기검사</t>
        </is>
      </c>
      <c r="C440" s="46" t="inlineStr">
        <is>
          <t>김포지역</t>
        </is>
      </c>
      <c r="D440" s="46" t="inlineStr">
        <is>
          <t>차오픔푸드</t>
        </is>
      </c>
      <c r="E440" s="46" t="n">
        <v>700</v>
      </c>
      <c r="F440" s="46" t="inlineStr">
        <is>
          <t>양택리</t>
        </is>
      </c>
      <c r="G440" s="50" t="n">
        <v>0.4791666666666667</v>
      </c>
      <c r="H440" s="51" t="n">
        <v>804760</v>
      </c>
      <c r="I440" s="46" t="inlineStr">
        <is>
          <t>김영권</t>
        </is>
      </c>
      <c r="K440" s="46" t="n">
        <v>439</v>
      </c>
      <c r="L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1">
      <c r="A441" s="229" t="n">
        <v>45700</v>
      </c>
      <c r="B441" s="46" t="inlineStr">
        <is>
          <t>사용전검사</t>
        </is>
      </c>
      <c r="C441" s="46" t="inlineStr">
        <is>
          <t>부천지역</t>
        </is>
      </c>
      <c r="D441" s="46" t="inlineStr">
        <is>
          <t>현대주택</t>
        </is>
      </c>
      <c r="E441" s="46" t="inlineStr">
        <is>
          <t>부분</t>
        </is>
      </c>
      <c r="F441" s="46" t="inlineStr">
        <is>
          <t>고강동</t>
        </is>
      </c>
      <c r="G441" s="50" t="n"/>
      <c r="H441" s="51" t="n"/>
      <c r="I441" s="46" t="inlineStr">
        <is>
          <t>정성관</t>
        </is>
      </c>
      <c r="K441" s="46" t="n">
        <v>440</v>
      </c>
      <c r="L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2">
      <c r="A442" s="229" t="n">
        <v>45700</v>
      </c>
      <c r="B442" s="46" t="inlineStr">
        <is>
          <t>사용전검사</t>
        </is>
      </c>
      <c r="C442" s="46" t="inlineStr">
        <is>
          <t>부천지역</t>
        </is>
      </c>
      <c r="D442" s="46" t="inlineStr">
        <is>
          <t>명태어장</t>
        </is>
      </c>
      <c r="E442" s="46" t="n">
        <v>25</v>
      </c>
      <c r="F442" s="46" t="inlineStr">
        <is>
          <t>괴안동</t>
        </is>
      </c>
      <c r="G442" s="50" t="n"/>
      <c r="H442" s="51" t="n"/>
      <c r="I442" s="46" t="inlineStr">
        <is>
          <t>우승택</t>
        </is>
      </c>
      <c r="K442" s="46" t="n">
        <v>441</v>
      </c>
      <c r="L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3">
      <c r="A443" s="229" t="n">
        <v>45700</v>
      </c>
      <c r="B443" s="46" t="inlineStr">
        <is>
          <t>메모</t>
        </is>
      </c>
      <c r="C443" s="46" t="inlineStr">
        <is>
          <t>부천지역</t>
        </is>
      </c>
      <c r="D443" s="46" t="inlineStr">
        <is>
          <t>당효진휴가</t>
        </is>
      </c>
      <c r="E443" s="46" t="n"/>
      <c r="F443" s="46" t="n"/>
      <c r="G443" s="50" t="n"/>
      <c r="H443" s="51" t="n"/>
      <c r="I443" s="46" t="n"/>
      <c r="K443" s="46" t="n">
        <v>442</v>
      </c>
      <c r="L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4">
      <c r="A444" s="229" t="n">
        <v>45700</v>
      </c>
      <c r="B444" s="46" t="inlineStr">
        <is>
          <t>메모</t>
        </is>
      </c>
      <c r="C444" s="46" t="inlineStr">
        <is>
          <t>부천지역</t>
        </is>
      </c>
      <c r="D444" s="46" t="inlineStr">
        <is>
          <t>민재홍휴가</t>
        </is>
      </c>
      <c r="E444" s="46" t="n"/>
      <c r="F444" s="46" t="n"/>
      <c r="G444" s="50" t="n"/>
      <c r="H444" s="51" t="n"/>
      <c r="I444" s="46" t="n"/>
      <c r="K444" s="46" t="n">
        <v>443</v>
      </c>
      <c r="L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5">
      <c r="A445" s="229" t="n">
        <v>45700</v>
      </c>
      <c r="B445" s="46" t="inlineStr">
        <is>
          <t>사용전검사</t>
        </is>
      </c>
      <c r="C445" s="46" t="inlineStr">
        <is>
          <t>김포지역</t>
        </is>
      </c>
      <c r="D445" s="46" t="inlineStr">
        <is>
          <t>신광1</t>
        </is>
      </c>
      <c r="E445" s="46" t="n">
        <v>88</v>
      </c>
      <c r="F445" s="46" t="inlineStr">
        <is>
          <t>대포리</t>
        </is>
      </c>
      <c r="G445" s="50" t="n"/>
      <c r="H445" s="51" t="n"/>
      <c r="I445" s="46" t="inlineStr">
        <is>
          <t>이종석</t>
        </is>
      </c>
      <c r="K445" s="46" t="n">
        <v>444</v>
      </c>
      <c r="L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6">
      <c r="A446" s="229" t="n">
        <v>45700</v>
      </c>
      <c r="B446" s="46" t="inlineStr">
        <is>
          <t>사용전검사</t>
        </is>
      </c>
      <c r="C446" s="46" t="inlineStr">
        <is>
          <t>김포지역</t>
        </is>
      </c>
      <c r="D446" s="46" t="inlineStr">
        <is>
          <t>신광2</t>
        </is>
      </c>
      <c r="E446" s="46" t="n">
        <v>89</v>
      </c>
      <c r="F446" s="46" t="inlineStr">
        <is>
          <t>대포리</t>
        </is>
      </c>
      <c r="G446" s="50" t="n"/>
      <c r="H446" s="51" t="n"/>
      <c r="I446" s="46" t="inlineStr">
        <is>
          <t>한태희</t>
        </is>
      </c>
      <c r="K446" s="46" t="n">
        <v>445</v>
      </c>
      <c r="L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7">
      <c r="A447" s="229" t="n">
        <v>45700</v>
      </c>
      <c r="B447" s="46" t="inlineStr">
        <is>
          <t>사용전검사</t>
        </is>
      </c>
      <c r="C447" s="46" t="inlineStr">
        <is>
          <t>김포지역</t>
        </is>
      </c>
      <c r="D447" s="46" t="inlineStr">
        <is>
          <t>한일1호</t>
        </is>
      </c>
      <c r="E447" s="46" t="n">
        <v>89</v>
      </c>
      <c r="F447" s="46" t="inlineStr">
        <is>
          <t>서암리</t>
        </is>
      </c>
      <c r="G447" s="50" t="n"/>
      <c r="H447" s="51" t="n"/>
      <c r="I447" s="46" t="inlineStr">
        <is>
          <t>민경수</t>
        </is>
      </c>
      <c r="K447" s="46" t="n">
        <v>446</v>
      </c>
      <c r="L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8">
      <c r="A448" s="229" t="n">
        <v>45700</v>
      </c>
      <c r="B448" s="46" t="inlineStr">
        <is>
          <t>사용전검사</t>
        </is>
      </c>
      <c r="C448" s="46" t="inlineStr">
        <is>
          <t>김포지역</t>
        </is>
      </c>
      <c r="D448" s="46" t="inlineStr">
        <is>
          <t>한일2호</t>
        </is>
      </c>
      <c r="E448" s="46" t="n">
        <v>90</v>
      </c>
      <c r="F448" s="46" t="inlineStr">
        <is>
          <t>서암리</t>
        </is>
      </c>
      <c r="G448" s="50" t="n"/>
      <c r="H448" s="51" t="n"/>
      <c r="I448" s="46" t="inlineStr">
        <is>
          <t>민경수</t>
        </is>
      </c>
      <c r="K448" s="46" t="n">
        <v>447</v>
      </c>
      <c r="L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9">
      <c r="A449" s="229" t="n">
        <v>45700</v>
      </c>
      <c r="B449" s="46" t="inlineStr">
        <is>
          <t>사용전검사</t>
        </is>
      </c>
      <c r="C449" s="46" t="inlineStr">
        <is>
          <t>김포지역</t>
        </is>
      </c>
      <c r="D449" s="46" t="inlineStr">
        <is>
          <t>한일3호</t>
        </is>
      </c>
      <c r="E449" s="46" t="n">
        <v>91</v>
      </c>
      <c r="F449" s="46" t="inlineStr">
        <is>
          <t>서암리</t>
        </is>
      </c>
      <c r="G449" s="50" t="n"/>
      <c r="H449" s="51" t="n"/>
      <c r="I449" s="46" t="inlineStr">
        <is>
          <t>송두기</t>
        </is>
      </c>
      <c r="K449" s="46" t="n">
        <v>448</v>
      </c>
      <c r="L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0">
      <c r="A450" s="229" t="n">
        <v>45700</v>
      </c>
      <c r="B450" s="46" t="inlineStr">
        <is>
          <t>사용전검사</t>
        </is>
      </c>
      <c r="C450" s="46" t="inlineStr">
        <is>
          <t>김포지역</t>
        </is>
      </c>
      <c r="D450" s="46" t="inlineStr">
        <is>
          <t>한일4호</t>
        </is>
      </c>
      <c r="E450" s="46" t="n">
        <v>92</v>
      </c>
      <c r="F450" s="46" t="inlineStr">
        <is>
          <t>서암리</t>
        </is>
      </c>
      <c r="G450" s="50" t="n"/>
      <c r="H450" s="51" t="n"/>
      <c r="I450" s="46" t="inlineStr">
        <is>
          <t>송두기</t>
        </is>
      </c>
      <c r="K450" s="46" t="n">
        <v>449</v>
      </c>
      <c r="L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1">
      <c r="A451" s="229" t="n">
        <v>45700</v>
      </c>
      <c r="B451" s="46" t="inlineStr">
        <is>
          <t>사용전검사</t>
        </is>
      </c>
      <c r="C451" s="46" t="inlineStr">
        <is>
          <t>김포지역</t>
        </is>
      </c>
      <c r="D451" s="46" t="inlineStr">
        <is>
          <t>한일5호</t>
        </is>
      </c>
      <c r="E451" s="46" t="n">
        <v>93</v>
      </c>
      <c r="F451" s="46" t="inlineStr">
        <is>
          <t>서암리</t>
        </is>
      </c>
      <c r="G451" s="50" t="n"/>
      <c r="H451" s="51" t="n"/>
      <c r="I451" s="46" t="inlineStr">
        <is>
          <t>송두기</t>
        </is>
      </c>
      <c r="K451" s="46" t="n">
        <v>450</v>
      </c>
      <c r="L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2">
      <c r="A452" s="229" t="n">
        <v>45701</v>
      </c>
      <c r="B452" s="46" t="inlineStr">
        <is>
          <t>정기검사</t>
        </is>
      </c>
      <c r="C452" s="46" t="inlineStr">
        <is>
          <t>김포지역</t>
        </is>
      </c>
      <c r="D452" s="46" t="inlineStr">
        <is>
          <t>황금프라자</t>
        </is>
      </c>
      <c r="E452" s="46" t="n">
        <v>200</v>
      </c>
      <c r="F452" s="46" t="inlineStr">
        <is>
          <t>학운리</t>
        </is>
      </c>
      <c r="G452" s="50" t="n">
        <v>0.5833333333333334</v>
      </c>
      <c r="H452" s="51" t="n">
        <v>456720</v>
      </c>
      <c r="I452" s="46" t="inlineStr">
        <is>
          <t>이종석</t>
        </is>
      </c>
      <c r="K452" s="46" t="n">
        <v>451</v>
      </c>
      <c r="L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3">
      <c r="A453" s="229" t="n">
        <v>45701</v>
      </c>
      <c r="B453" s="46" t="inlineStr">
        <is>
          <t>정기검사</t>
        </is>
      </c>
      <c r="C453" s="46" t="inlineStr">
        <is>
          <t>김포지역</t>
        </is>
      </c>
      <c r="D453" s="46" t="inlineStr">
        <is>
          <t>서진발맥</t>
        </is>
      </c>
      <c r="E453" s="46" t="n">
        <v>250</v>
      </c>
      <c r="F453" s="46" t="inlineStr">
        <is>
          <t>초원지리</t>
        </is>
      </c>
      <c r="G453" s="50" t="n">
        <v>0.4791666666666667</v>
      </c>
      <c r="H453" s="51" t="n">
        <v>489170</v>
      </c>
      <c r="I453" s="46" t="inlineStr">
        <is>
          <t>한태희</t>
        </is>
      </c>
      <c r="K453" s="46" t="n">
        <v>452</v>
      </c>
      <c r="L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4">
      <c r="A454" s="229" t="n">
        <v>45701</v>
      </c>
      <c r="B454" s="46" t="inlineStr">
        <is>
          <t>정기검사</t>
        </is>
      </c>
      <c r="C454" s="46" t="inlineStr">
        <is>
          <t>김포지역</t>
        </is>
      </c>
      <c r="D454" s="46" t="inlineStr">
        <is>
          <t>경동기업</t>
        </is>
      </c>
      <c r="E454" s="46" t="n">
        <v>150</v>
      </c>
      <c r="F454" s="46" t="inlineStr">
        <is>
          <t>옹정리</t>
        </is>
      </c>
      <c r="G454" s="50" t="n">
        <v>0.5416666666666666</v>
      </c>
      <c r="H454" s="51" t="n">
        <v>424160</v>
      </c>
      <c r="I454" s="46" t="inlineStr">
        <is>
          <t>김영권</t>
        </is>
      </c>
      <c r="K454" s="46" t="n">
        <v>453</v>
      </c>
      <c r="L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5">
      <c r="A455" s="229" t="n">
        <v>45701</v>
      </c>
      <c r="B455" s="46" t="inlineStr">
        <is>
          <t>정기검사</t>
        </is>
      </c>
      <c r="C455" s="46" t="inlineStr">
        <is>
          <t>김포지역</t>
        </is>
      </c>
      <c r="D455" s="46" t="inlineStr">
        <is>
          <t>을찌로국물</t>
        </is>
      </c>
      <c r="E455" s="46" t="n">
        <v>200</v>
      </c>
      <c r="F455" s="46" t="inlineStr">
        <is>
          <t>북변동</t>
        </is>
      </c>
      <c r="G455" s="50" t="n">
        <v>0.3958333333333333</v>
      </c>
      <c r="H455" s="51" t="n">
        <v>456720</v>
      </c>
      <c r="I455" s="46" t="inlineStr">
        <is>
          <t>허창수</t>
        </is>
      </c>
      <c r="K455" s="46" t="n">
        <v>454</v>
      </c>
      <c r="L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6">
      <c r="A456" s="229" t="n">
        <v>45701</v>
      </c>
      <c r="B456" s="46" t="inlineStr">
        <is>
          <t>정기검사</t>
        </is>
      </c>
      <c r="C456" s="46" t="inlineStr">
        <is>
          <t>김포지역</t>
        </is>
      </c>
      <c r="D456" s="46" t="inlineStr">
        <is>
          <t>김포순복음</t>
        </is>
      </c>
      <c r="E456" s="46" t="inlineStr">
        <is>
          <t>600/75</t>
        </is>
      </c>
      <c r="F456" s="46" t="inlineStr">
        <is>
          <t>감정동</t>
        </is>
      </c>
      <c r="G456" s="50" t="n">
        <v>0.3958333333333333</v>
      </c>
      <c r="H456" s="51" t="n">
        <v>953260</v>
      </c>
      <c r="I456" s="46" t="inlineStr">
        <is>
          <t>민경수</t>
        </is>
      </c>
      <c r="K456" s="46" t="n">
        <v>455</v>
      </c>
      <c r="L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7">
      <c r="A457" s="229" t="n">
        <v>45701</v>
      </c>
      <c r="B457" s="46" t="inlineStr">
        <is>
          <t>사용전검사</t>
        </is>
      </c>
      <c r="C457" s="46" t="inlineStr">
        <is>
          <t>부천지역</t>
        </is>
      </c>
      <c r="D457" s="46" t="n"/>
      <c r="E457" s="46" t="inlineStr">
        <is>
          <t>밥퍼</t>
        </is>
      </c>
      <c r="F457" s="46" t="n"/>
      <c r="G457" s="50" t="n"/>
      <c r="H457" s="51" t="n"/>
      <c r="I457" s="46" t="n"/>
      <c r="K457" s="46" t="n">
        <v>456</v>
      </c>
      <c r="L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8">
      <c r="A458" s="229" t="n">
        <v>45701</v>
      </c>
      <c r="B458" s="46" t="inlineStr">
        <is>
          <t>메모</t>
        </is>
      </c>
      <c r="C458" s="46" t="inlineStr">
        <is>
          <t>부천지역</t>
        </is>
      </c>
      <c r="D458" s="46" t="inlineStr">
        <is>
          <t>정성관휴가</t>
        </is>
      </c>
      <c r="E458" s="46" t="inlineStr">
        <is>
          <t>우승택</t>
        </is>
      </c>
      <c r="F458" s="46" t="n"/>
      <c r="G458" s="50" t="n"/>
      <c r="H458" s="51" t="n"/>
      <c r="I458" s="46" t="n"/>
      <c r="K458" s="46" t="n">
        <v>457</v>
      </c>
      <c r="L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9">
      <c r="A459" s="229" t="n">
        <v>45701</v>
      </c>
      <c r="B459" s="46" t="inlineStr">
        <is>
          <t>메모</t>
        </is>
      </c>
      <c r="C459" s="46" t="inlineStr">
        <is>
          <t>부천지역</t>
        </is>
      </c>
      <c r="D459" s="46" t="inlineStr">
        <is>
          <t>당효진휴가</t>
        </is>
      </c>
      <c r="E459" s="46" t="inlineStr">
        <is>
          <t>서수형</t>
        </is>
      </c>
      <c r="F459" s="46" t="n"/>
      <c r="G459" s="50" t="n"/>
      <c r="H459" s="51" t="n"/>
      <c r="I459" s="46" t="n"/>
      <c r="K459" s="46" t="n">
        <v>458</v>
      </c>
      <c r="L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0">
      <c r="A460" s="229" t="n">
        <v>45701</v>
      </c>
      <c r="B460" s="46" t="inlineStr">
        <is>
          <t>메모</t>
        </is>
      </c>
      <c r="C460" s="46" t="inlineStr">
        <is>
          <t>부천지역</t>
        </is>
      </c>
      <c r="D460" s="46" t="inlineStr">
        <is>
          <t>민재홍휴가</t>
        </is>
      </c>
      <c r="E460" s="46" t="inlineStr">
        <is>
          <t>정신배</t>
        </is>
      </c>
      <c r="F460" s="46" t="n"/>
      <c r="G460" s="50" t="n"/>
      <c r="H460" s="51" t="n"/>
      <c r="I460" s="46" t="n"/>
      <c r="K460" s="46" t="n">
        <v>459</v>
      </c>
      <c r="L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1">
      <c r="A461" s="229" t="n">
        <v>45701</v>
      </c>
      <c r="B461" s="46" t="inlineStr">
        <is>
          <t>사용전검사</t>
        </is>
      </c>
      <c r="C461" s="46" t="inlineStr">
        <is>
          <t>부천지역</t>
        </is>
      </c>
      <c r="D461" s="46" t="n"/>
      <c r="E461" s="46" t="inlineStr">
        <is>
          <t>이덕기</t>
        </is>
      </c>
      <c r="F461" s="46" t="n"/>
      <c r="G461" s="50" t="n"/>
      <c r="H461" s="51" t="n"/>
      <c r="I461" s="46" t="n"/>
      <c r="K461" s="46" t="n">
        <v>460</v>
      </c>
      <c r="L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2">
      <c r="A462" s="229" t="n">
        <v>45701</v>
      </c>
      <c r="B462" s="46" t="inlineStr">
        <is>
          <t>사용전검사</t>
        </is>
      </c>
      <c r="C462" s="46" t="inlineStr">
        <is>
          <t>부천지역</t>
        </is>
      </c>
      <c r="D462" s="46" t="n"/>
      <c r="E462" s="46" t="inlineStr">
        <is>
          <t>송낙명</t>
        </is>
      </c>
      <c r="F462" s="46" t="n"/>
      <c r="G462" s="50" t="n"/>
      <c r="H462" s="51" t="n"/>
      <c r="I462" s="46" t="n"/>
      <c r="K462" s="46" t="n">
        <v>461</v>
      </c>
      <c r="L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3">
      <c r="A463" s="229" t="n">
        <v>45701</v>
      </c>
      <c r="B463" s="46" t="inlineStr">
        <is>
          <t>사용전검사</t>
        </is>
      </c>
      <c r="C463" s="46" t="inlineStr">
        <is>
          <t>김포지역</t>
        </is>
      </c>
      <c r="D463" s="46" t="inlineStr">
        <is>
          <t>천연목재</t>
        </is>
      </c>
      <c r="E463" s="46" t="n">
        <v>489</v>
      </c>
      <c r="F463" s="46" t="inlineStr">
        <is>
          <t>갈산리</t>
        </is>
      </c>
      <c r="G463" s="50" t="n"/>
      <c r="H463" s="51" t="n"/>
      <c r="I463" s="46" t="inlineStr">
        <is>
          <t>송두기</t>
        </is>
      </c>
      <c r="K463" s="46" t="n">
        <v>462</v>
      </c>
      <c r="L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4">
      <c r="A464" s="229" t="n">
        <v>45701</v>
      </c>
      <c r="B464" s="46" t="inlineStr">
        <is>
          <t>사용전검사</t>
        </is>
      </c>
      <c r="C464" s="46" t="inlineStr">
        <is>
          <t>김포지역</t>
        </is>
      </c>
      <c r="D464" s="46" t="inlineStr">
        <is>
          <t>롯데건설</t>
        </is>
      </c>
      <c r="E464" s="46" t="n">
        <v>7</v>
      </c>
      <c r="F464" s="46" t="inlineStr">
        <is>
          <t>풍무동</t>
        </is>
      </c>
      <c r="G464" s="50" t="n"/>
      <c r="H464" s="51" t="n"/>
      <c r="I464" s="46" t="inlineStr">
        <is>
          <t>허창수</t>
        </is>
      </c>
      <c r="K464" s="46" t="n">
        <v>463</v>
      </c>
      <c r="L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5">
      <c r="A465" s="229" t="n">
        <v>45701</v>
      </c>
      <c r="B465" s="46" t="inlineStr">
        <is>
          <t>사용전검사</t>
        </is>
      </c>
      <c r="C465" s="46" t="inlineStr">
        <is>
          <t>김포지역</t>
        </is>
      </c>
      <c r="D465" s="46" t="inlineStr">
        <is>
          <t>송마1호</t>
        </is>
      </c>
      <c r="E465" s="46" t="n">
        <v>89</v>
      </c>
      <c r="F465" s="46" t="inlineStr">
        <is>
          <t>송마리</t>
        </is>
      </c>
      <c r="G465" s="50" t="n"/>
      <c r="H465" s="51" t="n"/>
      <c r="I465" s="46" t="inlineStr">
        <is>
          <t>허창수</t>
        </is>
      </c>
      <c r="K465" s="46" t="n">
        <v>464</v>
      </c>
      <c r="L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6">
      <c r="A466" s="229" t="n">
        <v>45701</v>
      </c>
      <c r="B466" s="46" t="inlineStr">
        <is>
          <t>사용전검사</t>
        </is>
      </c>
      <c r="C466" s="46" t="inlineStr">
        <is>
          <t>김포지역</t>
        </is>
      </c>
      <c r="D466" s="46" t="inlineStr">
        <is>
          <t>송마2호</t>
        </is>
      </c>
      <c r="E466" s="46" t="n">
        <v>90</v>
      </c>
      <c r="F466" s="46" t="inlineStr">
        <is>
          <t>송마리</t>
        </is>
      </c>
      <c r="G466" s="50" t="n"/>
      <c r="H466" s="51" t="n"/>
      <c r="I466" s="46" t="inlineStr">
        <is>
          <t>허창수</t>
        </is>
      </c>
      <c r="K466" s="46" t="n">
        <v>465</v>
      </c>
      <c r="L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7">
      <c r="A467" s="229" t="n">
        <v>45701</v>
      </c>
      <c r="B467" s="46" t="inlineStr">
        <is>
          <t>사용전검사</t>
        </is>
      </c>
      <c r="C467" s="46" t="inlineStr">
        <is>
          <t>김포지역</t>
        </is>
      </c>
      <c r="D467" s="46" t="inlineStr">
        <is>
          <t>수공예산업</t>
        </is>
      </c>
      <c r="E467" s="46" t="n">
        <v>59</v>
      </c>
      <c r="F467" s="46" t="inlineStr">
        <is>
          <t>상마리</t>
        </is>
      </c>
      <c r="G467" s="50" t="n"/>
      <c r="H467" s="51" t="n"/>
      <c r="I467" s="46" t="inlineStr">
        <is>
          <t>한태희</t>
        </is>
      </c>
      <c r="K467" s="46" t="n">
        <v>466</v>
      </c>
      <c r="L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8">
      <c r="A468" s="229" t="n">
        <v>45702</v>
      </c>
      <c r="B468" s="46" t="inlineStr">
        <is>
          <t>정기검사</t>
        </is>
      </c>
      <c r="C468" s="46" t="inlineStr">
        <is>
          <t>김포지역</t>
        </is>
      </c>
      <c r="D468" s="46" t="inlineStr">
        <is>
          <t>준영</t>
        </is>
      </c>
      <c r="E468" s="46" t="n">
        <v>3500</v>
      </c>
      <c r="F468" s="46" t="inlineStr">
        <is>
          <t>귀전리</t>
        </is>
      </c>
      <c r="G468" s="50" t="n">
        <v>0.375</v>
      </c>
      <c r="H468" s="51" t="n">
        <v>1653740</v>
      </c>
      <c r="I468" s="46" t="inlineStr">
        <is>
          <t>이덕기</t>
        </is>
      </c>
      <c r="K468" s="46" t="n">
        <v>467</v>
      </c>
      <c r="L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9">
      <c r="A469" s="229" t="n">
        <v>45702</v>
      </c>
      <c r="B469" s="46" t="inlineStr">
        <is>
          <t>메모</t>
        </is>
      </c>
      <c r="C469" s="46" t="inlineStr">
        <is>
          <t>부천지역</t>
        </is>
      </c>
      <c r="D469" s="46" t="inlineStr">
        <is>
          <t>당효진휴가</t>
        </is>
      </c>
      <c r="E469" s="46" t="n"/>
      <c r="F469" s="46" t="n"/>
      <c r="G469" s="50" t="n"/>
      <c r="H469" s="51" t="n"/>
      <c r="I469" s="46" t="n"/>
      <c r="K469" s="46" t="n">
        <v>468</v>
      </c>
      <c r="L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0">
      <c r="A470" s="229" t="n">
        <v>45702</v>
      </c>
      <c r="B470" s="46" t="inlineStr">
        <is>
          <t>메모</t>
        </is>
      </c>
      <c r="C470" s="46" t="inlineStr">
        <is>
          <t>부천지역</t>
        </is>
      </c>
      <c r="D470" s="46" t="inlineStr">
        <is>
          <t>민재홍휴가</t>
        </is>
      </c>
      <c r="E470" s="46" t="n"/>
      <c r="F470" s="46" t="n"/>
      <c r="G470" s="50" t="n"/>
      <c r="H470" s="51" t="n"/>
      <c r="I470" s="46" t="n"/>
      <c r="K470" s="46" t="n">
        <v>469</v>
      </c>
      <c r="L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1">
      <c r="A471" s="229" t="n">
        <v>45702</v>
      </c>
      <c r="B471" s="46" t="inlineStr">
        <is>
          <t>사용전검사</t>
        </is>
      </c>
      <c r="C471" s="46" t="inlineStr">
        <is>
          <t>김포지역</t>
        </is>
      </c>
      <c r="D471" s="46" t="inlineStr">
        <is>
          <t>경신금속</t>
        </is>
      </c>
      <c r="E471" s="46" t="n">
        <v>950</v>
      </c>
      <c r="F471" s="46" t="inlineStr">
        <is>
          <t>학운리</t>
        </is>
      </c>
      <c r="G471" s="50" t="n"/>
      <c r="H471" s="51" t="n"/>
      <c r="I471" s="46" t="inlineStr">
        <is>
          <t>우승택</t>
        </is>
      </c>
      <c r="K471" s="46" t="n">
        <v>470</v>
      </c>
      <c r="L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2">
      <c r="A472" s="229" t="n">
        <v>45703</v>
      </c>
      <c r="B472" s="46" t="inlineStr">
        <is>
          <t>메모</t>
        </is>
      </c>
      <c r="C472" s="46" t="inlineStr">
        <is>
          <t>부천지역</t>
        </is>
      </c>
      <c r="D472" s="46" t="inlineStr">
        <is>
          <t>당효진휴가</t>
        </is>
      </c>
      <c r="E472" s="46" t="n"/>
      <c r="F472" s="46" t="n"/>
      <c r="G472" s="50" t="n"/>
      <c r="H472" s="51" t="n"/>
      <c r="I472" s="46" t="n"/>
      <c r="K472" s="46" t="n">
        <v>471</v>
      </c>
      <c r="L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3">
      <c r="A473" s="229" t="n">
        <v>45703</v>
      </c>
      <c r="B473" s="46" t="inlineStr">
        <is>
          <t>메모</t>
        </is>
      </c>
      <c r="C473" s="46" t="inlineStr">
        <is>
          <t>부천지역</t>
        </is>
      </c>
      <c r="D473" s="46" t="inlineStr">
        <is>
          <t>민재홍휴가</t>
        </is>
      </c>
      <c r="E473" s="46" t="n"/>
      <c r="F473" s="46" t="n"/>
      <c r="G473" s="50" t="n"/>
      <c r="H473" s="51" t="n"/>
      <c r="I473" s="46" t="n"/>
      <c r="K473" s="46" t="n">
        <v>472</v>
      </c>
      <c r="L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4">
      <c r="A474" s="229" t="n">
        <v>45704</v>
      </c>
      <c r="B474" s="46" t="inlineStr">
        <is>
          <t>메모</t>
        </is>
      </c>
      <c r="C474" s="46" t="inlineStr">
        <is>
          <t>부천지역</t>
        </is>
      </c>
      <c r="D474" s="46" t="inlineStr">
        <is>
          <t>설연휴</t>
        </is>
      </c>
      <c r="E474" s="46" t="n"/>
      <c r="F474" s="46" t="n"/>
      <c r="G474" s="50" t="n"/>
      <c r="H474" s="51" t="n"/>
      <c r="I474" s="46" t="n"/>
      <c r="K474" s="46" t="n">
        <v>473</v>
      </c>
      <c r="L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5">
      <c r="A475" s="229" t="n">
        <v>45705</v>
      </c>
      <c r="B475" s="46" t="inlineStr">
        <is>
          <t>메모</t>
        </is>
      </c>
      <c r="C475" s="46" t="inlineStr">
        <is>
          <t>부천지역</t>
        </is>
      </c>
      <c r="D475" s="46" t="inlineStr">
        <is>
          <t>설연휴</t>
        </is>
      </c>
      <c r="E475" s="46" t="n"/>
      <c r="F475" s="46" t="n"/>
      <c r="G475" s="50" t="n"/>
      <c r="H475" s="51" t="n"/>
      <c r="I475" s="46" t="n"/>
      <c r="K475" s="46" t="n">
        <v>474</v>
      </c>
      <c r="L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6">
      <c r="A476" s="229" t="n">
        <v>45706</v>
      </c>
      <c r="B476" s="46" t="inlineStr">
        <is>
          <t>메모</t>
        </is>
      </c>
      <c r="C476" s="46" t="inlineStr">
        <is>
          <t>부천지역</t>
        </is>
      </c>
      <c r="D476" s="46" t="inlineStr">
        <is>
          <t>설연휴</t>
        </is>
      </c>
      <c r="E476" s="46" t="n"/>
      <c r="F476" s="46" t="n"/>
      <c r="G476" s="50" t="n"/>
      <c r="H476" s="51" t="n"/>
      <c r="I476" s="46" t="n"/>
      <c r="K476" s="46" t="n">
        <v>475</v>
      </c>
      <c r="L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7">
      <c r="A477" s="229" t="n">
        <v>45707</v>
      </c>
      <c r="B477" s="46" t="inlineStr">
        <is>
          <t>정기검사</t>
        </is>
      </c>
      <c r="C477" s="46" t="inlineStr">
        <is>
          <t>김포지역</t>
        </is>
      </c>
      <c r="D477" s="46" t="inlineStr">
        <is>
          <t>굿닥터재활요양원</t>
        </is>
      </c>
      <c r="E477" s="46" t="n">
        <v>16</v>
      </c>
      <c r="F477" s="46" t="inlineStr">
        <is>
          <t>마송리</t>
        </is>
      </c>
      <c r="G477" s="50" t="n">
        <v>0.4583333333333333</v>
      </c>
      <c r="H477" s="51" t="n">
        <v>93390</v>
      </c>
      <c r="I477" s="46" t="inlineStr">
        <is>
          <t>한태희</t>
        </is>
      </c>
      <c r="K477" s="46" t="n">
        <v>476</v>
      </c>
      <c r="L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8">
      <c r="A478" s="229" t="n">
        <v>45707</v>
      </c>
      <c r="B478" s="46" t="inlineStr">
        <is>
          <t>정기검사</t>
        </is>
      </c>
      <c r="C478" s="46" t="inlineStr">
        <is>
          <t>김포지역</t>
        </is>
      </c>
      <c r="D478" s="46" t="inlineStr">
        <is>
          <t>동천교역상</t>
        </is>
      </c>
      <c r="E478" s="46" t="n">
        <v>290</v>
      </c>
      <c r="F478" s="46" t="inlineStr">
        <is>
          <t>송마리</t>
        </is>
      </c>
      <c r="G478" s="50" t="n">
        <v>0.3958333333333333</v>
      </c>
      <c r="H478" s="51" t="n">
        <v>515130</v>
      </c>
      <c r="I478" s="46" t="inlineStr">
        <is>
          <t>이종석</t>
        </is>
      </c>
      <c r="K478" s="46" t="n">
        <v>477</v>
      </c>
      <c r="L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9">
      <c r="A479" s="229" t="n">
        <v>45707</v>
      </c>
      <c r="B479" s="46" t="inlineStr">
        <is>
          <t>정기검사</t>
        </is>
      </c>
      <c r="C479" s="46" t="inlineStr">
        <is>
          <t>김포지역</t>
        </is>
      </c>
      <c r="D479" s="46" t="inlineStr">
        <is>
          <t>에이치디에스씨</t>
        </is>
      </c>
      <c r="E479" s="46" t="n">
        <v>5</v>
      </c>
      <c r="F479" s="46" t="inlineStr">
        <is>
          <t>풍무동</t>
        </is>
      </c>
      <c r="G479" s="50" t="n">
        <v>0.4166666666666667</v>
      </c>
      <c r="H479" s="51" t="n">
        <v>89870</v>
      </c>
      <c r="I479" s="46" t="inlineStr">
        <is>
          <t>정신배</t>
        </is>
      </c>
      <c r="K479" s="46" t="n">
        <v>478</v>
      </c>
      <c r="L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0">
      <c r="A480" s="229" t="n">
        <v>45707</v>
      </c>
      <c r="B480" s="46" t="inlineStr">
        <is>
          <t>사용전검사</t>
        </is>
      </c>
      <c r="C480" s="46" t="inlineStr">
        <is>
          <t>부천지역</t>
        </is>
      </c>
      <c r="D480" s="46" t="inlineStr">
        <is>
          <t>순천양대</t>
        </is>
      </c>
      <c r="E480" s="46" t="n"/>
      <c r="F480" s="46" t="inlineStr">
        <is>
          <t>중동</t>
        </is>
      </c>
      <c r="G480" s="50" t="n"/>
      <c r="H480" s="51" t="n"/>
      <c r="I480" s="46" t="n"/>
      <c r="K480" s="46" t="n">
        <v>479</v>
      </c>
      <c r="L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1">
      <c r="A481" s="229" t="n">
        <v>45707</v>
      </c>
      <c r="B481" s="46" t="inlineStr">
        <is>
          <t>사용전검사</t>
        </is>
      </c>
      <c r="C481" s="46" t="inlineStr">
        <is>
          <t>부천지역</t>
        </is>
      </c>
      <c r="D481" s="46" t="inlineStr">
        <is>
          <t>주영광교회</t>
        </is>
      </c>
      <c r="E481" s="46" t="n">
        <v>8</v>
      </c>
      <c r="F481" s="46" t="inlineStr">
        <is>
          <t>오정동</t>
        </is>
      </c>
      <c r="G481" s="50" t="n"/>
      <c r="H481" s="51" t="n"/>
      <c r="I481" s="46" t="inlineStr">
        <is>
          <t>우승택</t>
        </is>
      </c>
      <c r="K481" s="46" t="n">
        <v>480</v>
      </c>
      <c r="L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2">
      <c r="A482" s="229" t="n">
        <v>45707</v>
      </c>
      <c r="B482" s="46" t="inlineStr">
        <is>
          <t>사용전검사</t>
        </is>
      </c>
      <c r="C482" s="46" t="inlineStr">
        <is>
          <t>부천지역</t>
        </is>
      </c>
      <c r="D482" s="46" t="inlineStr">
        <is>
          <t>노모어피자부천원종</t>
        </is>
      </c>
      <c r="E482" s="46" t="n">
        <v>25</v>
      </c>
      <c r="F482" s="46" t="inlineStr">
        <is>
          <t>원종동</t>
        </is>
      </c>
      <c r="G482" s="50" t="n"/>
      <c r="H482" s="51" t="n"/>
      <c r="I482" s="46" t="inlineStr">
        <is>
          <t>송두기</t>
        </is>
      </c>
      <c r="K482" s="46" t="n">
        <v>481</v>
      </c>
      <c r="L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3">
      <c r="A483" s="229" t="n">
        <v>45707</v>
      </c>
      <c r="B483" s="46" t="inlineStr">
        <is>
          <t>메모</t>
        </is>
      </c>
      <c r="C483" s="46" t="inlineStr">
        <is>
          <t>부천지역</t>
        </is>
      </c>
      <c r="D483" s="46" t="inlineStr">
        <is>
          <t>송낙명휴가</t>
        </is>
      </c>
      <c r="E483" s="46" t="n"/>
      <c r="F483" s="46" t="n"/>
      <c r="G483" s="50" t="n"/>
      <c r="H483" s="51" t="n"/>
      <c r="I483" s="46" t="n"/>
      <c r="K483" s="46" t="n">
        <v>482</v>
      </c>
      <c r="L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4">
      <c r="A484" s="229" t="n">
        <v>45707</v>
      </c>
      <c r="B484" s="46" t="inlineStr">
        <is>
          <t>메모</t>
        </is>
      </c>
      <c r="C484" s="46" t="inlineStr">
        <is>
          <t>부천지역</t>
        </is>
      </c>
      <c r="D484" s="46" t="inlineStr">
        <is>
          <t>서수형휴가</t>
        </is>
      </c>
      <c r="E484" s="46" t="n"/>
      <c r="F484" s="46" t="n"/>
      <c r="G484" s="50" t="n"/>
      <c r="H484" s="51" t="n"/>
      <c r="I484" s="46" t="n"/>
      <c r="K484" s="46" t="n">
        <v>483</v>
      </c>
      <c r="L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5">
      <c r="A485" s="229" t="n">
        <v>45707</v>
      </c>
      <c r="B485" s="46" t="inlineStr">
        <is>
          <t>메모</t>
        </is>
      </c>
      <c r="C485" s="46" t="inlineStr">
        <is>
          <t>부천지역</t>
        </is>
      </c>
      <c r="D485" s="46" t="inlineStr">
        <is>
          <t>허창수휴가</t>
        </is>
      </c>
      <c r="E485" s="46" t="n"/>
      <c r="F485" s="46" t="n"/>
      <c r="G485" s="50" t="n"/>
      <c r="H485" s="51" t="n"/>
      <c r="I485" s="46" t="n"/>
      <c r="K485" s="46" t="n">
        <v>484</v>
      </c>
      <c r="L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6">
      <c r="A486" s="229" t="n">
        <v>45707</v>
      </c>
      <c r="B486" s="46" t="inlineStr">
        <is>
          <t>메모</t>
        </is>
      </c>
      <c r="C486" s="46" t="inlineStr">
        <is>
          <t>부천지역</t>
        </is>
      </c>
      <c r="D486" s="46" t="inlineStr">
        <is>
          <t>김영권휴가</t>
        </is>
      </c>
      <c r="E486" s="46" t="n"/>
      <c r="F486" s="46" t="n"/>
      <c r="G486" s="50" t="n"/>
      <c r="H486" s="51" t="n"/>
      <c r="I486" s="46" t="n"/>
      <c r="K486" s="46" t="n">
        <v>485</v>
      </c>
      <c r="L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7">
      <c r="A487" s="229" t="n">
        <v>45707</v>
      </c>
      <c r="B487" s="46" t="inlineStr">
        <is>
          <t>메모</t>
        </is>
      </c>
      <c r="C487" s="46" t="inlineStr">
        <is>
          <t>부천지역</t>
        </is>
      </c>
      <c r="D487" s="46" t="inlineStr">
        <is>
          <t>민재홍휴가</t>
        </is>
      </c>
      <c r="E487" s="46" t="n"/>
      <c r="F487" s="46" t="n"/>
      <c r="G487" s="50" t="n"/>
      <c r="H487" s="51" t="n"/>
      <c r="I487" s="46" t="n"/>
      <c r="K487" s="46" t="n">
        <v>486</v>
      </c>
      <c r="L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8">
      <c r="A488" s="229" t="n">
        <v>45707</v>
      </c>
      <c r="B488" s="46" t="inlineStr">
        <is>
          <t>사용전검사</t>
        </is>
      </c>
      <c r="C488" s="46" t="inlineStr">
        <is>
          <t>김포지역</t>
        </is>
      </c>
      <c r="D488" s="46" t="inlineStr">
        <is>
          <t>모헷</t>
        </is>
      </c>
      <c r="E488" s="46" t="n">
        <v>52</v>
      </c>
      <c r="F488" s="46" t="inlineStr">
        <is>
          <t>유현리</t>
        </is>
      </c>
      <c r="G488" s="50" t="n"/>
      <c r="H488" s="51" t="n"/>
      <c r="I488" s="46" t="inlineStr">
        <is>
          <t>이덕기</t>
        </is>
      </c>
      <c r="K488" s="46" t="n">
        <v>487</v>
      </c>
      <c r="L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9">
      <c r="A489" s="229" t="n">
        <v>45707</v>
      </c>
      <c r="B489" s="46" t="inlineStr">
        <is>
          <t>사용전검사</t>
        </is>
      </c>
      <c r="C489" s="46" t="inlineStr">
        <is>
          <t>김포지역</t>
        </is>
      </c>
      <c r="D489" s="46" t="inlineStr">
        <is>
          <t>모헷</t>
        </is>
      </c>
      <c r="E489" s="46" t="n">
        <v>53</v>
      </c>
      <c r="F489" s="46" t="inlineStr">
        <is>
          <t>유현리</t>
        </is>
      </c>
      <c r="G489" s="50" t="n"/>
      <c r="H489" s="51" t="n"/>
      <c r="I489" s="46" t="inlineStr">
        <is>
          <t>정성관</t>
        </is>
      </c>
      <c r="K489" s="46" t="n">
        <v>488</v>
      </c>
      <c r="L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0">
      <c r="A490" s="229" t="n">
        <v>45707</v>
      </c>
      <c r="B490" s="46" t="inlineStr">
        <is>
          <t>사용전검사</t>
        </is>
      </c>
      <c r="C490" s="46" t="inlineStr">
        <is>
          <t>김포지역</t>
        </is>
      </c>
      <c r="D490" s="46" t="inlineStr">
        <is>
          <t>갈산리태양광</t>
        </is>
      </c>
      <c r="E490" s="46" t="n"/>
      <c r="F490" s="46" t="n"/>
      <c r="G490" s="50" t="n"/>
      <c r="H490" s="51" t="n"/>
      <c r="I490" s="46" t="inlineStr">
        <is>
          <t>정신배</t>
        </is>
      </c>
      <c r="K490" s="46" t="n">
        <v>489</v>
      </c>
      <c r="L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1">
      <c r="A491" s="229" t="n">
        <v>45708</v>
      </c>
      <c r="B491" s="46" t="inlineStr">
        <is>
          <t>정기검사</t>
        </is>
      </c>
      <c r="C491" s="46" t="inlineStr">
        <is>
          <t>부천지역</t>
        </is>
      </c>
      <c r="D491" s="46" t="inlineStr">
        <is>
          <t>대원냉동</t>
        </is>
      </c>
      <c r="E491" s="46" t="n">
        <v>939</v>
      </c>
      <c r="F491" s="46" t="inlineStr">
        <is>
          <t>내동</t>
        </is>
      </c>
      <c r="G491" s="50" t="n">
        <v>0.4375</v>
      </c>
      <c r="H491" s="51" t="n">
        <v>885720</v>
      </c>
      <c r="I491" s="46" t="inlineStr">
        <is>
          <t>이종석</t>
        </is>
      </c>
      <c r="K491" s="46" t="n">
        <v>490</v>
      </c>
      <c r="L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2">
      <c r="A492" s="229" t="n">
        <v>45708</v>
      </c>
      <c r="B492" s="46" t="inlineStr">
        <is>
          <t>정기검사</t>
        </is>
      </c>
      <c r="C492" s="46" t="inlineStr">
        <is>
          <t>부천지역</t>
        </is>
      </c>
      <c r="D492" s="46" t="inlineStr">
        <is>
          <t>우진공업사</t>
        </is>
      </c>
      <c r="E492" s="46" t="n">
        <v>130</v>
      </c>
      <c r="F492" s="46" t="inlineStr">
        <is>
          <t>도당동</t>
        </is>
      </c>
      <c r="G492" s="50" t="n">
        <v>0.5</v>
      </c>
      <c r="H492" s="51" t="n">
        <v>411180</v>
      </c>
      <c r="I492" s="46" t="inlineStr">
        <is>
          <t>한태희</t>
        </is>
      </c>
      <c r="K492" s="46" t="n">
        <v>491</v>
      </c>
      <c r="L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3">
      <c r="A493" s="229" t="n">
        <v>45708</v>
      </c>
      <c r="B493" s="46" t="inlineStr">
        <is>
          <t>정기검사</t>
        </is>
      </c>
      <c r="C493" s="46" t="inlineStr">
        <is>
          <t>부천지역</t>
        </is>
      </c>
      <c r="D493" s="46" t="inlineStr">
        <is>
          <t>코오롱모빌리티</t>
        </is>
      </c>
      <c r="E493" s="46" t="n">
        <v>250</v>
      </c>
      <c r="F493" s="46" t="inlineStr">
        <is>
          <t>소사동</t>
        </is>
      </c>
      <c r="G493" s="50" t="n">
        <v>0.3958333333333333</v>
      </c>
      <c r="H493" s="51" t="n">
        <v>489170</v>
      </c>
      <c r="I493" s="46" t="inlineStr">
        <is>
          <t>송낙명</t>
        </is>
      </c>
      <c r="K493" s="46" t="n">
        <v>492</v>
      </c>
      <c r="L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4">
      <c r="A494" s="229" t="n">
        <v>45708</v>
      </c>
      <c r="B494" s="46" t="inlineStr">
        <is>
          <t>정기검사</t>
        </is>
      </c>
      <c r="C494" s="46" t="inlineStr">
        <is>
          <t>김포지역</t>
        </is>
      </c>
      <c r="D494" s="46" t="inlineStr">
        <is>
          <t>풍경마을래미안</t>
        </is>
      </c>
      <c r="E494" s="46" t="n">
        <v>10</v>
      </c>
      <c r="F494" s="46" t="inlineStr">
        <is>
          <t>운양동</t>
        </is>
      </c>
      <c r="G494" s="50" t="n">
        <v>0.3958333333333333</v>
      </c>
      <c r="H494" s="51" t="n">
        <v>91410</v>
      </c>
      <c r="I494" s="46" t="inlineStr">
        <is>
          <t>서수형</t>
        </is>
      </c>
      <c r="K494" s="46" t="n">
        <v>493</v>
      </c>
      <c r="L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5">
      <c r="A495" s="229" t="n">
        <v>45708</v>
      </c>
      <c r="B495" s="46" t="inlineStr">
        <is>
          <t>정기검사</t>
        </is>
      </c>
      <c r="C495" s="46" t="inlineStr">
        <is>
          <t>김포지역</t>
        </is>
      </c>
      <c r="D495" s="46" t="inlineStr">
        <is>
          <t>다산</t>
        </is>
      </c>
      <c r="E495" s="46" t="n">
        <v>200</v>
      </c>
      <c r="F495" s="46" t="inlineStr">
        <is>
          <t>갈산리</t>
        </is>
      </c>
      <c r="G495" s="50" t="n">
        <v>0.4791666666666667</v>
      </c>
      <c r="H495" s="51" t="n">
        <v>456720</v>
      </c>
      <c r="I495" s="46" t="inlineStr">
        <is>
          <t>이덕기</t>
        </is>
      </c>
      <c r="K495" s="46" t="n">
        <v>494</v>
      </c>
      <c r="L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6">
      <c r="A496" s="229" t="n">
        <v>45708</v>
      </c>
      <c r="B496" s="46" t="inlineStr">
        <is>
          <t>정기검사</t>
        </is>
      </c>
      <c r="C496" s="46" t="inlineStr">
        <is>
          <t>김포지역</t>
        </is>
      </c>
      <c r="D496" s="46" t="inlineStr">
        <is>
          <t>마산동행정복지</t>
        </is>
      </c>
      <c r="E496" s="46" t="n">
        <v>37</v>
      </c>
      <c r="F496" s="46" t="inlineStr">
        <is>
          <t>마산동</t>
        </is>
      </c>
      <c r="G496" s="50" t="n">
        <v>0.4166666666666667</v>
      </c>
      <c r="H496" s="51" t="n">
        <v>190520</v>
      </c>
      <c r="I496" s="46" t="inlineStr">
        <is>
          <t>송두기</t>
        </is>
      </c>
      <c r="K496" s="46" t="n">
        <v>495</v>
      </c>
      <c r="L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7">
      <c r="A497" s="229" t="n">
        <v>45708</v>
      </c>
      <c r="B497" s="46" t="inlineStr">
        <is>
          <t>정기검사</t>
        </is>
      </c>
      <c r="C497" s="46" t="inlineStr">
        <is>
          <t>김포지역</t>
        </is>
      </c>
      <c r="D497" s="46" t="inlineStr">
        <is>
          <t>선원산업</t>
        </is>
      </c>
      <c r="E497" s="46" t="n">
        <v>290</v>
      </c>
      <c r="F497" s="46" t="inlineStr">
        <is>
          <t>초원지리</t>
        </is>
      </c>
      <c r="G497" s="50" t="n">
        <v>0.5416666666666666</v>
      </c>
      <c r="H497" s="51" t="n">
        <v>515130</v>
      </c>
      <c r="I497" s="46" t="inlineStr">
        <is>
          <t>민경수</t>
        </is>
      </c>
      <c r="K497" s="46" t="n">
        <v>496</v>
      </c>
      <c r="L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8">
      <c r="A498" s="229" t="n">
        <v>45708</v>
      </c>
      <c r="B498" s="46" t="inlineStr">
        <is>
          <t>메모</t>
        </is>
      </c>
      <c r="C498" s="46" t="inlineStr">
        <is>
          <t>부천지역</t>
        </is>
      </c>
      <c r="D498" s="46" t="inlineStr">
        <is>
          <t>허창수휴가</t>
        </is>
      </c>
      <c r="E498" s="46" t="n"/>
      <c r="F498" s="46" t="n"/>
      <c r="G498" s="50" t="n"/>
      <c r="H498" s="51" t="n"/>
      <c r="I498" s="46" t="n"/>
      <c r="K498" s="46" t="n">
        <v>497</v>
      </c>
      <c r="L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9">
      <c r="A499" s="229" t="n">
        <v>45708</v>
      </c>
      <c r="B499" s="46" t="inlineStr">
        <is>
          <t>메모</t>
        </is>
      </c>
      <c r="C499" s="46" t="inlineStr">
        <is>
          <t>부천지역</t>
        </is>
      </c>
      <c r="D499" s="46" t="inlineStr">
        <is>
          <t>김영권휴가</t>
        </is>
      </c>
      <c r="E499" s="46" t="n"/>
      <c r="F499" s="46" t="n"/>
      <c r="G499" s="50" t="n"/>
      <c r="H499" s="51" t="n"/>
      <c r="I499" s="46" t="n"/>
      <c r="K499" s="46" t="n">
        <v>498</v>
      </c>
      <c r="L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0">
      <c r="A500" s="229" t="n">
        <v>45708</v>
      </c>
      <c r="B500" s="46" t="inlineStr">
        <is>
          <t>메모</t>
        </is>
      </c>
      <c r="C500" s="46" t="inlineStr">
        <is>
          <t>부천지역</t>
        </is>
      </c>
      <c r="D500" s="46" t="inlineStr">
        <is>
          <t>민재홍휴가</t>
        </is>
      </c>
      <c r="E500" s="46" t="n"/>
      <c r="F500" s="46" t="n"/>
      <c r="G500" s="50" t="n"/>
      <c r="H500" s="51" t="n"/>
      <c r="I500" s="46" t="n"/>
      <c r="K500" s="46" t="n">
        <v>499</v>
      </c>
      <c r="L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1">
      <c r="A501" s="229" t="n">
        <v>45708</v>
      </c>
      <c r="B501" s="46" t="inlineStr">
        <is>
          <t>메모</t>
        </is>
      </c>
      <c r="C501" s="46" t="inlineStr">
        <is>
          <t>부천지역</t>
        </is>
      </c>
      <c r="D501" s="46" t="inlineStr">
        <is>
          <t>당효진휴가</t>
        </is>
      </c>
      <c r="E501" s="46" t="n"/>
      <c r="F501" s="46" t="n"/>
      <c r="G501" s="50" t="n"/>
      <c r="H501" s="51" t="n"/>
      <c r="I501" s="46" t="n"/>
      <c r="K501" s="46" t="n">
        <v>500</v>
      </c>
      <c r="L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2">
      <c r="A502" s="229" t="n">
        <v>45708</v>
      </c>
      <c r="B502" s="46" t="inlineStr">
        <is>
          <t>사용전검사</t>
        </is>
      </c>
      <c r="C502" s="46" t="inlineStr">
        <is>
          <t>김포지역</t>
        </is>
      </c>
      <c r="D502" s="46" t="inlineStr">
        <is>
          <t>현대프리미어아울렛</t>
        </is>
      </c>
      <c r="E502" s="46" t="n">
        <v>860</v>
      </c>
      <c r="F502" s="46" t="inlineStr">
        <is>
          <t>고촌</t>
        </is>
      </c>
      <c r="G502" s="50" t="n"/>
      <c r="H502" s="51" t="n"/>
      <c r="I502" s="46" t="inlineStr">
        <is>
          <t>정신배</t>
        </is>
      </c>
      <c r="K502" s="46" t="n">
        <v>501</v>
      </c>
      <c r="L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3">
      <c r="A503" s="229" t="n">
        <v>45708</v>
      </c>
      <c r="B503" s="46" t="inlineStr">
        <is>
          <t>사용전검사</t>
        </is>
      </c>
      <c r="C503" s="46" t="inlineStr">
        <is>
          <t>김포지역</t>
        </is>
      </c>
      <c r="D503" s="46" t="inlineStr">
        <is>
          <t>보경이엠케이</t>
        </is>
      </c>
      <c r="E503" s="46" t="n">
        <v>950</v>
      </c>
      <c r="F503" s="46" t="inlineStr">
        <is>
          <t>석정리</t>
        </is>
      </c>
      <c r="G503" s="50" t="n"/>
      <c r="H503" s="51" t="n"/>
      <c r="I503" s="46" t="inlineStr">
        <is>
          <t>정성관</t>
        </is>
      </c>
      <c r="K503" s="46" t="n">
        <v>502</v>
      </c>
      <c r="L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4">
      <c r="A504" s="229" t="n">
        <v>45709</v>
      </c>
      <c r="B504" s="46" t="inlineStr">
        <is>
          <t>메모</t>
        </is>
      </c>
      <c r="C504" s="46" t="inlineStr">
        <is>
          <t>부천지역</t>
        </is>
      </c>
      <c r="D504" s="46" t="inlineStr">
        <is>
          <t>당효진휴가</t>
        </is>
      </c>
      <c r="E504" s="46" t="n"/>
      <c r="F504" s="46" t="n"/>
      <c r="G504" s="50" t="n"/>
      <c r="H504" s="51" t="n"/>
      <c r="I504" s="46" t="n"/>
      <c r="K504" s="46" t="n">
        <v>503</v>
      </c>
      <c r="L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5">
      <c r="A505" s="229" t="n">
        <v>45709</v>
      </c>
      <c r="B505" s="46" t="inlineStr">
        <is>
          <t>메모</t>
        </is>
      </c>
      <c r="C505" s="46" t="inlineStr">
        <is>
          <t>부천지역</t>
        </is>
      </c>
      <c r="D505" s="46" t="inlineStr">
        <is>
          <t>김영권휴가</t>
        </is>
      </c>
      <c r="E505" s="46" t="n"/>
      <c r="F505" s="46" t="n"/>
      <c r="G505" s="50" t="n"/>
      <c r="H505" s="51" t="n"/>
      <c r="I505" s="46" t="n"/>
      <c r="K505" s="46" t="n">
        <v>504</v>
      </c>
      <c r="L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6">
      <c r="A506" s="229" t="n">
        <v>45709</v>
      </c>
      <c r="B506" s="46" t="inlineStr">
        <is>
          <t>메모</t>
        </is>
      </c>
      <c r="C506" s="46" t="inlineStr">
        <is>
          <t>부천지역</t>
        </is>
      </c>
      <c r="D506" s="46" t="inlineStr">
        <is>
          <t>민재홍휴가</t>
        </is>
      </c>
      <c r="E506" s="46" t="n"/>
      <c r="F506" s="46" t="n"/>
      <c r="G506" s="50" t="n"/>
      <c r="H506" s="51" t="n"/>
      <c r="I506" s="46" t="n"/>
      <c r="K506" s="46" t="n">
        <v>505</v>
      </c>
      <c r="L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7">
      <c r="A507" s="229" t="n">
        <v>45710</v>
      </c>
      <c r="B507" s="46" t="inlineStr">
        <is>
          <t>정기검사</t>
        </is>
      </c>
      <c r="C507" s="46" t="inlineStr">
        <is>
          <t>부천지역</t>
        </is>
      </c>
      <c r="D507" s="46" t="inlineStr">
        <is>
          <t>와이제니스파크</t>
        </is>
      </c>
      <c r="E507" s="46" t="inlineStr">
        <is>
          <t>1500/155</t>
        </is>
      </c>
      <c r="F507" s="46" t="inlineStr">
        <is>
          <t>중동</t>
        </is>
      </c>
      <c r="G507" s="50" t="n">
        <v>0.3958333333333333</v>
      </c>
      <c r="H507" s="51" t="n">
        <v>1343760</v>
      </c>
      <c r="I507" s="46" t="inlineStr">
        <is>
          <t>허창수</t>
        </is>
      </c>
      <c r="K507" s="46" t="n">
        <v>506</v>
      </c>
      <c r="L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8">
      <c r="A508" s="229" t="n">
        <v>45710</v>
      </c>
      <c r="B508" s="46" t="inlineStr">
        <is>
          <t>정기검사</t>
        </is>
      </c>
      <c r="C508" s="46" t="inlineStr">
        <is>
          <t>부천지역</t>
        </is>
      </c>
      <c r="D508" s="46" t="inlineStr">
        <is>
          <t>부천중학교</t>
        </is>
      </c>
      <c r="E508" s="46" t="inlineStr">
        <is>
          <t>600/327</t>
        </is>
      </c>
      <c r="F508" s="46" t="inlineStr">
        <is>
          <t>중동</t>
        </is>
      </c>
      <c r="G508" s="50" t="n">
        <v>0.5833333333333334</v>
      </c>
      <c r="H508" s="51" t="n">
        <v>990880</v>
      </c>
      <c r="I508" s="46" t="inlineStr">
        <is>
          <t>김영권</t>
        </is>
      </c>
      <c r="K508" s="46" t="n">
        <v>507</v>
      </c>
      <c r="L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9">
      <c r="A509" s="229" t="n">
        <v>45710</v>
      </c>
      <c r="B509" s="46" t="inlineStr">
        <is>
          <t>사용전검사</t>
        </is>
      </c>
      <c r="C509" s="46" t="inlineStr">
        <is>
          <t>부천지역</t>
        </is>
      </c>
      <c r="D509" s="46" t="inlineStr">
        <is>
          <t>부천대소사</t>
        </is>
      </c>
      <c r="E509" s="46" t="n">
        <v>1750</v>
      </c>
      <c r="F509" s="46" t="inlineStr">
        <is>
          <t>소사동</t>
        </is>
      </c>
      <c r="G509" s="50" t="n"/>
      <c r="H509" s="51" t="n"/>
      <c r="I509" s="46" t="inlineStr">
        <is>
          <t>김영권</t>
        </is>
      </c>
      <c r="K509" s="46" t="n">
        <v>508</v>
      </c>
      <c r="L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0">
      <c r="A510" s="229" t="n">
        <v>45710</v>
      </c>
      <c r="B510" s="46" t="inlineStr">
        <is>
          <t>사용전검사</t>
        </is>
      </c>
      <c r="C510" s="46" t="inlineStr">
        <is>
          <t>부천지역</t>
        </is>
      </c>
      <c r="D510" s="46" t="inlineStr">
        <is>
          <t>순천향대</t>
        </is>
      </c>
      <c r="E510" s="46" t="n"/>
      <c r="F510" s="46" t="inlineStr">
        <is>
          <t>중동</t>
        </is>
      </c>
      <c r="G510" s="50" t="n"/>
      <c r="H510" s="51" t="n"/>
      <c r="I510" s="46" t="n"/>
      <c r="K510" s="46" t="n">
        <v>509</v>
      </c>
      <c r="L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1">
      <c r="A511" s="229" t="n">
        <v>45710</v>
      </c>
      <c r="B511" s="46" t="inlineStr">
        <is>
          <t>메모</t>
        </is>
      </c>
      <c r="C511" s="46" t="inlineStr">
        <is>
          <t>부천지역</t>
        </is>
      </c>
      <c r="D511" s="46" t="inlineStr">
        <is>
          <t>당효진휴가</t>
        </is>
      </c>
      <c r="E511" s="46" t="n"/>
      <c r="F511" s="46" t="n"/>
      <c r="G511" s="50" t="n"/>
      <c r="H511" s="51" t="n"/>
      <c r="I511" s="46" t="n"/>
      <c r="K511" s="46" t="n">
        <v>510</v>
      </c>
      <c r="L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2">
      <c r="A512" s="229" t="n">
        <v>45710</v>
      </c>
      <c r="B512" s="46" t="inlineStr">
        <is>
          <t>메모</t>
        </is>
      </c>
      <c r="C512" s="46" t="inlineStr">
        <is>
          <t>부천지역</t>
        </is>
      </c>
      <c r="D512" s="46" t="inlineStr">
        <is>
          <t>민재홍휴가</t>
        </is>
      </c>
      <c r="E512" s="46" t="n"/>
      <c r="F512" s="46" t="n"/>
      <c r="G512" s="50" t="n"/>
      <c r="H512" s="51" t="n"/>
      <c r="I512" s="46" t="n"/>
      <c r="K512" s="46" t="n">
        <v>511</v>
      </c>
      <c r="L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3">
      <c r="A513" s="229" t="n">
        <v>45711</v>
      </c>
      <c r="B513" s="46" t="inlineStr">
        <is>
          <t>정기검사</t>
        </is>
      </c>
      <c r="C513" s="46" t="inlineStr">
        <is>
          <t>부천지역</t>
        </is>
      </c>
      <c r="D513" s="46" t="inlineStr">
        <is>
          <t>케이엘엔</t>
        </is>
      </c>
      <c r="E513" s="46" t="n">
        <v>364</v>
      </c>
      <c r="F513" s="46" t="inlineStr">
        <is>
          <t>심곡동</t>
        </is>
      </c>
      <c r="G513" s="50" t="n">
        <v>0.4583333333333333</v>
      </c>
      <c r="H513" s="51" t="n">
        <v>69300</v>
      </c>
      <c r="I513" s="46" t="inlineStr">
        <is>
          <t>우승택</t>
        </is>
      </c>
      <c r="K513" s="46" t="n">
        <v>512</v>
      </c>
      <c r="L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4">
      <c r="A514" s="229" t="n">
        <v>45711</v>
      </c>
      <c r="B514" s="46" t="inlineStr">
        <is>
          <t>정기검사</t>
        </is>
      </c>
      <c r="C514" s="46" t="inlineStr">
        <is>
          <t>김포지역</t>
        </is>
      </c>
      <c r="D514" s="46" t="inlineStr">
        <is>
          <t>레스트호텔</t>
        </is>
      </c>
      <c r="E514" s="46" t="inlineStr">
        <is>
          <t>507/125</t>
        </is>
      </c>
      <c r="F514" s="46" t="inlineStr">
        <is>
          <t>장기동</t>
        </is>
      </c>
      <c r="G514" s="50" t="n">
        <v>0.4166666666666667</v>
      </c>
      <c r="H514" s="51" t="n">
        <v>974820</v>
      </c>
      <c r="I514" s="46" t="inlineStr">
        <is>
          <t>정성관</t>
        </is>
      </c>
      <c r="K514" s="46" t="n">
        <v>513</v>
      </c>
      <c r="L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5">
      <c r="A515" s="229" t="n">
        <v>45711</v>
      </c>
      <c r="B515" s="46" t="inlineStr">
        <is>
          <t>정기검사</t>
        </is>
      </c>
      <c r="C515" s="46" t="inlineStr">
        <is>
          <t>김포지역</t>
        </is>
      </c>
      <c r="D515" s="46" t="inlineStr">
        <is>
          <t>신하산업사</t>
        </is>
      </c>
      <c r="E515" s="46" t="n">
        <v>600</v>
      </c>
      <c r="F515" s="46" t="inlineStr">
        <is>
          <t>가현리</t>
        </is>
      </c>
      <c r="G515" s="50" t="n">
        <v>0.4583333333333333</v>
      </c>
      <c r="H515" s="51" t="n">
        <v>770880</v>
      </c>
      <c r="I515" s="46" t="inlineStr">
        <is>
          <t>서수형</t>
        </is>
      </c>
      <c r="K515" s="46" t="n">
        <v>514</v>
      </c>
      <c r="L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6">
      <c r="A516" s="229" t="n">
        <v>45711</v>
      </c>
      <c r="B516" s="46" t="inlineStr">
        <is>
          <t>정기검사</t>
        </is>
      </c>
      <c r="C516" s="46" t="inlineStr">
        <is>
          <t>김포지역</t>
        </is>
      </c>
      <c r="D516" s="46" t="inlineStr">
        <is>
          <t>남경정밀</t>
        </is>
      </c>
      <c r="E516" s="46" t="n">
        <v>450</v>
      </c>
      <c r="F516" s="46" t="inlineStr">
        <is>
          <t>가현리</t>
        </is>
      </c>
      <c r="G516" s="50" t="n">
        <v>0.4166666666666667</v>
      </c>
      <c r="H516" s="51" t="n">
        <v>720060</v>
      </c>
      <c r="I516" s="46" t="inlineStr">
        <is>
          <t>정신배</t>
        </is>
      </c>
      <c r="K516" s="46" t="n">
        <v>515</v>
      </c>
      <c r="L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7">
      <c r="A517" s="229" t="n">
        <v>45711</v>
      </c>
      <c r="B517" s="46" t="inlineStr">
        <is>
          <t>사용전검사</t>
        </is>
      </c>
      <c r="C517" s="46" t="inlineStr">
        <is>
          <t>부천지역</t>
        </is>
      </c>
      <c r="D517" s="46" t="inlineStr">
        <is>
          <t>오리에꼬치다</t>
        </is>
      </c>
      <c r="E517" s="46" t="n">
        <v>17</v>
      </c>
      <c r="F517" s="46" t="inlineStr">
        <is>
          <t>여월동</t>
        </is>
      </c>
      <c r="G517" s="50" t="n"/>
      <c r="H517" s="51" t="n"/>
      <c r="I517" s="46" t="inlineStr">
        <is>
          <t>송낙명</t>
        </is>
      </c>
      <c r="K517" s="46" t="n">
        <v>516</v>
      </c>
      <c r="L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8">
      <c r="A518" s="229" t="n">
        <v>45711</v>
      </c>
      <c r="B518" s="46" t="inlineStr">
        <is>
          <t>메모</t>
        </is>
      </c>
      <c r="C518" s="46" t="inlineStr">
        <is>
          <t>부천지역</t>
        </is>
      </c>
      <c r="D518" s="46" t="inlineStr">
        <is>
          <t>민재홍휴가</t>
        </is>
      </c>
      <c r="E518" s="46" t="n"/>
      <c r="F518" s="46" t="n"/>
      <c r="G518" s="50" t="n"/>
      <c r="H518" s="51" t="n"/>
      <c r="I518" s="46" t="n"/>
      <c r="K518" s="46" t="n">
        <v>517</v>
      </c>
      <c r="L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9">
      <c r="A519" s="229" t="n">
        <v>45711</v>
      </c>
      <c r="B519" s="46" t="inlineStr">
        <is>
          <t>메모</t>
        </is>
      </c>
      <c r="C519" s="46" t="inlineStr">
        <is>
          <t>부천지역</t>
        </is>
      </c>
      <c r="D519" s="46" t="inlineStr">
        <is>
          <t>한태희교육</t>
        </is>
      </c>
      <c r="E519" s="46" t="n"/>
      <c r="F519" s="46" t="n"/>
      <c r="G519" s="50" t="n"/>
      <c r="H519" s="51" t="n"/>
      <c r="I519" s="46" t="n"/>
      <c r="K519" s="46" t="n">
        <v>518</v>
      </c>
      <c r="L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0">
      <c r="A520" s="229" t="n">
        <v>45711</v>
      </c>
      <c r="B520" s="46" t="inlineStr">
        <is>
          <t>메모</t>
        </is>
      </c>
      <c r="C520" s="46" t="inlineStr">
        <is>
          <t>부천지역</t>
        </is>
      </c>
      <c r="D520" s="46" t="inlineStr">
        <is>
          <t>당효진휴가</t>
        </is>
      </c>
      <c r="E520" s="46" t="n"/>
      <c r="F520" s="46" t="n"/>
      <c r="G520" s="50" t="n"/>
      <c r="H520" s="51" t="n"/>
      <c r="I520" s="46" t="n"/>
      <c r="K520" s="46" t="n">
        <v>519</v>
      </c>
      <c r="L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1">
      <c r="A521" s="229" t="n">
        <v>45711</v>
      </c>
      <c r="B521" s="46" t="inlineStr">
        <is>
          <t>사용전검사</t>
        </is>
      </c>
      <c r="C521" s="46" t="inlineStr">
        <is>
          <t>김포지역</t>
        </is>
      </c>
      <c r="D521" s="46" t="inlineStr">
        <is>
          <t>삼원정밀1호</t>
        </is>
      </c>
      <c r="E521" s="46" t="n">
        <v>86</v>
      </c>
      <c r="F521" s="46" t="inlineStr">
        <is>
          <t>학운리</t>
        </is>
      </c>
      <c r="G521" s="50" t="n"/>
      <c r="H521" s="51" t="n"/>
      <c r="I521" s="46" t="inlineStr">
        <is>
          <t>민경수</t>
        </is>
      </c>
      <c r="K521" s="46" t="n">
        <v>520</v>
      </c>
      <c r="L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2">
      <c r="A522" s="229" t="n">
        <v>45711</v>
      </c>
      <c r="B522" s="46" t="inlineStr">
        <is>
          <t>사용전검사</t>
        </is>
      </c>
      <c r="C522" s="46" t="inlineStr">
        <is>
          <t>김포지역</t>
        </is>
      </c>
      <c r="D522" s="46" t="inlineStr">
        <is>
          <t>삼원정밀2호</t>
        </is>
      </c>
      <c r="E522" s="46" t="n">
        <v>87</v>
      </c>
      <c r="F522" s="46" t="inlineStr">
        <is>
          <t>학운리</t>
        </is>
      </c>
      <c r="G522" s="50" t="n"/>
      <c r="H522" s="51" t="n"/>
      <c r="I522" s="46" t="inlineStr">
        <is>
          <t>송두기</t>
        </is>
      </c>
      <c r="K522" s="46" t="n">
        <v>521</v>
      </c>
      <c r="L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3">
      <c r="A523" s="229" t="n">
        <v>45711</v>
      </c>
      <c r="B523" s="46" t="inlineStr">
        <is>
          <t>사용전검사</t>
        </is>
      </c>
      <c r="C523" s="46" t="inlineStr">
        <is>
          <t>김포지역</t>
        </is>
      </c>
      <c r="D523" s="46" t="inlineStr">
        <is>
          <t>삼원정밀3호</t>
        </is>
      </c>
      <c r="E523" s="46" t="n">
        <v>88</v>
      </c>
      <c r="F523" s="46" t="inlineStr">
        <is>
          <t>학운리</t>
        </is>
      </c>
      <c r="G523" s="50" t="n"/>
      <c r="H523" s="51" t="n"/>
      <c r="I523" s="46" t="inlineStr">
        <is>
          <t>송두기</t>
        </is>
      </c>
      <c r="K523" s="46" t="n">
        <v>522</v>
      </c>
      <c r="L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4">
      <c r="A524" s="229" t="n">
        <v>45711</v>
      </c>
      <c r="B524" s="46" t="inlineStr">
        <is>
          <t>사용전검사</t>
        </is>
      </c>
      <c r="C524" s="46" t="inlineStr">
        <is>
          <t>김포지역</t>
        </is>
      </c>
      <c r="D524" s="46" t="inlineStr">
        <is>
          <t>파블로</t>
        </is>
      </c>
      <c r="E524" s="46" t="n">
        <v>200</v>
      </c>
      <c r="F524" s="46" t="inlineStr">
        <is>
          <t>쇄암리</t>
        </is>
      </c>
      <c r="G524" s="50" t="n"/>
      <c r="H524" s="51" t="n"/>
      <c r="I524" s="46" t="inlineStr">
        <is>
          <t>김영권</t>
        </is>
      </c>
      <c r="K524" s="46" t="n">
        <v>523</v>
      </c>
      <c r="L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5">
      <c r="A525" s="229" t="n">
        <v>45711</v>
      </c>
      <c r="B525" s="46" t="inlineStr">
        <is>
          <t>사용전검사</t>
        </is>
      </c>
      <c r="C525" s="46" t="inlineStr">
        <is>
          <t>김포지역</t>
        </is>
      </c>
      <c r="D525" s="46" t="inlineStr">
        <is>
          <t>힙춘향마라</t>
        </is>
      </c>
      <c r="E525" s="46" t="n">
        <v>15</v>
      </c>
      <c r="F525" s="46" t="inlineStr">
        <is>
          <t>사우동</t>
        </is>
      </c>
      <c r="G525" s="50" t="n"/>
      <c r="H525" s="51" t="n"/>
      <c r="I525" s="46" t="inlineStr">
        <is>
          <t>이종석</t>
        </is>
      </c>
      <c r="K525" s="46" t="n">
        <v>524</v>
      </c>
      <c r="L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6">
      <c r="A526" s="229" t="n">
        <v>45712</v>
      </c>
      <c r="B526" s="46" t="inlineStr">
        <is>
          <t>정기검사</t>
        </is>
      </c>
      <c r="C526" s="46" t="inlineStr">
        <is>
          <t>부천지역</t>
        </is>
      </c>
      <c r="D526" s="46" t="inlineStr">
        <is>
          <t>우신빌딩</t>
        </is>
      </c>
      <c r="E526" s="46" t="n">
        <v>400</v>
      </c>
      <c r="F526" s="46" t="inlineStr">
        <is>
          <t>상동</t>
        </is>
      </c>
      <c r="G526" s="50" t="n">
        <v>0.2916666666666667</v>
      </c>
      <c r="H526" s="51" t="n">
        <v>913990</v>
      </c>
      <c r="I526" s="46" t="inlineStr">
        <is>
          <t>우승택</t>
        </is>
      </c>
      <c r="K526" s="46" t="n">
        <v>525</v>
      </c>
      <c r="L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7">
      <c r="A527" s="229" t="n">
        <v>45712</v>
      </c>
      <c r="B527" s="46" t="inlineStr">
        <is>
          <t>정기검사</t>
        </is>
      </c>
      <c r="C527" s="46" t="inlineStr">
        <is>
          <t>김포지역</t>
        </is>
      </c>
      <c r="D527" s="46" t="inlineStr">
        <is>
          <t>한신더휴테라스12</t>
        </is>
      </c>
      <c r="E527" s="46" t="inlineStr">
        <is>
          <t>2250/818</t>
        </is>
      </c>
      <c r="F527" s="46" t="inlineStr">
        <is>
          <t>운양동</t>
        </is>
      </c>
      <c r="G527" s="50" t="n">
        <v>0.4166666666666667</v>
      </c>
      <c r="H527" s="51" t="n">
        <v>1191520</v>
      </c>
      <c r="I527" s="46" t="inlineStr">
        <is>
          <t>서수형</t>
        </is>
      </c>
      <c r="K527" s="46" t="n">
        <v>526</v>
      </c>
      <c r="L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8">
      <c r="A528" s="229" t="n">
        <v>45712</v>
      </c>
      <c r="B528" s="46" t="inlineStr">
        <is>
          <t>정기검사</t>
        </is>
      </c>
      <c r="C528" s="46" t="inlineStr">
        <is>
          <t>김포지역</t>
        </is>
      </c>
      <c r="D528" s="46" t="inlineStr">
        <is>
          <t>한양수자인</t>
        </is>
      </c>
      <c r="E528" s="46" t="inlineStr">
        <is>
          <t>1950/682</t>
        </is>
      </c>
      <c r="F528" s="46" t="inlineStr">
        <is>
          <t>고촌</t>
        </is>
      </c>
      <c r="G528" s="50" t="n">
        <v>0.4166666666666667</v>
      </c>
      <c r="H528" s="51" t="n">
        <v>1137730</v>
      </c>
      <c r="I528" s="46" t="inlineStr">
        <is>
          <t>허창수</t>
        </is>
      </c>
      <c r="K528" s="46" t="n">
        <v>527</v>
      </c>
      <c r="L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9">
      <c r="A529" s="229" t="n">
        <v>45712</v>
      </c>
      <c r="B529" s="46" t="inlineStr">
        <is>
          <t>정기검사</t>
        </is>
      </c>
      <c r="C529" s="46" t="inlineStr">
        <is>
          <t>김포지역</t>
        </is>
      </c>
      <c r="D529" s="46" t="inlineStr">
        <is>
          <t>이니스터원아파트</t>
        </is>
      </c>
      <c r="E529" s="46" t="inlineStr">
        <is>
          <t>950/290</t>
        </is>
      </c>
      <c r="F529" s="46" t="inlineStr">
        <is>
          <t>장기동</t>
        </is>
      </c>
      <c r="G529" s="50" t="n">
        <v>0.5625</v>
      </c>
      <c r="H529" s="51" t="n">
        <v>953370</v>
      </c>
      <c r="I529" s="46" t="inlineStr">
        <is>
          <t>정신배</t>
        </is>
      </c>
      <c r="K529" s="46" t="n">
        <v>528</v>
      </c>
      <c r="L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0">
      <c r="A530" s="229" t="n">
        <v>45712</v>
      </c>
      <c r="B530" s="46" t="inlineStr">
        <is>
          <t>정기검사</t>
        </is>
      </c>
      <c r="C530" s="46" t="inlineStr">
        <is>
          <t>김포지역</t>
        </is>
      </c>
      <c r="D530" s="46" t="inlineStr">
        <is>
          <t>이니스터원아파트</t>
        </is>
      </c>
      <c r="E530" s="46" t="inlineStr">
        <is>
          <t>충전기</t>
        </is>
      </c>
      <c r="F530" s="46" t="inlineStr">
        <is>
          <t>장기동</t>
        </is>
      </c>
      <c r="G530" s="50" t="n">
        <v>0.5625</v>
      </c>
      <c r="H530" s="51" t="n">
        <v>330770</v>
      </c>
      <c r="I530" s="46" t="inlineStr">
        <is>
          <t>정신배</t>
        </is>
      </c>
      <c r="K530" s="46" t="n">
        <v>529</v>
      </c>
      <c r="L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1">
      <c r="A531" s="229" t="n">
        <v>45712</v>
      </c>
      <c r="B531" s="46" t="inlineStr">
        <is>
          <t>정기검사</t>
        </is>
      </c>
      <c r="C531" s="46" t="inlineStr">
        <is>
          <t>김포지역</t>
        </is>
      </c>
      <c r="D531" s="46" t="inlineStr">
        <is>
          <t>보람태양</t>
        </is>
      </c>
      <c r="E531" s="46" t="n">
        <v>99</v>
      </c>
      <c r="F531" s="46" t="inlineStr">
        <is>
          <t>학운리</t>
        </is>
      </c>
      <c r="G531" s="50" t="n">
        <v>0.4583333333333333</v>
      </c>
      <c r="H531" s="51" t="n">
        <v>254980</v>
      </c>
      <c r="I531" s="46" t="inlineStr">
        <is>
          <t>김영권</t>
        </is>
      </c>
      <c r="K531" s="46" t="n">
        <v>530</v>
      </c>
      <c r="L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2">
      <c r="A532" s="229" t="n">
        <v>45712</v>
      </c>
      <c r="B532" s="46" t="inlineStr">
        <is>
          <t>정기검사</t>
        </is>
      </c>
      <c r="C532" s="46" t="inlineStr">
        <is>
          <t>김포지역</t>
        </is>
      </c>
      <c r="D532" s="46" t="inlineStr">
        <is>
          <t>제이앤피</t>
        </is>
      </c>
      <c r="E532" s="46" t="n">
        <v>290</v>
      </c>
      <c r="F532" s="46" t="inlineStr">
        <is>
          <t>학운리</t>
        </is>
      </c>
      <c r="G532" s="50" t="n">
        <v>0.5208333333333334</v>
      </c>
      <c r="H532" s="51" t="n">
        <v>515130</v>
      </c>
      <c r="I532" s="46" t="inlineStr">
        <is>
          <t>송낙명</t>
        </is>
      </c>
      <c r="K532" s="46" t="n">
        <v>531</v>
      </c>
      <c r="L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3">
      <c r="A533" s="229" t="n">
        <v>45712</v>
      </c>
      <c r="B533" s="46" t="inlineStr">
        <is>
          <t>사용전검사</t>
        </is>
      </c>
      <c r="C533" s="46" t="inlineStr">
        <is>
          <t>부천지역</t>
        </is>
      </c>
      <c r="D533" s="46" t="n"/>
      <c r="E533" s="46" t="inlineStr">
        <is>
          <t>본부</t>
        </is>
      </c>
      <c r="F533" s="46" t="n"/>
      <c r="G533" s="50" t="n"/>
      <c r="H533" s="51" t="n"/>
      <c r="I533" s="46" t="n"/>
      <c r="K533" s="46" t="n">
        <v>532</v>
      </c>
      <c r="L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4">
      <c r="A534" s="229" t="n">
        <v>45712</v>
      </c>
      <c r="B534" s="46" t="inlineStr">
        <is>
          <t>메모</t>
        </is>
      </c>
      <c r="C534" s="46" t="inlineStr">
        <is>
          <t>부천지역</t>
        </is>
      </c>
      <c r="D534" s="46" t="inlineStr">
        <is>
          <t>민재홍휴가</t>
        </is>
      </c>
      <c r="E534" s="46" t="n"/>
      <c r="F534" s="46" t="n"/>
      <c r="G534" s="50" t="n"/>
      <c r="H534" s="51" t="n"/>
      <c r="I534" s="46" t="n"/>
      <c r="K534" s="46" t="n">
        <v>533</v>
      </c>
      <c r="L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5">
      <c r="A535" s="229" t="n">
        <v>45712</v>
      </c>
      <c r="B535" s="46" t="inlineStr">
        <is>
          <t>메모</t>
        </is>
      </c>
      <c r="C535" s="46" t="inlineStr">
        <is>
          <t>부천지역</t>
        </is>
      </c>
      <c r="D535" s="46" t="inlineStr">
        <is>
          <t>한태희교육</t>
        </is>
      </c>
      <c r="E535" s="46" t="inlineStr">
        <is>
          <t>이종석</t>
        </is>
      </c>
      <c r="F535" s="46" t="n"/>
      <c r="G535" s="50" t="n"/>
      <c r="H535" s="51" t="n"/>
      <c r="I535" s="46" t="n"/>
      <c r="K535" s="46" t="n">
        <v>534</v>
      </c>
      <c r="L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6">
      <c r="A536" s="229" t="n">
        <v>45712</v>
      </c>
      <c r="B536" s="46" t="inlineStr">
        <is>
          <t>메모</t>
        </is>
      </c>
      <c r="C536" s="46" t="inlineStr">
        <is>
          <t>부천지역</t>
        </is>
      </c>
      <c r="D536" s="46" t="inlineStr">
        <is>
          <t>당효진휴가</t>
        </is>
      </c>
      <c r="E536" s="46" t="inlineStr">
        <is>
          <t>이덕기</t>
        </is>
      </c>
      <c r="F536" s="46" t="n"/>
      <c r="G536" s="50" t="n"/>
      <c r="H536" s="51" t="n"/>
      <c r="I536" s="46" t="n"/>
      <c r="K536" s="46" t="n">
        <v>535</v>
      </c>
      <c r="L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7">
      <c r="A537" s="229" t="n">
        <v>45712</v>
      </c>
      <c r="B537" s="46" t="inlineStr">
        <is>
          <t>사용전검사</t>
        </is>
      </c>
      <c r="C537" s="46" t="inlineStr">
        <is>
          <t>부천지역</t>
        </is>
      </c>
      <c r="D537" s="46" t="n"/>
      <c r="E537" s="46" t="inlineStr">
        <is>
          <t>정성관</t>
        </is>
      </c>
      <c r="F537" s="46" t="n"/>
      <c r="G537" s="50" t="n"/>
      <c r="H537" s="51" t="n"/>
      <c r="I537" s="46" t="n"/>
      <c r="K537" s="46" t="n">
        <v>536</v>
      </c>
      <c r="L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8">
      <c r="A538" s="229" t="n">
        <v>45712</v>
      </c>
      <c r="B538" s="46" t="inlineStr">
        <is>
          <t>사용전검사</t>
        </is>
      </c>
      <c r="C538" s="46" t="inlineStr">
        <is>
          <t>부천지역</t>
        </is>
      </c>
      <c r="D538" s="46" t="n"/>
      <c r="E538" s="46" t="inlineStr">
        <is>
          <t>민경수</t>
        </is>
      </c>
      <c r="F538" s="46" t="n"/>
      <c r="G538" s="50" t="n"/>
      <c r="H538" s="51" t="n"/>
      <c r="I538" s="46" t="n"/>
      <c r="K538" s="46" t="n">
        <v>537</v>
      </c>
      <c r="L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9">
      <c r="A539" s="229" t="n">
        <v>45712</v>
      </c>
      <c r="B539" s="46" t="inlineStr">
        <is>
          <t>사용전검사</t>
        </is>
      </c>
      <c r="C539" s="46" t="inlineStr">
        <is>
          <t>부천지역</t>
        </is>
      </c>
      <c r="D539" s="46" t="n"/>
      <c r="E539" s="46" t="inlineStr">
        <is>
          <t>송두기</t>
        </is>
      </c>
      <c r="F539" s="46" t="n"/>
      <c r="G539" s="50" t="n"/>
      <c r="H539" s="51" t="n"/>
      <c r="I539" s="46" t="n"/>
      <c r="K539" s="46" t="n">
        <v>538</v>
      </c>
      <c r="L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0">
      <c r="A540" s="229" t="n">
        <v>45713</v>
      </c>
      <c r="B540" s="46" t="inlineStr">
        <is>
          <t>정기검사</t>
        </is>
      </c>
      <c r="C540" s="46" t="inlineStr">
        <is>
          <t>부천지역</t>
        </is>
      </c>
      <c r="D540" s="46" t="inlineStr">
        <is>
          <t>은광사</t>
        </is>
      </c>
      <c r="E540" s="46" t="n">
        <v>300</v>
      </c>
      <c r="F540" s="46" t="inlineStr">
        <is>
          <t>도당동</t>
        </is>
      </c>
      <c r="G540" s="50" t="n">
        <v>0.5</v>
      </c>
      <c r="H540" s="51" t="n">
        <v>521730</v>
      </c>
      <c r="I540" s="46" t="inlineStr">
        <is>
          <t>김영권</t>
        </is>
      </c>
      <c r="K540" s="46" t="n">
        <v>539</v>
      </c>
      <c r="L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1">
      <c r="A541" s="229" t="n">
        <v>45713</v>
      </c>
      <c r="B541" s="46" t="inlineStr">
        <is>
          <t>정기검사</t>
        </is>
      </c>
      <c r="C541" s="46" t="inlineStr">
        <is>
          <t>부천지역</t>
        </is>
      </c>
      <c r="D541" s="46" t="inlineStr">
        <is>
          <t>이화진건물</t>
        </is>
      </c>
      <c r="E541" s="46" t="n">
        <v>290</v>
      </c>
      <c r="F541" s="46" t="inlineStr">
        <is>
          <t>춘의동</t>
        </is>
      </c>
      <c r="G541" s="50" t="n">
        <v>0.4166666666666667</v>
      </c>
      <c r="H541" s="51" t="n">
        <v>515130</v>
      </c>
      <c r="I541" s="46" t="inlineStr">
        <is>
          <t>허창수</t>
        </is>
      </c>
      <c r="K541" s="46" t="n">
        <v>540</v>
      </c>
      <c r="L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2">
      <c r="A542" s="229" t="n">
        <v>45713</v>
      </c>
      <c r="B542" s="46" t="inlineStr">
        <is>
          <t>정기검사</t>
        </is>
      </c>
      <c r="C542" s="46" t="inlineStr">
        <is>
          <t>부천지역</t>
        </is>
      </c>
      <c r="D542" s="46" t="inlineStr">
        <is>
          <t>오성테크</t>
        </is>
      </c>
      <c r="E542" s="46" t="n">
        <v>200</v>
      </c>
      <c r="F542" s="46" t="inlineStr">
        <is>
          <t>내동</t>
        </is>
      </c>
      <c r="G542" s="50" t="n">
        <v>0.5</v>
      </c>
      <c r="H542" s="51" t="n">
        <v>456720</v>
      </c>
      <c r="I542" s="46" t="inlineStr">
        <is>
          <t>이종석</t>
        </is>
      </c>
      <c r="K542" s="46" t="n">
        <v>541</v>
      </c>
      <c r="L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3">
      <c r="A543" s="229" t="n">
        <v>45713</v>
      </c>
      <c r="B543" s="46" t="inlineStr">
        <is>
          <t>정기검사</t>
        </is>
      </c>
      <c r="C543" s="46" t="inlineStr">
        <is>
          <t>김포지역</t>
        </is>
      </c>
      <c r="D543" s="46" t="inlineStr">
        <is>
          <t>힐스테잍,리버시티2</t>
        </is>
      </c>
      <c r="E543" s="46" t="inlineStr">
        <is>
          <t>7500/1818</t>
        </is>
      </c>
      <c r="F543" s="46" t="inlineStr">
        <is>
          <t>고촌</t>
        </is>
      </c>
      <c r="G543" s="50" t="n">
        <v>0.4166666666666667</v>
      </c>
      <c r="H543" s="51" t="n">
        <v>1838540</v>
      </c>
      <c r="I543" s="46" t="inlineStr">
        <is>
          <t>정성관</t>
        </is>
      </c>
      <c r="K543" s="46" t="n">
        <v>542</v>
      </c>
      <c r="L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4">
      <c r="A544" s="229" t="n">
        <v>45713</v>
      </c>
      <c r="B544" s="46" t="inlineStr">
        <is>
          <t>정기검사</t>
        </is>
      </c>
      <c r="C544" s="46" t="inlineStr">
        <is>
          <t>김포지역</t>
        </is>
      </c>
      <c r="D544" s="46" t="inlineStr">
        <is>
          <t>태삼마을태양</t>
        </is>
      </c>
      <c r="E544" s="46" t="n">
        <v>14</v>
      </c>
      <c r="F544" s="46" t="inlineStr">
        <is>
          <t>태리</t>
        </is>
      </c>
      <c r="G544" s="50" t="n">
        <v>0.3958333333333333</v>
      </c>
      <c r="H544" s="51" t="n">
        <v>92840</v>
      </c>
      <c r="I544" s="46" t="inlineStr">
        <is>
          <t>이덕기</t>
        </is>
      </c>
      <c r="K544" s="46" t="n">
        <v>543</v>
      </c>
      <c r="L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5">
      <c r="A545" s="229" t="n">
        <v>45713</v>
      </c>
      <c r="B545" s="46" t="inlineStr">
        <is>
          <t>정기검사</t>
        </is>
      </c>
      <c r="C545" s="46" t="inlineStr">
        <is>
          <t>김포지역</t>
        </is>
      </c>
      <c r="D545" s="46" t="inlineStr">
        <is>
          <t>신일아파트</t>
        </is>
      </c>
      <c r="E545" s="46" t="inlineStr">
        <is>
          <t>1400/400</t>
        </is>
      </c>
      <c r="F545" s="46" t="inlineStr">
        <is>
          <t>북변동</t>
        </is>
      </c>
      <c r="G545" s="50" t="n">
        <v>0.4375</v>
      </c>
      <c r="H545" s="51" t="n">
        <v>1200650</v>
      </c>
      <c r="I545" s="46" t="inlineStr">
        <is>
          <t>송두기</t>
        </is>
      </c>
      <c r="K545" s="46" t="n">
        <v>544</v>
      </c>
      <c r="L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6">
      <c r="A546" s="229" t="n">
        <v>45713</v>
      </c>
      <c r="B546" s="46" t="inlineStr">
        <is>
          <t>정기검사</t>
        </is>
      </c>
      <c r="C546" s="46" t="inlineStr">
        <is>
          <t>김포지역</t>
        </is>
      </c>
      <c r="D546" s="46" t="inlineStr">
        <is>
          <t>대아금속</t>
        </is>
      </c>
      <c r="E546" s="46" t="n">
        <v>288</v>
      </c>
      <c r="F546" s="46" t="inlineStr">
        <is>
          <t>옹정리</t>
        </is>
      </c>
      <c r="G546" s="50" t="n">
        <v>0.4583333333333333</v>
      </c>
      <c r="H546" s="51" t="n">
        <v>456720</v>
      </c>
      <c r="I546" s="46" t="inlineStr">
        <is>
          <t>정신배</t>
        </is>
      </c>
      <c r="K546" s="46" t="n">
        <v>545</v>
      </c>
      <c r="L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7">
      <c r="A547" s="229" t="n">
        <v>45713</v>
      </c>
      <c r="B547" s="46" t="inlineStr">
        <is>
          <t>정기검사</t>
        </is>
      </c>
      <c r="C547" s="46" t="inlineStr">
        <is>
          <t>김포지역</t>
        </is>
      </c>
      <c r="D547" s="46" t="inlineStr">
        <is>
          <t>한서포리머</t>
        </is>
      </c>
      <c r="E547" s="46" t="n">
        <v>290</v>
      </c>
      <c r="F547" s="46" t="inlineStr">
        <is>
          <t>고양리</t>
        </is>
      </c>
      <c r="G547" s="50" t="n">
        <v>0.4791666666666667</v>
      </c>
      <c r="H547" s="51" t="n">
        <v>515130</v>
      </c>
      <c r="I547" s="46" t="inlineStr">
        <is>
          <t>서수형</t>
        </is>
      </c>
      <c r="K547" s="46" t="n">
        <v>546</v>
      </c>
      <c r="L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8">
      <c r="A548" s="229" t="n">
        <v>45713</v>
      </c>
      <c r="B548" s="46" t="inlineStr">
        <is>
          <t>정기검사</t>
        </is>
      </c>
      <c r="C548" s="46" t="inlineStr">
        <is>
          <t>김포지역</t>
        </is>
      </c>
      <c r="D548" s="46" t="inlineStr">
        <is>
          <t>신일아파트</t>
        </is>
      </c>
      <c r="E548" s="46" t="n">
        <v>7</v>
      </c>
      <c r="F548" s="46" t="inlineStr">
        <is>
          <t>북변동</t>
        </is>
      </c>
      <c r="G548" s="50" t="n">
        <v>0.3958333333333333</v>
      </c>
      <c r="H548" s="51" t="n">
        <v>132000</v>
      </c>
      <c r="I548" s="46" t="inlineStr">
        <is>
          <t>송두기</t>
        </is>
      </c>
      <c r="K548" s="46" t="n">
        <v>547</v>
      </c>
      <c r="L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9">
      <c r="A549" s="229" t="n">
        <v>45713</v>
      </c>
      <c r="B549" s="46" t="inlineStr">
        <is>
          <t>정기검사</t>
        </is>
      </c>
      <c r="C549" s="46" t="inlineStr">
        <is>
          <t>김포지역</t>
        </is>
      </c>
      <c r="D549" s="46" t="inlineStr">
        <is>
          <t>에이치데크</t>
        </is>
      </c>
      <c r="E549" s="46" t="n">
        <v>987</v>
      </c>
      <c r="F549" s="46" t="inlineStr">
        <is>
          <t>학운리</t>
        </is>
      </c>
      <c r="G549" s="50" t="n">
        <v>0.5</v>
      </c>
      <c r="H549" s="51" t="n">
        <v>963820</v>
      </c>
      <c r="I549" s="46" t="inlineStr">
        <is>
          <t>민경수</t>
        </is>
      </c>
      <c r="K549" s="46" t="n">
        <v>548</v>
      </c>
      <c r="L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0">
      <c r="A550" s="229" t="n">
        <v>45713</v>
      </c>
      <c r="B550" s="46" t="inlineStr">
        <is>
          <t>사용전검사</t>
        </is>
      </c>
      <c r="C550" s="46" t="inlineStr">
        <is>
          <t>부천지역</t>
        </is>
      </c>
      <c r="D550" s="46" t="inlineStr">
        <is>
          <t>더테라</t>
        </is>
      </c>
      <c r="E550" s="46" t="n">
        <v>93</v>
      </c>
      <c r="F550" s="46" t="inlineStr">
        <is>
          <t>고강동</t>
        </is>
      </c>
      <c r="G550" s="50" t="n"/>
      <c r="H550" s="51" t="n"/>
      <c r="I550" s="46" t="inlineStr">
        <is>
          <t>송낙명</t>
        </is>
      </c>
      <c r="K550" s="46" t="n">
        <v>549</v>
      </c>
      <c r="L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1">
      <c r="A551" s="229" t="n">
        <v>45713</v>
      </c>
      <c r="B551" s="46" t="inlineStr">
        <is>
          <t>메모</t>
        </is>
      </c>
      <c r="C551" s="46" t="inlineStr">
        <is>
          <t>부천지역</t>
        </is>
      </c>
      <c r="D551" s="46" t="inlineStr">
        <is>
          <t>민재홍휴가</t>
        </is>
      </c>
      <c r="E551" s="46" t="n"/>
      <c r="F551" s="46" t="n"/>
      <c r="G551" s="50" t="n"/>
      <c r="H551" s="51" t="n"/>
      <c r="I551" s="46" t="n"/>
      <c r="K551" s="46" t="n">
        <v>550</v>
      </c>
      <c r="L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2">
      <c r="A552" s="229" t="n">
        <v>45713</v>
      </c>
      <c r="B552" s="46" t="inlineStr">
        <is>
          <t>메모</t>
        </is>
      </c>
      <c r="C552" s="46" t="inlineStr">
        <is>
          <t>부천지역</t>
        </is>
      </c>
      <c r="D552" s="46" t="inlineStr">
        <is>
          <t>우승택휴가</t>
        </is>
      </c>
      <c r="E552" s="46" t="n"/>
      <c r="F552" s="46" t="n"/>
      <c r="G552" s="50" t="n"/>
      <c r="H552" s="51" t="n"/>
      <c r="I552" s="46" t="n"/>
      <c r="K552" s="46" t="n">
        <v>551</v>
      </c>
      <c r="L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3">
      <c r="A553" s="229" t="n">
        <v>45713</v>
      </c>
      <c r="B553" s="46" t="inlineStr">
        <is>
          <t>메모</t>
        </is>
      </c>
      <c r="C553" s="46" t="inlineStr">
        <is>
          <t>부천지역</t>
        </is>
      </c>
      <c r="D553" s="46" t="inlineStr">
        <is>
          <t>한태희교육</t>
        </is>
      </c>
      <c r="E553" s="46" t="n"/>
      <c r="F553" s="46" t="n"/>
      <c r="G553" s="50" t="n"/>
      <c r="H553" s="51" t="n"/>
      <c r="I553" s="46" t="n"/>
      <c r="K553" s="46" t="n">
        <v>552</v>
      </c>
      <c r="L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4">
      <c r="A554" s="229" t="n">
        <v>45713</v>
      </c>
      <c r="B554" s="46" t="inlineStr">
        <is>
          <t>메모</t>
        </is>
      </c>
      <c r="C554" s="46" t="inlineStr">
        <is>
          <t>부천지역</t>
        </is>
      </c>
      <c r="D554" s="46" t="inlineStr">
        <is>
          <t>당효진휴가</t>
        </is>
      </c>
      <c r="E554" s="46" t="n"/>
      <c r="F554" s="46" t="n"/>
      <c r="G554" s="50" t="n"/>
      <c r="H554" s="51" t="n"/>
      <c r="I554" s="46" t="n"/>
      <c r="K554" s="46" t="n">
        <v>553</v>
      </c>
      <c r="L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5">
      <c r="A555" s="229" t="n">
        <v>45713</v>
      </c>
      <c r="B555" s="46" t="inlineStr">
        <is>
          <t>사용전검사</t>
        </is>
      </c>
      <c r="C555" s="46" t="inlineStr">
        <is>
          <t>김포지역</t>
        </is>
      </c>
      <c r="D555" s="46" t="inlineStr">
        <is>
          <t>삼웅레이저</t>
        </is>
      </c>
      <c r="E555" s="46" t="n">
        <v>200</v>
      </c>
      <c r="F555" s="46" t="inlineStr">
        <is>
          <t>학운리</t>
        </is>
      </c>
      <c r="G555" s="50" t="n"/>
      <c r="H555" s="51" t="n"/>
      <c r="I555" s="46" t="inlineStr">
        <is>
          <t>이덕기</t>
        </is>
      </c>
      <c r="K555" s="46" t="n">
        <v>554</v>
      </c>
      <c r="L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6">
      <c r="A556" s="229" t="n">
        <v>45714</v>
      </c>
      <c r="B556" s="46" t="inlineStr">
        <is>
          <t>정기검사</t>
        </is>
      </c>
      <c r="C556" s="46" t="inlineStr">
        <is>
          <t>부천지역</t>
        </is>
      </c>
      <c r="D556" s="46" t="inlineStr">
        <is>
          <t>태영전열</t>
        </is>
      </c>
      <c r="E556" s="46" t="n">
        <v>600</v>
      </c>
      <c r="F556" s="46" t="inlineStr">
        <is>
          <t>도당동</t>
        </is>
      </c>
      <c r="G556" s="50" t="n">
        <v>0.4791666666666667</v>
      </c>
      <c r="H556" s="51" t="n">
        <v>770880</v>
      </c>
      <c r="I556" s="46" t="inlineStr">
        <is>
          <t>이종석</t>
        </is>
      </c>
      <c r="K556" s="46" t="n">
        <v>555</v>
      </c>
      <c r="L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7">
      <c r="A557" s="229" t="n">
        <v>45714</v>
      </c>
      <c r="B557" s="46" t="inlineStr">
        <is>
          <t>정기검사</t>
        </is>
      </c>
      <c r="C557" s="46" t="inlineStr">
        <is>
          <t>부천지역</t>
        </is>
      </c>
      <c r="D557" s="46" t="inlineStr">
        <is>
          <t>우창카플링</t>
        </is>
      </c>
      <c r="E557" s="46" t="n">
        <v>600</v>
      </c>
      <c r="F557" s="46" t="inlineStr">
        <is>
          <t>도당동</t>
        </is>
      </c>
      <c r="G557" s="50" t="n">
        <v>0.5</v>
      </c>
      <c r="H557" s="51" t="n">
        <v>770880</v>
      </c>
      <c r="I557" s="46" t="inlineStr">
        <is>
          <t>허창수</t>
        </is>
      </c>
      <c r="K557" s="46" t="n">
        <v>556</v>
      </c>
      <c r="L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8">
      <c r="A558" s="229" t="n">
        <v>45714</v>
      </c>
      <c r="B558" s="46" t="inlineStr">
        <is>
          <t>정기검사</t>
        </is>
      </c>
      <c r="C558" s="46" t="inlineStr">
        <is>
          <t>부천지역</t>
        </is>
      </c>
      <c r="D558" s="46" t="inlineStr">
        <is>
          <t>이편한세상</t>
        </is>
      </c>
      <c r="E558" s="46" t="inlineStr">
        <is>
          <t>400/159</t>
        </is>
      </c>
      <c r="F558" s="46" t="inlineStr">
        <is>
          <t>역곡동</t>
        </is>
      </c>
      <c r="G558" s="50" t="n">
        <v>0.3958333333333333</v>
      </c>
      <c r="H558" s="51" t="n">
        <v>886710</v>
      </c>
      <c r="I558" s="46" t="inlineStr">
        <is>
          <t>서수형</t>
        </is>
      </c>
      <c r="K558" s="46" t="n">
        <v>557</v>
      </c>
      <c r="L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9">
      <c r="A559" s="229" t="n">
        <v>45714</v>
      </c>
      <c r="B559" s="46" t="inlineStr">
        <is>
          <t>정기검사</t>
        </is>
      </c>
      <c r="C559" s="46" t="inlineStr">
        <is>
          <t>김포지역</t>
        </is>
      </c>
      <c r="D559" s="46" t="inlineStr">
        <is>
          <t>한신더휴테라스8</t>
        </is>
      </c>
      <c r="E559" s="46" t="inlineStr">
        <is>
          <t>1500/591</t>
        </is>
      </c>
      <c r="F559" s="46" t="inlineStr">
        <is>
          <t>운양동</t>
        </is>
      </c>
      <c r="G559" s="50" t="n">
        <v>0.5833333333333334</v>
      </c>
      <c r="H559" s="51" t="n">
        <v>1065350</v>
      </c>
      <c r="I559" s="46" t="inlineStr">
        <is>
          <t>민경수</t>
        </is>
      </c>
      <c r="K559" s="46" t="n">
        <v>558</v>
      </c>
      <c r="L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0">
      <c r="A560" s="229" t="n">
        <v>45714</v>
      </c>
      <c r="B560" s="46" t="inlineStr">
        <is>
          <t>정기검사</t>
        </is>
      </c>
      <c r="C560" s="46" t="inlineStr">
        <is>
          <t>김포지역</t>
        </is>
      </c>
      <c r="D560" s="46" t="inlineStr">
        <is>
          <t>대동프레져</t>
        </is>
      </c>
      <c r="E560" s="46" t="n">
        <v>300</v>
      </c>
      <c r="F560" s="46" t="inlineStr">
        <is>
          <t>대명리</t>
        </is>
      </c>
      <c r="G560" s="50" t="n">
        <v>0.4791666666666667</v>
      </c>
      <c r="H560" s="51" t="n">
        <v>521730</v>
      </c>
      <c r="I560" s="46" t="inlineStr">
        <is>
          <t>정성관</t>
        </is>
      </c>
      <c r="K560" s="46" t="n">
        <v>559</v>
      </c>
      <c r="L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1">
      <c r="A561" s="229" t="n">
        <v>45714</v>
      </c>
      <c r="B561" s="46" t="inlineStr">
        <is>
          <t>정기검사</t>
        </is>
      </c>
      <c r="C561" s="46" t="inlineStr">
        <is>
          <t>김포지역</t>
        </is>
      </c>
      <c r="D561" s="46" t="inlineStr">
        <is>
          <t>프레즌슨</t>
        </is>
      </c>
      <c r="E561" s="46" t="inlineStr">
        <is>
          <t>807/</t>
        </is>
      </c>
      <c r="F561" s="46" t="inlineStr">
        <is>
          <t>장기동</t>
        </is>
      </c>
      <c r="G561" s="50" t="n">
        <v>0.3958333333333333</v>
      </c>
      <c r="H561" s="51" t="n">
        <v>894410</v>
      </c>
      <c r="I561" s="46" t="inlineStr">
        <is>
          <t>송두기</t>
        </is>
      </c>
      <c r="K561" s="46" t="n">
        <v>560</v>
      </c>
      <c r="L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2">
      <c r="A562" s="229" t="n">
        <v>45714</v>
      </c>
      <c r="B562" s="46" t="inlineStr">
        <is>
          <t>사용전검사</t>
        </is>
      </c>
      <c r="C562" s="46" t="inlineStr">
        <is>
          <t>부천지역</t>
        </is>
      </c>
      <c r="D562" s="46" t="inlineStr">
        <is>
          <t>부천대소사</t>
        </is>
      </c>
      <c r="E562" s="46" t="n"/>
      <c r="F562" s="46" t="n"/>
      <c r="G562" s="50" t="n"/>
      <c r="H562" s="51" t="n"/>
      <c r="I562" s="46" t="inlineStr">
        <is>
          <t>김영권</t>
        </is>
      </c>
      <c r="K562" s="46" t="n">
        <v>561</v>
      </c>
      <c r="L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3">
      <c r="A563" s="229" t="n">
        <v>45714</v>
      </c>
      <c r="B563" s="46" t="inlineStr">
        <is>
          <t>메모</t>
        </is>
      </c>
      <c r="C563" s="46" t="inlineStr">
        <is>
          <t>부천지역</t>
        </is>
      </c>
      <c r="D563" s="46" t="inlineStr">
        <is>
          <t>민재홍휴가</t>
        </is>
      </c>
      <c r="E563" s="46" t="n"/>
      <c r="F563" s="46" t="n"/>
      <c r="G563" s="50" t="n"/>
      <c r="H563" s="51" t="n"/>
      <c r="I563" s="46" t="n"/>
      <c r="K563" s="46" t="n">
        <v>562</v>
      </c>
      <c r="L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4">
      <c r="A564" s="229" t="n">
        <v>45714</v>
      </c>
      <c r="B564" s="46" t="inlineStr">
        <is>
          <t>메모</t>
        </is>
      </c>
      <c r="C564" s="46" t="inlineStr">
        <is>
          <t>부천지역</t>
        </is>
      </c>
      <c r="D564" s="46" t="inlineStr">
        <is>
          <t>정신배휴가</t>
        </is>
      </c>
      <c r="E564" s="46" t="n"/>
      <c r="F564" s="46" t="n"/>
      <c r="G564" s="50" t="n"/>
      <c r="H564" s="51" t="n"/>
      <c r="I564" s="46" t="n"/>
      <c r="K564" s="46" t="n">
        <v>563</v>
      </c>
      <c r="L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5">
      <c r="A565" s="229" t="n">
        <v>45714</v>
      </c>
      <c r="B565" s="46" t="inlineStr">
        <is>
          <t>메모</t>
        </is>
      </c>
      <c r="C565" s="46" t="inlineStr">
        <is>
          <t>부천지역</t>
        </is>
      </c>
      <c r="D565" s="46" t="inlineStr">
        <is>
          <t>우승택휴가</t>
        </is>
      </c>
      <c r="E565" s="46" t="n"/>
      <c r="F565" s="46" t="n"/>
      <c r="G565" s="50" t="n"/>
      <c r="H565" s="51" t="n"/>
      <c r="I565" s="46" t="n"/>
      <c r="K565" s="46" t="n">
        <v>564</v>
      </c>
      <c r="L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6">
      <c r="A566" s="229" t="n">
        <v>45714</v>
      </c>
      <c r="B566" s="46" t="inlineStr">
        <is>
          <t>메모</t>
        </is>
      </c>
      <c r="C566" s="46" t="inlineStr">
        <is>
          <t>부천지역</t>
        </is>
      </c>
      <c r="D566" s="46" t="inlineStr">
        <is>
          <t>한태희교육</t>
        </is>
      </c>
      <c r="E566" s="46" t="n"/>
      <c r="F566" s="46" t="n"/>
      <c r="G566" s="50" t="n"/>
      <c r="H566" s="51" t="n"/>
      <c r="I566" s="46" t="n"/>
      <c r="K566" s="46" t="n">
        <v>565</v>
      </c>
      <c r="L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7">
      <c r="A567" s="229" t="n">
        <v>45714</v>
      </c>
      <c r="B567" s="46" t="inlineStr">
        <is>
          <t>메모</t>
        </is>
      </c>
      <c r="C567" s="46" t="inlineStr">
        <is>
          <t>부천지역</t>
        </is>
      </c>
      <c r="D567" s="46" t="inlineStr">
        <is>
          <t>당효진휴가</t>
        </is>
      </c>
      <c r="E567" s="46" t="n"/>
      <c r="F567" s="46" t="n"/>
      <c r="G567" s="50" t="n"/>
      <c r="H567" s="51" t="n"/>
      <c r="I567" s="46" t="n"/>
      <c r="K567" s="46" t="n">
        <v>566</v>
      </c>
      <c r="L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8">
      <c r="A568" s="229" t="n">
        <v>45714</v>
      </c>
      <c r="B568" s="46" t="inlineStr">
        <is>
          <t>사용전검사</t>
        </is>
      </c>
      <c r="C568" s="46" t="inlineStr">
        <is>
          <t>김포지역</t>
        </is>
      </c>
      <c r="D568" s="46" t="inlineStr">
        <is>
          <t>bs한양</t>
        </is>
      </c>
      <c r="E568" s="46" t="n">
        <v>800</v>
      </c>
      <c r="F568" s="46" t="inlineStr">
        <is>
          <t>사우동</t>
        </is>
      </c>
      <c r="G568" s="50" t="n"/>
      <c r="H568" s="51" t="n"/>
      <c r="I568" s="46" t="inlineStr">
        <is>
          <t>이덕기</t>
        </is>
      </c>
      <c r="K568" s="46" t="n">
        <v>567</v>
      </c>
      <c r="L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9">
      <c r="A569" s="229" t="n">
        <v>45715</v>
      </c>
      <c r="B569" s="46" t="inlineStr">
        <is>
          <t>정기검사</t>
        </is>
      </c>
      <c r="C569" s="46" t="inlineStr">
        <is>
          <t>부천지역</t>
        </is>
      </c>
      <c r="D569" s="46" t="inlineStr">
        <is>
          <t>우성</t>
        </is>
      </c>
      <c r="E569" s="46" t="n">
        <v>500</v>
      </c>
      <c r="F569" s="46" t="inlineStr">
        <is>
          <t>도당동</t>
        </is>
      </c>
      <c r="G569" s="50" t="n">
        <v>0.5069444444444444</v>
      </c>
      <c r="H569" s="51" t="n">
        <v>737000</v>
      </c>
      <c r="I569" s="46" t="inlineStr">
        <is>
          <t>송두기</t>
        </is>
      </c>
      <c r="K569" s="46" t="n">
        <v>568</v>
      </c>
      <c r="L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0">
      <c r="A570" s="229" t="n">
        <v>45715</v>
      </c>
      <c r="B570" s="46" t="inlineStr">
        <is>
          <t>정기검사</t>
        </is>
      </c>
      <c r="C570" s="46" t="inlineStr">
        <is>
          <t>부천지역</t>
        </is>
      </c>
      <c r="D570" s="46" t="inlineStr">
        <is>
          <t>세기</t>
        </is>
      </c>
      <c r="E570" s="46" t="n">
        <v>200</v>
      </c>
      <c r="F570" s="46" t="inlineStr">
        <is>
          <t>삼정동</t>
        </is>
      </c>
      <c r="G570" s="50" t="n">
        <v>0.5416666666666666</v>
      </c>
      <c r="H570" s="51" t="n">
        <v>456720</v>
      </c>
      <c r="I570" s="46" t="inlineStr">
        <is>
          <t>정성관</t>
        </is>
      </c>
      <c r="K570" s="46" t="n">
        <v>569</v>
      </c>
      <c r="L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1">
      <c r="A571" s="229" t="n">
        <v>45715</v>
      </c>
      <c r="B571" s="46" t="inlineStr">
        <is>
          <t>정기검사</t>
        </is>
      </c>
      <c r="C571" s="46" t="inlineStr">
        <is>
          <t>김포지역</t>
        </is>
      </c>
      <c r="D571" s="46" t="inlineStr">
        <is>
          <t>세종</t>
        </is>
      </c>
      <c r="E571" s="46" t="inlineStr">
        <is>
          <t>997/364</t>
        </is>
      </c>
      <c r="F571" s="46" t="inlineStr">
        <is>
          <t>구래동</t>
        </is>
      </c>
      <c r="G571" s="50" t="n">
        <v>0.25</v>
      </c>
      <c r="H571" s="51" t="n">
        <v>1619860</v>
      </c>
      <c r="I571" s="46" t="inlineStr">
        <is>
          <t>서수형</t>
        </is>
      </c>
      <c r="K571" s="46" t="n">
        <v>570</v>
      </c>
      <c r="L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2">
      <c r="A572" s="229" t="n">
        <v>45715</v>
      </c>
      <c r="B572" s="46" t="inlineStr">
        <is>
          <t>정기검사</t>
        </is>
      </c>
      <c r="C572" s="46" t="inlineStr">
        <is>
          <t>김포지역</t>
        </is>
      </c>
      <c r="D572" s="46" t="inlineStr">
        <is>
          <t>진흥레이져</t>
        </is>
      </c>
      <c r="E572" s="46" t="n">
        <v>290</v>
      </c>
      <c r="F572" s="46" t="inlineStr">
        <is>
          <t>학운리</t>
        </is>
      </c>
      <c r="G572" s="50" t="n">
        <v>0.5</v>
      </c>
      <c r="H572" s="51" t="n">
        <v>515130</v>
      </c>
      <c r="I572" s="46" t="inlineStr">
        <is>
          <t>한태희</t>
        </is>
      </c>
      <c r="K572" s="46" t="n">
        <v>571</v>
      </c>
      <c r="L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3">
      <c r="A573" s="229" t="n">
        <v>45715</v>
      </c>
      <c r="B573" s="46" t="inlineStr">
        <is>
          <t>정기검사</t>
        </is>
      </c>
      <c r="C573" s="46" t="inlineStr">
        <is>
          <t>김포지역</t>
        </is>
      </c>
      <c r="D573" s="46" t="inlineStr">
        <is>
          <t>로엔그린</t>
        </is>
      </c>
      <c r="E573" s="46" t="n">
        <v>500</v>
      </c>
      <c r="F573" s="46" t="inlineStr">
        <is>
          <t>양택리</t>
        </is>
      </c>
      <c r="G573" s="50" t="n">
        <v>0.5208333333333334</v>
      </c>
      <c r="H573" s="51" t="n">
        <v>737000</v>
      </c>
      <c r="I573" s="46" t="inlineStr">
        <is>
          <t>송낙명</t>
        </is>
      </c>
      <c r="K573" s="46" t="n">
        <v>572</v>
      </c>
      <c r="L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4">
      <c r="A574" s="229" t="n">
        <v>45715</v>
      </c>
      <c r="B574" s="46" t="inlineStr">
        <is>
          <t>정기검사</t>
        </is>
      </c>
      <c r="C574" s="46" t="inlineStr">
        <is>
          <t>김포지역</t>
        </is>
      </c>
      <c r="D574" s="46" t="inlineStr">
        <is>
          <t>대한스틸코리아</t>
        </is>
      </c>
      <c r="E574" s="46" t="n">
        <v>290</v>
      </c>
      <c r="F574" s="46" t="inlineStr">
        <is>
          <t>옹정리</t>
        </is>
      </c>
      <c r="G574" s="50" t="n">
        <v>0.4791666666666667</v>
      </c>
      <c r="H574" s="51" t="n">
        <v>515130</v>
      </c>
      <c r="I574" s="46" t="inlineStr">
        <is>
          <t>김영권</t>
        </is>
      </c>
      <c r="K574" s="46" t="n">
        <v>573</v>
      </c>
      <c r="L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5">
      <c r="A575" s="229" t="n">
        <v>45715</v>
      </c>
      <c r="B575" s="46" t="inlineStr">
        <is>
          <t>사용전검사</t>
        </is>
      </c>
      <c r="C575" s="46" t="inlineStr">
        <is>
          <t>부천지역</t>
        </is>
      </c>
      <c r="D575" s="46" t="inlineStr">
        <is>
          <t>엘에스컴퍼니</t>
        </is>
      </c>
      <c r="E575" s="46" t="n">
        <v>8</v>
      </c>
      <c r="F575" s="46" t="inlineStr">
        <is>
          <t>고강동</t>
        </is>
      </c>
      <c r="G575" s="50" t="n"/>
      <c r="H575" s="51" t="n"/>
      <c r="I575" s="46" t="inlineStr">
        <is>
          <t>민경수</t>
        </is>
      </c>
      <c r="K575" s="46" t="n">
        <v>574</v>
      </c>
      <c r="L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6">
      <c r="A576" s="229" t="n">
        <v>45715</v>
      </c>
      <c r="B576" s="46" t="inlineStr">
        <is>
          <t>메모</t>
        </is>
      </c>
      <c r="C576" s="46" t="inlineStr">
        <is>
          <t>부천지역</t>
        </is>
      </c>
      <c r="D576" s="46" t="inlineStr">
        <is>
          <t>민재홍휴가</t>
        </is>
      </c>
      <c r="E576" s="46" t="n"/>
      <c r="F576" s="46" t="n"/>
      <c r="G576" s="50" t="n"/>
      <c r="H576" s="51" t="n"/>
      <c r="I576" s="46" t="n"/>
      <c r="K576" s="46" t="n">
        <v>575</v>
      </c>
      <c r="L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7">
      <c r="A577" s="229" t="n">
        <v>45715</v>
      </c>
      <c r="B577" s="46" t="inlineStr">
        <is>
          <t>메모</t>
        </is>
      </c>
      <c r="C577" s="46" t="inlineStr">
        <is>
          <t>부천지역</t>
        </is>
      </c>
      <c r="D577" s="46" t="inlineStr">
        <is>
          <t>우승택휴가</t>
        </is>
      </c>
      <c r="E577" s="46" t="n"/>
      <c r="F577" s="46" t="n"/>
      <c r="G577" s="50" t="n"/>
      <c r="H577" s="51" t="n"/>
      <c r="I577" s="46" t="n"/>
      <c r="K577" s="46" t="n">
        <v>576</v>
      </c>
      <c r="L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8">
      <c r="A578" s="229" t="n">
        <v>45715</v>
      </c>
      <c r="B578" s="46" t="inlineStr">
        <is>
          <t>메모</t>
        </is>
      </c>
      <c r="C578" s="46" t="inlineStr">
        <is>
          <t>부천지역</t>
        </is>
      </c>
      <c r="D578" s="46" t="inlineStr">
        <is>
          <t>당효진휴가</t>
        </is>
      </c>
      <c r="E578" s="46" t="n"/>
      <c r="F578" s="46" t="n"/>
      <c r="G578" s="50" t="n"/>
      <c r="H578" s="51" t="n"/>
      <c r="I578" s="46" t="n"/>
      <c r="K578" s="46" t="n">
        <v>577</v>
      </c>
      <c r="L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9">
      <c r="A579" s="229" t="n">
        <v>45715</v>
      </c>
      <c r="B579" s="46" t="inlineStr">
        <is>
          <t>사용전검사</t>
        </is>
      </c>
      <c r="C579" s="46" t="inlineStr">
        <is>
          <t>김포지역</t>
        </is>
      </c>
      <c r="D579" s="46" t="inlineStr">
        <is>
          <t>서진알루미늄-저압</t>
        </is>
      </c>
      <c r="E579" s="46" t="n">
        <v>400</v>
      </c>
      <c r="F579" s="46" t="inlineStr">
        <is>
          <t>학운리</t>
        </is>
      </c>
      <c r="G579" s="50" t="n"/>
      <c r="H579" s="51" t="n"/>
      <c r="I579" s="46" t="inlineStr">
        <is>
          <t>정신배</t>
        </is>
      </c>
      <c r="K579" s="46" t="n">
        <v>578</v>
      </c>
      <c r="L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0">
      <c r="A580" s="229" t="n">
        <v>45715</v>
      </c>
      <c r="B580" s="46" t="inlineStr">
        <is>
          <t>사용전검사</t>
        </is>
      </c>
      <c r="C580" s="46" t="inlineStr">
        <is>
          <t>김포지역</t>
        </is>
      </c>
      <c r="D580" s="46" t="inlineStr">
        <is>
          <t>9166부대</t>
        </is>
      </c>
      <c r="E580" s="46" t="n">
        <v>350</v>
      </c>
      <c r="F580" s="46" t="inlineStr">
        <is>
          <t>서암리</t>
        </is>
      </c>
      <c r="G580" s="50" t="n"/>
      <c r="H580" s="51" t="n"/>
      <c r="I580" s="46" t="inlineStr">
        <is>
          <t>허창수</t>
        </is>
      </c>
      <c r="K580" s="46" t="n">
        <v>579</v>
      </c>
      <c r="L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1">
      <c r="A581" s="229" t="n">
        <v>45715</v>
      </c>
      <c r="B581" s="46" t="inlineStr">
        <is>
          <t>사용전검사</t>
        </is>
      </c>
      <c r="C581" s="46" t="inlineStr">
        <is>
          <t>김포지역</t>
        </is>
      </c>
      <c r="D581" s="46" t="inlineStr">
        <is>
          <t>스위트엠아크라시티</t>
        </is>
      </c>
      <c r="E581" s="46" t="inlineStr">
        <is>
          <t>변젼</t>
        </is>
      </c>
      <c r="F581" s="46" t="n"/>
      <c r="G581" s="50" t="n"/>
      <c r="H581" s="51" t="n"/>
      <c r="I581" s="46" t="inlineStr">
        <is>
          <t>허창수</t>
        </is>
      </c>
      <c r="K581" s="46" t="n">
        <v>580</v>
      </c>
      <c r="L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2">
      <c r="A582" s="229" t="n">
        <v>45715</v>
      </c>
      <c r="B582" s="46" t="inlineStr">
        <is>
          <t>사용전검사</t>
        </is>
      </c>
      <c r="C582" s="46" t="inlineStr">
        <is>
          <t>김포지역</t>
        </is>
      </c>
      <c r="D582" s="46" t="inlineStr">
        <is>
          <t>동원푸드필</t>
        </is>
      </c>
      <c r="E582" s="46" t="n">
        <v>45</v>
      </c>
      <c r="F582" s="46" t="inlineStr">
        <is>
          <t>송마리</t>
        </is>
      </c>
      <c r="G582" s="50" t="n"/>
      <c r="H582" s="51" t="n"/>
      <c r="I582" s="46" t="inlineStr">
        <is>
          <t>송낙명</t>
        </is>
      </c>
      <c r="K582" s="46" t="n">
        <v>581</v>
      </c>
      <c r="L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3">
      <c r="A583" s="229" t="n">
        <v>45716</v>
      </c>
      <c r="B583" s="46" t="inlineStr">
        <is>
          <t>메모</t>
        </is>
      </c>
      <c r="C583" s="46" t="inlineStr">
        <is>
          <t>부천지역</t>
        </is>
      </c>
      <c r="D583" s="46" t="inlineStr">
        <is>
          <t>우승택휴가</t>
        </is>
      </c>
      <c r="E583" s="46" t="n"/>
      <c r="F583" s="46" t="n"/>
      <c r="G583" s="50" t="n"/>
      <c r="H583" s="51" t="n"/>
      <c r="I583" s="46" t="n"/>
      <c r="K583" s="46" t="n">
        <v>582</v>
      </c>
      <c r="L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4">
      <c r="A584" s="229" t="n">
        <v>45716</v>
      </c>
      <c r="B584" s="46" t="inlineStr">
        <is>
          <t>메모</t>
        </is>
      </c>
      <c r="C584" s="46" t="inlineStr">
        <is>
          <t>부천지역</t>
        </is>
      </c>
      <c r="D584" s="46" t="inlineStr">
        <is>
          <t>민재홍휴가</t>
        </is>
      </c>
      <c r="E584" s="46" t="n"/>
      <c r="F584" s="46" t="n"/>
      <c r="G584" s="50" t="n"/>
      <c r="H584" s="51" t="n"/>
      <c r="I584" s="46" t="n"/>
      <c r="K584" s="46" t="n">
        <v>583</v>
      </c>
      <c r="L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5">
      <c r="A585" s="229" t="n">
        <v>45716</v>
      </c>
      <c r="B585" s="46" t="inlineStr">
        <is>
          <t>메모</t>
        </is>
      </c>
      <c r="C585" s="46" t="inlineStr">
        <is>
          <t>부천지역</t>
        </is>
      </c>
      <c r="D585" s="46" t="inlineStr">
        <is>
          <t>당효진휴가</t>
        </is>
      </c>
      <c r="E585" s="46" t="n"/>
      <c r="F585" s="46" t="n"/>
      <c r="G585" s="50" t="n"/>
      <c r="H585" s="51" t="n"/>
      <c r="I585" s="46" t="n"/>
      <c r="K585" s="46" t="n">
        <v>584</v>
      </c>
      <c r="L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6">
      <c r="A586" s="229" t="n">
        <v>45717</v>
      </c>
      <c r="B586" s="46" t="inlineStr">
        <is>
          <t>정기검사</t>
        </is>
      </c>
      <c r="C586" s="46" t="inlineStr">
        <is>
          <t>부천지역</t>
        </is>
      </c>
      <c r="D586" s="46" t="inlineStr">
        <is>
          <t>부천테크노쌍용3차</t>
        </is>
      </c>
      <c r="E586" s="46" t="inlineStr">
        <is>
          <t>30000/3000</t>
        </is>
      </c>
      <c r="F586" s="46" t="inlineStr">
        <is>
          <t>삼정동</t>
        </is>
      </c>
      <c r="G586" s="50" t="n">
        <v>0.3958333333333333</v>
      </c>
      <c r="H586" s="51" t="n">
        <v>17946280</v>
      </c>
      <c r="I586" s="46" t="n"/>
      <c r="K586" s="46" t="n">
        <v>585</v>
      </c>
      <c r="L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7">
      <c r="A587" s="229" t="n">
        <v>45717</v>
      </c>
      <c r="B587" s="46" t="inlineStr">
        <is>
          <t>정기검사</t>
        </is>
      </c>
      <c r="C587" s="46" t="inlineStr">
        <is>
          <t>김포지역</t>
        </is>
      </c>
      <c r="D587" s="46" t="inlineStr">
        <is>
          <t>일신피앤씨</t>
        </is>
      </c>
      <c r="E587" s="46" t="inlineStr">
        <is>
          <t>1100/364</t>
        </is>
      </c>
      <c r="F587" s="46" t="inlineStr">
        <is>
          <t>고촌</t>
        </is>
      </c>
      <c r="G587" s="50" t="n">
        <v>0.4166666666666667</v>
      </c>
      <c r="H587" s="51" t="n">
        <v>1493690</v>
      </c>
      <c r="I587" s="46" t="n"/>
      <c r="K587" s="46" t="n">
        <v>586</v>
      </c>
      <c r="L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8">
      <c r="A588" s="229" t="n">
        <v>45717</v>
      </c>
      <c r="B588" s="46" t="inlineStr">
        <is>
          <t>정기검사</t>
        </is>
      </c>
      <c r="C588" s="46" t="inlineStr">
        <is>
          <t>김포지역</t>
        </is>
      </c>
      <c r="D588" s="46" t="inlineStr">
        <is>
          <t>일신피앤씨</t>
        </is>
      </c>
      <c r="E588" s="46" t="inlineStr">
        <is>
          <t>1100/365</t>
        </is>
      </c>
      <c r="F588" s="46" t="inlineStr">
        <is>
          <t>고촌</t>
        </is>
      </c>
      <c r="G588" s="50" t="n">
        <v>0.3958333333333333</v>
      </c>
      <c r="H588" s="51" t="n">
        <v>1869340</v>
      </c>
      <c r="I588" s="46" t="n"/>
      <c r="K588" s="46" t="n">
        <v>587</v>
      </c>
      <c r="L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9">
      <c r="A589" s="229" t="n">
        <v>45717</v>
      </c>
      <c r="B589" s="46" t="inlineStr">
        <is>
          <t>메모</t>
        </is>
      </c>
      <c r="C589" s="46" t="inlineStr">
        <is>
          <t>부천지역</t>
        </is>
      </c>
      <c r="D589" s="46" t="inlineStr">
        <is>
          <t>우승택휴가</t>
        </is>
      </c>
      <c r="E589" s="46" t="n"/>
      <c r="F589" s="46" t="n"/>
      <c r="G589" s="50" t="n"/>
      <c r="H589" s="51" t="n"/>
      <c r="I589" s="46" t="n"/>
      <c r="K589" s="46" t="n">
        <v>588</v>
      </c>
      <c r="L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0">
      <c r="A590" s="229" t="n">
        <v>45718</v>
      </c>
      <c r="B590" s="46" t="inlineStr">
        <is>
          <t>메모</t>
        </is>
      </c>
      <c r="C590" s="46" t="inlineStr">
        <is>
          <t>부천지역</t>
        </is>
      </c>
      <c r="D590" s="46" t="inlineStr">
        <is>
          <t>우승택휴가</t>
        </is>
      </c>
      <c r="E590" s="46" t="n"/>
      <c r="F590" s="46" t="n"/>
      <c r="G590" s="50" t="n"/>
      <c r="H590" s="51" t="n"/>
      <c r="I590" s="46" t="n"/>
      <c r="K590" s="46" t="n">
        <v>589</v>
      </c>
      <c r="L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1">
      <c r="A591" s="229" t="n">
        <v>45719</v>
      </c>
      <c r="B591" s="46" t="inlineStr">
        <is>
          <t>정기검사</t>
        </is>
      </c>
      <c r="C591" s="46" t="inlineStr">
        <is>
          <t>부천지역</t>
        </is>
      </c>
      <c r="D591" s="46" t="inlineStr">
        <is>
          <t>유딜라이트씨앤씨</t>
        </is>
      </c>
      <c r="E591" s="46" t="n">
        <v>295</v>
      </c>
      <c r="F591" s="46" t="inlineStr">
        <is>
          <t>도당동</t>
        </is>
      </c>
      <c r="G591" s="50" t="n">
        <v>0.2916666666666667</v>
      </c>
      <c r="H591" s="51" t="n">
        <v>673970</v>
      </c>
      <c r="I591" s="46" t="inlineStr">
        <is>
          <t>송낙명</t>
        </is>
      </c>
      <c r="K591" s="46" t="n">
        <v>590</v>
      </c>
      <c r="L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2">
      <c r="A592" s="229" t="n">
        <v>45719</v>
      </c>
      <c r="B592" s="46" t="inlineStr">
        <is>
          <t>정기검사</t>
        </is>
      </c>
      <c r="C592" s="46" t="inlineStr">
        <is>
          <t>부천지역</t>
        </is>
      </c>
      <c r="D592" s="46" t="inlineStr">
        <is>
          <t>한성지엠</t>
        </is>
      </c>
      <c r="E592" s="46" t="n">
        <v>7</v>
      </c>
      <c r="F592" s="46" t="inlineStr">
        <is>
          <t>도당동</t>
        </is>
      </c>
      <c r="G592" s="50" t="n">
        <v>0.625</v>
      </c>
      <c r="H592" s="51" t="n">
        <v>72710</v>
      </c>
      <c r="I592" s="46" t="inlineStr">
        <is>
          <t>한태희</t>
        </is>
      </c>
      <c r="K592" s="46" t="n">
        <v>591</v>
      </c>
      <c r="L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3">
      <c r="A593" s="229" t="n">
        <v>45719</v>
      </c>
      <c r="B593" s="46" t="inlineStr">
        <is>
          <t>정기검사</t>
        </is>
      </c>
      <c r="C593" s="46" t="inlineStr">
        <is>
          <t>김포지역</t>
        </is>
      </c>
      <c r="D593" s="46" t="inlineStr">
        <is>
          <t>아이젠</t>
        </is>
      </c>
      <c r="E593" s="46" t="n">
        <v>500</v>
      </c>
      <c r="F593" s="46" t="inlineStr">
        <is>
          <t>고막리</t>
        </is>
      </c>
      <c r="G593" s="50" t="n">
        <v>0.5208333333333334</v>
      </c>
      <c r="H593" s="51" t="n">
        <v>737000</v>
      </c>
      <c r="I593" s="46" t="inlineStr">
        <is>
          <t>서수형</t>
        </is>
      </c>
      <c r="K593" s="46" t="n">
        <v>592</v>
      </c>
      <c r="L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4">
      <c r="A594" s="229" t="n">
        <v>45719</v>
      </c>
      <c r="B594" s="46" t="inlineStr">
        <is>
          <t>정기검사</t>
        </is>
      </c>
      <c r="C594" s="46" t="inlineStr">
        <is>
          <t>김포지역</t>
        </is>
      </c>
      <c r="D594" s="46" t="inlineStr">
        <is>
          <t>한성아이앤디</t>
        </is>
      </c>
      <c r="E594" s="46" t="n">
        <v>350</v>
      </c>
      <c r="F594" s="46" t="inlineStr">
        <is>
          <t>갈산리</t>
        </is>
      </c>
      <c r="G594" s="50" t="n">
        <v>0.5416666666666666</v>
      </c>
      <c r="H594" s="51" t="n">
        <v>686180</v>
      </c>
      <c r="I594" s="46" t="inlineStr">
        <is>
          <t>김영권</t>
        </is>
      </c>
      <c r="K594" s="46" t="n">
        <v>593</v>
      </c>
      <c r="L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5">
      <c r="A595" s="229" t="n">
        <v>45719</v>
      </c>
      <c r="B595" s="46" t="inlineStr">
        <is>
          <t>사용전검사</t>
        </is>
      </c>
      <c r="C595" s="46" t="inlineStr">
        <is>
          <t>부천지역</t>
        </is>
      </c>
      <c r="D595" s="46" t="inlineStr">
        <is>
          <t>먹보</t>
        </is>
      </c>
      <c r="E595" s="46" t="n">
        <v>15</v>
      </c>
      <c r="F595" s="46" t="inlineStr">
        <is>
          <t>원종동</t>
        </is>
      </c>
      <c r="G595" s="50" t="n"/>
      <c r="H595" s="51" t="n"/>
      <c r="I595" s="46" t="inlineStr">
        <is>
          <t>이종석</t>
        </is>
      </c>
      <c r="K595" s="46" t="n">
        <v>594</v>
      </c>
      <c r="L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6">
      <c r="A596" s="229" t="n">
        <v>45719</v>
      </c>
      <c r="B596" s="46" t="inlineStr">
        <is>
          <t>사용전검사</t>
        </is>
      </c>
      <c r="C596" s="46" t="inlineStr">
        <is>
          <t>부천지역</t>
        </is>
      </c>
      <c r="D596" s="46" t="inlineStr">
        <is>
          <t>세븐일레븐</t>
        </is>
      </c>
      <c r="E596" s="46" t="n">
        <v>25</v>
      </c>
      <c r="F596" s="46" t="inlineStr">
        <is>
          <t>심곡동</t>
        </is>
      </c>
      <c r="G596" s="50" t="n"/>
      <c r="H596" s="51" t="n"/>
      <c r="I596" s="46" t="inlineStr">
        <is>
          <t>민경수</t>
        </is>
      </c>
      <c r="K596" s="46" t="n">
        <v>595</v>
      </c>
      <c r="L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7">
      <c r="A597" s="229" t="n">
        <v>45719</v>
      </c>
      <c r="B597" s="46" t="inlineStr">
        <is>
          <t>사용전검사</t>
        </is>
      </c>
      <c r="C597" s="46" t="inlineStr">
        <is>
          <t>부천지역</t>
        </is>
      </c>
      <c r="D597" s="46" t="inlineStr">
        <is>
          <t>우리빌딩</t>
        </is>
      </c>
      <c r="E597" s="46" t="n">
        <v>25</v>
      </c>
      <c r="F597" s="46" t="inlineStr">
        <is>
          <t>심곡동</t>
        </is>
      </c>
      <c r="G597" s="50" t="n"/>
      <c r="H597" s="51" t="n"/>
      <c r="I597" s="46" t="inlineStr">
        <is>
          <t>민경수</t>
        </is>
      </c>
      <c r="K597" s="46" t="n">
        <v>596</v>
      </c>
      <c r="L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8">
      <c r="A598" s="229" t="n">
        <v>45719</v>
      </c>
      <c r="B598" s="46" t="inlineStr">
        <is>
          <t>사용전검사</t>
        </is>
      </c>
      <c r="C598" s="46" t="inlineStr">
        <is>
          <t>부천지역</t>
        </is>
      </c>
      <c r="D598" s="46" t="inlineStr">
        <is>
          <t>구들짱황소곱창</t>
        </is>
      </c>
      <c r="E598" s="46" t="n">
        <v>15</v>
      </c>
      <c r="F598" s="46" t="inlineStr">
        <is>
          <t>중동</t>
        </is>
      </c>
      <c r="G598" s="50" t="n"/>
      <c r="H598" s="51" t="n"/>
      <c r="I598" s="46" t="inlineStr">
        <is>
          <t>한태희</t>
        </is>
      </c>
      <c r="K598" s="46" t="n">
        <v>597</v>
      </c>
      <c r="L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9">
      <c r="A599" s="229" t="n">
        <v>45719</v>
      </c>
      <c r="B599" s="46" t="inlineStr">
        <is>
          <t>메모</t>
        </is>
      </c>
      <c r="C599" s="46" t="inlineStr">
        <is>
          <t>부천지역</t>
        </is>
      </c>
      <c r="D599" s="46" t="inlineStr">
        <is>
          <t>이덕기휴가</t>
        </is>
      </c>
      <c r="E599" s="46" t="n"/>
      <c r="F599" s="46" t="n"/>
      <c r="G599" s="50" t="n"/>
      <c r="H599" s="51" t="n"/>
      <c r="I599" s="46" t="n"/>
      <c r="K599" s="46" t="n">
        <v>598</v>
      </c>
      <c r="L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0">
      <c r="A600" s="229" t="n">
        <v>45719</v>
      </c>
      <c r="B600" s="46" t="inlineStr">
        <is>
          <t>메모</t>
        </is>
      </c>
      <c r="C600" s="46" t="inlineStr">
        <is>
          <t>부천지역</t>
        </is>
      </c>
      <c r="D600" s="46" t="inlineStr">
        <is>
          <t>우승택휴가</t>
        </is>
      </c>
      <c r="E600" s="46" t="n"/>
      <c r="F600" s="46" t="n"/>
      <c r="G600" s="50" t="n"/>
      <c r="H600" s="51" t="n"/>
      <c r="I600" s="46" t="n"/>
      <c r="K600" s="46" t="n">
        <v>599</v>
      </c>
      <c r="L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1">
      <c r="A601" s="229" t="n">
        <v>45719</v>
      </c>
      <c r="B601" s="46" t="inlineStr">
        <is>
          <t>메모</t>
        </is>
      </c>
      <c r="C601" s="46" t="inlineStr">
        <is>
          <t>부천지역</t>
        </is>
      </c>
      <c r="D601" s="46" t="inlineStr">
        <is>
          <t>송두기교육</t>
        </is>
      </c>
      <c r="E601" s="46" t="n"/>
      <c r="F601" s="46" t="n"/>
      <c r="G601" s="50" t="n"/>
      <c r="H601" s="51" t="n"/>
      <c r="I601" s="46" t="n"/>
      <c r="K601" s="46" t="n">
        <v>600</v>
      </c>
      <c r="L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2">
      <c r="A602" s="229" t="n">
        <v>45719</v>
      </c>
      <c r="B602" s="46" t="inlineStr">
        <is>
          <t>사용전검사</t>
        </is>
      </c>
      <c r="C602" s="46" t="inlineStr">
        <is>
          <t>김포지역</t>
        </is>
      </c>
      <c r="D602" s="46" t="inlineStr">
        <is>
          <t>모헷</t>
        </is>
      </c>
      <c r="E602" s="46" t="n"/>
      <c r="F602" s="46" t="n"/>
      <c r="G602" s="50" t="n"/>
      <c r="H602" s="51" t="n"/>
      <c r="I602" s="46" t="inlineStr">
        <is>
          <t>정성관</t>
        </is>
      </c>
      <c r="K602" s="46" t="n">
        <v>601</v>
      </c>
      <c r="L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3">
      <c r="A603" s="229" t="n">
        <v>45719</v>
      </c>
      <c r="B603" s="46" t="inlineStr">
        <is>
          <t>사용전검사</t>
        </is>
      </c>
      <c r="C603" s="46" t="inlineStr">
        <is>
          <t>김포지역</t>
        </is>
      </c>
      <c r="D603" s="46" t="inlineStr">
        <is>
          <t>모헷</t>
        </is>
      </c>
      <c r="E603" s="46" t="n"/>
      <c r="F603" s="46" t="n"/>
      <c r="G603" s="50" t="n"/>
      <c r="H603" s="51" t="n"/>
      <c r="I603" s="46" t="inlineStr">
        <is>
          <t>정성관</t>
        </is>
      </c>
      <c r="K603" s="46" t="n">
        <v>602</v>
      </c>
      <c r="L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4">
      <c r="A604" s="229" t="n">
        <v>45719</v>
      </c>
      <c r="B604" s="46" t="inlineStr">
        <is>
          <t>사용전검사</t>
        </is>
      </c>
      <c r="C604" s="46" t="inlineStr">
        <is>
          <t>김포지역</t>
        </is>
      </c>
      <c r="D604" s="46" t="inlineStr">
        <is>
          <t>송마1호</t>
        </is>
      </c>
      <c r="E604" s="46" t="n">
        <v>89</v>
      </c>
      <c r="F604" s="46" t="inlineStr">
        <is>
          <t>송마리</t>
        </is>
      </c>
      <c r="G604" s="50" t="n"/>
      <c r="H604" s="51" t="n"/>
      <c r="I604" s="46" t="inlineStr">
        <is>
          <t>민재홍</t>
        </is>
      </c>
      <c r="K604" s="46" t="n">
        <v>603</v>
      </c>
      <c r="L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5">
      <c r="A605" s="229" t="n">
        <v>45719</v>
      </c>
      <c r="B605" s="46" t="inlineStr">
        <is>
          <t>사용전검사</t>
        </is>
      </c>
      <c r="C605" s="46" t="inlineStr">
        <is>
          <t>김포지역</t>
        </is>
      </c>
      <c r="D605" s="46" t="inlineStr">
        <is>
          <t>송마2호</t>
        </is>
      </c>
      <c r="E605" s="46" t="n">
        <v>90</v>
      </c>
      <c r="F605" s="46" t="inlineStr">
        <is>
          <t>송마리</t>
        </is>
      </c>
      <c r="G605" s="50" t="n"/>
      <c r="H605" s="51" t="n"/>
      <c r="I605" s="46" t="inlineStr">
        <is>
          <t>민재홍</t>
        </is>
      </c>
      <c r="K605" s="46" t="n">
        <v>604</v>
      </c>
      <c r="L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6">
      <c r="A606" s="229" t="n">
        <v>45719</v>
      </c>
      <c r="B606" s="46" t="inlineStr">
        <is>
          <t>사용전검사</t>
        </is>
      </c>
      <c r="C606" s="46" t="inlineStr">
        <is>
          <t>김포지역</t>
        </is>
      </c>
      <c r="D606" s="46" t="inlineStr">
        <is>
          <t>대한태양광</t>
        </is>
      </c>
      <c r="E606" s="46" t="n">
        <v>126</v>
      </c>
      <c r="F606" s="46" t="inlineStr">
        <is>
          <t>송마리</t>
        </is>
      </c>
      <c r="G606" s="50" t="n"/>
      <c r="H606" s="51" t="n"/>
      <c r="I606" s="46" t="inlineStr">
        <is>
          <t>정신배</t>
        </is>
      </c>
      <c r="K606" s="46" t="n">
        <v>605</v>
      </c>
      <c r="L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7">
      <c r="A607" s="229" t="n">
        <v>45719</v>
      </c>
      <c r="B607" s="46" t="inlineStr">
        <is>
          <t>사용전검사</t>
        </is>
      </c>
      <c r="C607" s="46" t="inlineStr">
        <is>
          <t>김포지역</t>
        </is>
      </c>
      <c r="D607" s="46" t="inlineStr">
        <is>
          <t>김정동</t>
        </is>
      </c>
      <c r="E607" s="46" t="n">
        <v>50</v>
      </c>
      <c r="F607" s="46" t="inlineStr">
        <is>
          <t>양택리</t>
        </is>
      </c>
      <c r="G607" s="50" t="n"/>
      <c r="H607" s="51" t="n"/>
      <c r="I607" s="46" t="inlineStr">
        <is>
          <t>허창수</t>
        </is>
      </c>
      <c r="K607" s="46" t="n">
        <v>606</v>
      </c>
      <c r="L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8">
      <c r="A608" s="229" t="n">
        <v>45719</v>
      </c>
      <c r="B608" s="46" t="inlineStr">
        <is>
          <t>사용전검사</t>
        </is>
      </c>
      <c r="C608" s="46" t="inlineStr">
        <is>
          <t>김포지역</t>
        </is>
      </c>
      <c r="D608" s="46" t="inlineStr">
        <is>
          <t>모헷</t>
        </is>
      </c>
      <c r="E608" s="46" t="n">
        <v>63</v>
      </c>
      <c r="F608" s="46" t="inlineStr">
        <is>
          <t>유현리</t>
        </is>
      </c>
      <c r="G608" s="50" t="n"/>
      <c r="H608" s="51" t="n"/>
      <c r="I608" s="46" t="inlineStr">
        <is>
          <t>정성관</t>
        </is>
      </c>
      <c r="K608" s="46" t="n">
        <v>607</v>
      </c>
      <c r="L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9">
      <c r="A609" s="229" t="n">
        <v>45720</v>
      </c>
      <c r="B609" s="46" t="inlineStr">
        <is>
          <t>정기검사</t>
        </is>
      </c>
      <c r="C609" s="46" t="inlineStr">
        <is>
          <t>부천지역</t>
        </is>
      </c>
      <c r="D609" s="46" t="inlineStr">
        <is>
          <t>에스씨하이테크</t>
        </is>
      </c>
      <c r="E609" s="46" t="n">
        <v>400</v>
      </c>
      <c r="F609" s="46" t="inlineStr">
        <is>
          <t>도당동</t>
        </is>
      </c>
      <c r="G609" s="50" t="n">
        <v>0.5</v>
      </c>
      <c r="H609" s="51" t="n">
        <v>703120</v>
      </c>
      <c r="I609" s="46" t="inlineStr">
        <is>
          <t>민재홍</t>
        </is>
      </c>
      <c r="K609" s="46" t="n">
        <v>608</v>
      </c>
      <c r="L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0">
      <c r="A610" s="229" t="n">
        <v>45720</v>
      </c>
      <c r="B610" s="46" t="inlineStr">
        <is>
          <t>정기검사</t>
        </is>
      </c>
      <c r="C610" s="46" t="inlineStr">
        <is>
          <t>부천지역</t>
        </is>
      </c>
      <c r="D610" s="46" t="inlineStr">
        <is>
          <t>옥길한시더휴</t>
        </is>
      </c>
      <c r="E610" s="46" t="inlineStr">
        <is>
          <t>3000/600</t>
        </is>
      </c>
      <c r="F610" s="46" t="inlineStr">
        <is>
          <t>옥길동</t>
        </is>
      </c>
      <c r="G610" s="50" t="n">
        <v>0.5833333333333334</v>
      </c>
      <c r="H610" s="51" t="n">
        <v>1474550</v>
      </c>
      <c r="I610" s="46" t="inlineStr">
        <is>
          <t>송낙명</t>
        </is>
      </c>
      <c r="K610" s="46" t="n">
        <v>609</v>
      </c>
      <c r="L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1">
      <c r="A611" s="229" t="n">
        <v>45720</v>
      </c>
      <c r="B611" s="46" t="inlineStr">
        <is>
          <t>정기검사</t>
        </is>
      </c>
      <c r="C611" s="46" t="inlineStr">
        <is>
          <t>김포지역</t>
        </is>
      </c>
      <c r="D611" s="46" t="inlineStr">
        <is>
          <t>스타비아호텔</t>
        </is>
      </c>
      <c r="E611" s="46" t="inlineStr">
        <is>
          <t>500/118</t>
        </is>
      </c>
      <c r="F611" s="46" t="inlineStr">
        <is>
          <t>장기동</t>
        </is>
      </c>
      <c r="G611" s="50" t="n">
        <v>0.4166666666666667</v>
      </c>
      <c r="H611" s="51" t="n">
        <v>788370</v>
      </c>
      <c r="I611" s="46" t="inlineStr">
        <is>
          <t>허창수</t>
        </is>
      </c>
      <c r="K611" s="46" t="n">
        <v>610</v>
      </c>
      <c r="L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2">
      <c r="A612" s="229" t="n">
        <v>45720</v>
      </c>
      <c r="B612" s="46" t="inlineStr">
        <is>
          <t>정기검사</t>
        </is>
      </c>
      <c r="C612" s="46" t="inlineStr">
        <is>
          <t>김포지역</t>
        </is>
      </c>
      <c r="D612" s="46" t="inlineStr">
        <is>
          <t>영농조합법인</t>
        </is>
      </c>
      <c r="E612" s="46" t="n">
        <v>400</v>
      </c>
      <c r="F612" s="46" t="inlineStr">
        <is>
          <t>석정리</t>
        </is>
      </c>
      <c r="G612" s="50" t="n">
        <v>0.4583333333333333</v>
      </c>
      <c r="H612" s="51" t="n">
        <v>703120</v>
      </c>
      <c r="I612" s="46" t="inlineStr">
        <is>
          <t>이종석</t>
        </is>
      </c>
      <c r="K612" s="46" t="n">
        <v>611</v>
      </c>
      <c r="L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3">
      <c r="A613" s="229" t="n">
        <v>45720</v>
      </c>
      <c r="B613" s="46" t="inlineStr">
        <is>
          <t>정기검사</t>
        </is>
      </c>
      <c r="C613" s="46" t="inlineStr">
        <is>
          <t>김포지역</t>
        </is>
      </c>
      <c r="D613" s="46" t="inlineStr">
        <is>
          <t>태영체인</t>
        </is>
      </c>
      <c r="E613" s="46" t="n">
        <v>250</v>
      </c>
      <c r="F613" s="46" t="inlineStr">
        <is>
          <t>송마리</t>
        </is>
      </c>
      <c r="G613" s="50" t="n">
        <v>0.4583333333333333</v>
      </c>
      <c r="H613" s="51" t="n">
        <v>489170</v>
      </c>
      <c r="I613" s="46" t="inlineStr">
        <is>
          <t>서수형</t>
        </is>
      </c>
      <c r="K613" s="46" t="n">
        <v>612</v>
      </c>
      <c r="L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4">
      <c r="A614" s="229" t="n">
        <v>45720</v>
      </c>
      <c r="B614" s="46" t="inlineStr">
        <is>
          <t>사용전검사</t>
        </is>
      </c>
      <c r="C614" s="46" t="inlineStr">
        <is>
          <t>부천지역</t>
        </is>
      </c>
      <c r="D614" s="46" t="inlineStr">
        <is>
          <t>더테라</t>
        </is>
      </c>
      <c r="E614" s="46" t="n">
        <v>93</v>
      </c>
      <c r="F614" s="46" t="inlineStr">
        <is>
          <t>고강동</t>
        </is>
      </c>
      <c r="G614" s="50" t="n"/>
      <c r="H614" s="51" t="n"/>
      <c r="I614" s="46" t="inlineStr">
        <is>
          <t>우승택</t>
        </is>
      </c>
      <c r="K614" s="46" t="n">
        <v>613</v>
      </c>
      <c r="L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5">
      <c r="A615" s="229" t="n">
        <v>45720</v>
      </c>
      <c r="B615" s="46" t="inlineStr">
        <is>
          <t>메모</t>
        </is>
      </c>
      <c r="C615" s="46" t="inlineStr">
        <is>
          <t>부천지역</t>
        </is>
      </c>
      <c r="D615" s="46" t="inlineStr">
        <is>
          <t>송두기교육</t>
        </is>
      </c>
      <c r="E615" s="46" t="n"/>
      <c r="F615" s="46" t="n"/>
      <c r="G615" s="50" t="n"/>
      <c r="H615" s="51" t="n"/>
      <c r="I615" s="46" t="n"/>
      <c r="K615" s="46" t="n">
        <v>614</v>
      </c>
      <c r="L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6">
      <c r="A616" s="229" t="n">
        <v>45720</v>
      </c>
      <c r="B616" s="46" t="inlineStr">
        <is>
          <t>사용전검사</t>
        </is>
      </c>
      <c r="C616" s="46" t="inlineStr">
        <is>
          <t>김포지역</t>
        </is>
      </c>
      <c r="D616" s="46" t="inlineStr">
        <is>
          <t>큰그림1호</t>
        </is>
      </c>
      <c r="E616" s="46" t="n">
        <v>88</v>
      </c>
      <c r="F616" s="46" t="inlineStr">
        <is>
          <t>학운리</t>
        </is>
      </c>
      <c r="G616" s="50" t="n"/>
      <c r="H616" s="51" t="n"/>
      <c r="I616" s="46" t="inlineStr">
        <is>
          <t>이덕기</t>
        </is>
      </c>
      <c r="K616" s="46" t="n">
        <v>615</v>
      </c>
      <c r="L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7">
      <c r="A617" s="229" t="n">
        <v>45720</v>
      </c>
      <c r="B617" s="46" t="inlineStr">
        <is>
          <t>사용전검사</t>
        </is>
      </c>
      <c r="C617" s="46" t="inlineStr">
        <is>
          <t>김포지역</t>
        </is>
      </c>
      <c r="D617" s="46" t="inlineStr">
        <is>
          <t>큰그림2호</t>
        </is>
      </c>
      <c r="E617" s="46" t="n">
        <v>89</v>
      </c>
      <c r="F617" s="46" t="inlineStr">
        <is>
          <t>학운리</t>
        </is>
      </c>
      <c r="G617" s="50" t="n"/>
      <c r="H617" s="51" t="n"/>
      <c r="I617" s="46" t="inlineStr">
        <is>
          <t>이덕기</t>
        </is>
      </c>
      <c r="K617" s="46" t="n">
        <v>616</v>
      </c>
      <c r="L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8">
      <c r="A618" s="229" t="n">
        <v>45720</v>
      </c>
      <c r="B618" s="46" t="inlineStr">
        <is>
          <t>사용전검사</t>
        </is>
      </c>
      <c r="C618" s="46" t="inlineStr">
        <is>
          <t>김포지역</t>
        </is>
      </c>
      <c r="D618" s="46" t="inlineStr">
        <is>
          <t>큰그림3호</t>
        </is>
      </c>
      <c r="E618" s="46" t="n">
        <v>90</v>
      </c>
      <c r="F618" s="46" t="inlineStr">
        <is>
          <t>학운리</t>
        </is>
      </c>
      <c r="G618" s="50" t="n"/>
      <c r="H618" s="51" t="n"/>
      <c r="I618" s="46" t="inlineStr">
        <is>
          <t>정성관</t>
        </is>
      </c>
      <c r="K618" s="46" t="n">
        <v>617</v>
      </c>
      <c r="L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9">
      <c r="A619" s="229" t="n">
        <v>45720</v>
      </c>
      <c r="B619" s="46" t="inlineStr">
        <is>
          <t>사용전검사</t>
        </is>
      </c>
      <c r="C619" s="46" t="inlineStr">
        <is>
          <t>김포지역</t>
        </is>
      </c>
      <c r="D619" s="46" t="inlineStr">
        <is>
          <t>큰그림4호</t>
        </is>
      </c>
      <c r="E619" s="46" t="n">
        <v>91</v>
      </c>
      <c r="F619" s="46" t="inlineStr">
        <is>
          <t>학운리</t>
        </is>
      </c>
      <c r="G619" s="50" t="n"/>
      <c r="H619" s="51" t="n"/>
      <c r="I619" s="46" t="inlineStr">
        <is>
          <t>정성관</t>
        </is>
      </c>
      <c r="K619" s="46" t="n">
        <v>618</v>
      </c>
      <c r="L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0">
      <c r="A620" s="229" t="n">
        <v>45720</v>
      </c>
      <c r="B620" s="46" t="inlineStr">
        <is>
          <t>사용전검사</t>
        </is>
      </c>
      <c r="C620" s="46" t="inlineStr">
        <is>
          <t>김포지역</t>
        </is>
      </c>
      <c r="D620" s="46" t="inlineStr">
        <is>
          <t>노블레스</t>
        </is>
      </c>
      <c r="E620" s="46" t="n">
        <v>7</v>
      </c>
      <c r="F620" s="46" t="inlineStr">
        <is>
          <t>양곡리</t>
        </is>
      </c>
      <c r="G620" s="50" t="n"/>
      <c r="H620" s="51" t="n"/>
      <c r="I620" s="46" t="inlineStr">
        <is>
          <t>한태희</t>
        </is>
      </c>
      <c r="K620" s="46" t="n">
        <v>619</v>
      </c>
      <c r="L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1">
      <c r="A621" s="229" t="n">
        <v>45720</v>
      </c>
      <c r="B621" s="46" t="inlineStr">
        <is>
          <t>사용전검사</t>
        </is>
      </c>
      <c r="C621" s="46" t="inlineStr">
        <is>
          <t>김포지역</t>
        </is>
      </c>
      <c r="D621" s="46" t="inlineStr">
        <is>
          <t>은성산업</t>
        </is>
      </c>
      <c r="E621" s="46" t="n">
        <v>150</v>
      </c>
      <c r="F621" s="46" t="inlineStr">
        <is>
          <t>원산리</t>
        </is>
      </c>
      <c r="G621" s="50" t="n"/>
      <c r="H621" s="51" t="n"/>
      <c r="I621" s="46" t="inlineStr">
        <is>
          <t>김영권</t>
        </is>
      </c>
      <c r="K621" s="46" t="n">
        <v>620</v>
      </c>
      <c r="L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2">
      <c r="A622" s="229" t="n">
        <v>45720</v>
      </c>
      <c r="B622" s="46" t="inlineStr">
        <is>
          <t>사용전검사</t>
        </is>
      </c>
      <c r="C622" s="46" t="inlineStr">
        <is>
          <t>김포지역</t>
        </is>
      </c>
      <c r="D622" s="46" t="inlineStr">
        <is>
          <t>컴인워시</t>
        </is>
      </c>
      <c r="E622" s="46" t="n">
        <v>65</v>
      </c>
      <c r="F622" s="46" t="inlineStr">
        <is>
          <t>장기동</t>
        </is>
      </c>
      <c r="G622" s="50" t="n"/>
      <c r="H622" s="51" t="n"/>
      <c r="I622" s="46" t="inlineStr">
        <is>
          <t>정신배</t>
        </is>
      </c>
      <c r="K622" s="46" t="n">
        <v>621</v>
      </c>
      <c r="L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3">
      <c r="A623" s="229" t="n">
        <v>45721</v>
      </c>
      <c r="B623" s="46" t="inlineStr">
        <is>
          <t>정기검사</t>
        </is>
      </c>
      <c r="C623" s="46" t="inlineStr">
        <is>
          <t>부천지역</t>
        </is>
      </c>
      <c r="D623" s="46" t="inlineStr">
        <is>
          <t>신영정밀</t>
        </is>
      </c>
      <c r="E623" s="46" t="n">
        <v>170</v>
      </c>
      <c r="F623" s="46" t="inlineStr">
        <is>
          <t>도당동</t>
        </is>
      </c>
      <c r="G623" s="50" t="n">
        <v>0.5416666666666666</v>
      </c>
      <c r="H623" s="51" t="n">
        <v>437140</v>
      </c>
      <c r="I623" s="46" t="inlineStr">
        <is>
          <t>한태희</t>
        </is>
      </c>
      <c r="K623" s="46" t="n">
        <v>622</v>
      </c>
      <c r="L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4">
      <c r="A624" s="229" t="n">
        <v>45721</v>
      </c>
      <c r="B624" s="46" t="inlineStr">
        <is>
          <t>정기검사</t>
        </is>
      </c>
      <c r="C624" s="46" t="inlineStr">
        <is>
          <t>김포지역</t>
        </is>
      </c>
      <c r="D624" s="46" t="inlineStr">
        <is>
          <t>캐슬앤파밀리에시티</t>
        </is>
      </c>
      <c r="E624" s="46" t="inlineStr">
        <is>
          <t>400/200</t>
        </is>
      </c>
      <c r="F624" s="46" t="inlineStr">
        <is>
          <t>고촌</t>
        </is>
      </c>
      <c r="G624" s="50" t="n">
        <v>0.3958333333333333</v>
      </c>
      <c r="H624" s="51" t="n">
        <v>760540</v>
      </c>
      <c r="I624" s="46" t="inlineStr">
        <is>
          <t>김영권</t>
        </is>
      </c>
      <c r="K624" s="46" t="n">
        <v>623</v>
      </c>
      <c r="L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5">
      <c r="A625" s="229" t="n">
        <v>45721</v>
      </c>
      <c r="B625" s="46" t="inlineStr">
        <is>
          <t>정기검사</t>
        </is>
      </c>
      <c r="C625" s="46" t="inlineStr">
        <is>
          <t>김포지역</t>
        </is>
      </c>
      <c r="D625" s="46" t="inlineStr">
        <is>
          <t>마송현대</t>
        </is>
      </c>
      <c r="E625" s="46" t="inlineStr">
        <is>
          <t>750/191</t>
        </is>
      </c>
      <c r="F625" s="46" t="inlineStr">
        <is>
          <t>마송리</t>
        </is>
      </c>
      <c r="G625" s="50" t="n">
        <v>0.3958333333333333</v>
      </c>
      <c r="H625" s="51" t="n">
        <v>878460</v>
      </c>
      <c r="I625" s="46" t="inlineStr">
        <is>
          <t>정신배</t>
        </is>
      </c>
      <c r="K625" s="46" t="n">
        <v>624</v>
      </c>
      <c r="L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6">
      <c r="A626" s="229" t="n">
        <v>45721</v>
      </c>
      <c r="B626" s="46" t="inlineStr">
        <is>
          <t>정기검사</t>
        </is>
      </c>
      <c r="C626" s="46" t="inlineStr">
        <is>
          <t>김포지역</t>
        </is>
      </c>
      <c r="D626" s="46" t="inlineStr">
        <is>
          <t>명일레이저</t>
        </is>
      </c>
      <c r="E626" s="46" t="n">
        <v>500</v>
      </c>
      <c r="F626" s="46" t="inlineStr">
        <is>
          <t>초원지리</t>
        </is>
      </c>
      <c r="G626" s="50" t="n">
        <v>0.5</v>
      </c>
      <c r="H626" s="51" t="n">
        <v>737000</v>
      </c>
      <c r="I626" s="46" t="inlineStr">
        <is>
          <t>이덕기</t>
        </is>
      </c>
      <c r="K626" s="46" t="n">
        <v>625</v>
      </c>
      <c r="L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7">
      <c r="A627" s="229" t="n">
        <v>45721</v>
      </c>
      <c r="B627" s="46" t="inlineStr">
        <is>
          <t>정기검사</t>
        </is>
      </c>
      <c r="C627" s="46" t="inlineStr">
        <is>
          <t>김포지역</t>
        </is>
      </c>
      <c r="D627" s="46" t="inlineStr">
        <is>
          <t>제노켐코리아</t>
        </is>
      </c>
      <c r="E627" s="46" t="n">
        <v>290</v>
      </c>
      <c r="F627" s="46" t="inlineStr">
        <is>
          <t>학운리</t>
        </is>
      </c>
      <c r="G627" s="50" t="n">
        <v>0.5625</v>
      </c>
      <c r="H627" s="51" t="n">
        <v>515130</v>
      </c>
      <c r="I627" s="46" t="inlineStr">
        <is>
          <t>민재홍</t>
        </is>
      </c>
      <c r="K627" s="46" t="n">
        <v>626</v>
      </c>
      <c r="L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8">
      <c r="A628" s="229" t="n">
        <v>45721</v>
      </c>
      <c r="B628" s="46" t="inlineStr">
        <is>
          <t>사용전검사</t>
        </is>
      </c>
      <c r="C628" s="46" t="inlineStr">
        <is>
          <t>부천지역</t>
        </is>
      </c>
      <c r="D628" s="46" t="inlineStr">
        <is>
          <t>부천물류</t>
        </is>
      </c>
      <c r="E628" s="46" t="inlineStr">
        <is>
          <t>부분</t>
        </is>
      </c>
      <c r="F628" s="46" t="n"/>
      <c r="G628" s="50" t="n"/>
      <c r="H628" s="51" t="n"/>
      <c r="I628" s="46" t="inlineStr">
        <is>
          <t>민경수</t>
        </is>
      </c>
      <c r="K628" s="46" t="n">
        <v>627</v>
      </c>
      <c r="L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9">
      <c r="A629" s="229" t="n">
        <v>45721</v>
      </c>
      <c r="B629" s="46" t="inlineStr">
        <is>
          <t>사용전검사</t>
        </is>
      </c>
      <c r="C629" s="46" t="inlineStr">
        <is>
          <t>부천지역</t>
        </is>
      </c>
      <c r="D629" s="46" t="inlineStr">
        <is>
          <t>미코</t>
        </is>
      </c>
      <c r="E629" s="46" t="n"/>
      <c r="F629" s="46" t="n"/>
      <c r="G629" s="50" t="n"/>
      <c r="H629" s="51" t="n"/>
      <c r="I629" s="46" t="inlineStr">
        <is>
          <t>이종석</t>
        </is>
      </c>
      <c r="K629" s="46" t="n">
        <v>628</v>
      </c>
      <c r="L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0">
      <c r="A630" s="229" t="n">
        <v>45721</v>
      </c>
      <c r="B630" s="46" t="inlineStr">
        <is>
          <t>사용전검사</t>
        </is>
      </c>
      <c r="C630" s="46" t="inlineStr">
        <is>
          <t>부천지역</t>
        </is>
      </c>
      <c r="D630" s="46" t="inlineStr">
        <is>
          <t>미코</t>
        </is>
      </c>
      <c r="E630" s="46" t="n"/>
      <c r="F630" s="46" t="n"/>
      <c r="G630" s="50" t="n"/>
      <c r="H630" s="51" t="n"/>
      <c r="I630" s="46" t="inlineStr">
        <is>
          <t>이종석</t>
        </is>
      </c>
      <c r="K630" s="46" t="n">
        <v>629</v>
      </c>
      <c r="L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1">
      <c r="A631" s="229" t="n">
        <v>45721</v>
      </c>
      <c r="B631" s="46" t="inlineStr">
        <is>
          <t>사용전검사</t>
        </is>
      </c>
      <c r="C631" s="46" t="inlineStr">
        <is>
          <t>부천지역</t>
        </is>
      </c>
      <c r="D631" s="46" t="inlineStr">
        <is>
          <t>미코</t>
        </is>
      </c>
      <c r="E631" s="46" t="n"/>
      <c r="F631" s="46" t="n"/>
      <c r="G631" s="50" t="n"/>
      <c r="H631" s="51" t="n"/>
      <c r="I631" s="46" t="inlineStr">
        <is>
          <t>이종석</t>
        </is>
      </c>
      <c r="K631" s="46" t="n">
        <v>630</v>
      </c>
      <c r="L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2">
      <c r="A632" s="229" t="n">
        <v>45721</v>
      </c>
      <c r="B632" s="46" t="inlineStr">
        <is>
          <t>메모</t>
        </is>
      </c>
      <c r="C632" s="46" t="inlineStr">
        <is>
          <t>부천지역</t>
        </is>
      </c>
      <c r="D632" s="46" t="inlineStr">
        <is>
          <t>송두기교육</t>
        </is>
      </c>
      <c r="E632" s="46" t="n"/>
      <c r="F632" s="46" t="n"/>
      <c r="G632" s="50" t="n"/>
      <c r="H632" s="51" t="n"/>
      <c r="I632" s="46" t="n"/>
      <c r="K632" s="46" t="n">
        <v>631</v>
      </c>
      <c r="L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3">
      <c r="A633" s="229" t="n">
        <v>45722</v>
      </c>
      <c r="B633" s="46" t="inlineStr">
        <is>
          <t>정기검사</t>
        </is>
      </c>
      <c r="C633" s="46" t="inlineStr">
        <is>
          <t>부천지역</t>
        </is>
      </c>
      <c r="D633" s="46" t="inlineStr">
        <is>
          <t>한림프라자</t>
        </is>
      </c>
      <c r="E633" s="46" t="inlineStr">
        <is>
          <t>600/105</t>
        </is>
      </c>
      <c r="F633" s="46" t="inlineStr">
        <is>
          <t>상동</t>
        </is>
      </c>
      <c r="G633" s="50" t="n">
        <v>0.625</v>
      </c>
      <c r="H633" s="51" t="n">
        <v>821730</v>
      </c>
      <c r="I633" s="46" t="inlineStr">
        <is>
          <t>서수형</t>
        </is>
      </c>
      <c r="K633" s="46" t="n">
        <v>632</v>
      </c>
      <c r="L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4">
      <c r="A634" s="229" t="n">
        <v>45722</v>
      </c>
      <c r="B634" s="46" t="inlineStr">
        <is>
          <t>정기검사</t>
        </is>
      </c>
      <c r="C634" s="46" t="inlineStr">
        <is>
          <t>부천지역</t>
        </is>
      </c>
      <c r="D634" s="46" t="inlineStr">
        <is>
          <t>부천상공회의소</t>
        </is>
      </c>
      <c r="E634" s="46" t="n">
        <v>600</v>
      </c>
      <c r="F634" s="46" t="inlineStr">
        <is>
          <t>심곡동</t>
        </is>
      </c>
      <c r="G634" s="50" t="n">
        <v>0.4791666666666667</v>
      </c>
      <c r="H634" s="51" t="n">
        <v>770880</v>
      </c>
      <c r="I634" s="46" t="inlineStr">
        <is>
          <t>우승택</t>
        </is>
      </c>
      <c r="K634" s="46" t="n">
        <v>633</v>
      </c>
      <c r="L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5">
      <c r="A635" s="229" t="n">
        <v>45722</v>
      </c>
      <c r="B635" s="46" t="inlineStr">
        <is>
          <t>정기검사</t>
        </is>
      </c>
      <c r="C635" s="46" t="inlineStr">
        <is>
          <t>부천지역</t>
        </is>
      </c>
      <c r="D635" s="46" t="inlineStr">
        <is>
          <t>금강빌딩</t>
        </is>
      </c>
      <c r="E635" s="46" t="inlineStr">
        <is>
          <t>300/130</t>
        </is>
      </c>
      <c r="F635" s="46" t="inlineStr">
        <is>
          <t>고강동</t>
        </is>
      </c>
      <c r="G635" s="50" t="n">
        <v>0.3958333333333333</v>
      </c>
      <c r="H635" s="51" t="n">
        <v>760980</v>
      </c>
      <c r="I635" s="46" t="inlineStr">
        <is>
          <t>민재홍</t>
        </is>
      </c>
      <c r="K635" s="46" t="n">
        <v>634</v>
      </c>
      <c r="L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6">
      <c r="A636" s="229" t="n">
        <v>45722</v>
      </c>
      <c r="B636" s="46" t="inlineStr">
        <is>
          <t>정기검사</t>
        </is>
      </c>
      <c r="C636" s="46" t="inlineStr">
        <is>
          <t>부천지역</t>
        </is>
      </c>
      <c r="D636" s="46" t="inlineStr">
        <is>
          <t>미래쎌틱</t>
        </is>
      </c>
      <c r="E636" s="46" t="n">
        <v>290</v>
      </c>
      <c r="F636" s="46" t="inlineStr">
        <is>
          <t>도당동</t>
        </is>
      </c>
      <c r="G636" s="50" t="n">
        <v>0.5416666666666666</v>
      </c>
      <c r="H636" s="51" t="n">
        <v>515130</v>
      </c>
      <c r="I636" s="46" t="inlineStr">
        <is>
          <t>정신배</t>
        </is>
      </c>
      <c r="K636" s="46" t="n">
        <v>635</v>
      </c>
      <c r="L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7">
      <c r="A637" s="229" t="n">
        <v>45722</v>
      </c>
      <c r="B637" s="46" t="inlineStr">
        <is>
          <t>정기검사</t>
        </is>
      </c>
      <c r="C637" s="46" t="inlineStr">
        <is>
          <t>김포지역</t>
        </is>
      </c>
      <c r="D637" s="46" t="inlineStr">
        <is>
          <t>디토</t>
        </is>
      </c>
      <c r="E637" s="46" t="n">
        <v>81</v>
      </c>
      <c r="F637" s="46" t="inlineStr">
        <is>
          <t>마송리</t>
        </is>
      </c>
      <c r="G637" s="50" t="n">
        <v>0.4791666666666667</v>
      </c>
      <c r="H637" s="51" t="n">
        <v>236280</v>
      </c>
      <c r="I637" s="46" t="inlineStr">
        <is>
          <t>허창수</t>
        </is>
      </c>
      <c r="K637" s="46" t="n">
        <v>636</v>
      </c>
      <c r="L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8">
      <c r="A638" s="229" t="n">
        <v>45722</v>
      </c>
      <c r="B638" s="46" t="inlineStr">
        <is>
          <t>정기검사</t>
        </is>
      </c>
      <c r="C638" s="46" t="inlineStr">
        <is>
          <t>김포지역</t>
        </is>
      </c>
      <c r="D638" s="46" t="inlineStr">
        <is>
          <t>유진유체</t>
        </is>
      </c>
      <c r="E638" s="46" t="n">
        <v>149</v>
      </c>
      <c r="F638" s="46" t="inlineStr">
        <is>
          <t>학운리</t>
        </is>
      </c>
      <c r="G638" s="50" t="n">
        <v>0.5833333333333334</v>
      </c>
      <c r="H638" s="51" t="n">
        <v>231350</v>
      </c>
      <c r="I638" s="46" t="inlineStr">
        <is>
          <t>송두기</t>
        </is>
      </c>
      <c r="K638" s="46" t="n">
        <v>637</v>
      </c>
      <c r="L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9">
      <c r="A639" s="229" t="n">
        <v>45722</v>
      </c>
      <c r="B639" s="46" t="inlineStr">
        <is>
          <t>정기검사</t>
        </is>
      </c>
      <c r="C639" s="46" t="inlineStr">
        <is>
          <t>김포지역</t>
        </is>
      </c>
      <c r="D639" s="46" t="inlineStr">
        <is>
          <t>예우태양광</t>
        </is>
      </c>
      <c r="E639" s="46" t="n">
        <v>97</v>
      </c>
      <c r="F639" s="46" t="inlineStr">
        <is>
          <t>후평리</t>
        </is>
      </c>
      <c r="G639" s="50" t="n"/>
      <c r="H639" s="51" t="n">
        <v>253440</v>
      </c>
      <c r="I639" s="46" t="inlineStr">
        <is>
          <t>이덕기</t>
        </is>
      </c>
      <c r="K639" s="46" t="n">
        <v>638</v>
      </c>
      <c r="L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0">
      <c r="A640" s="229" t="n">
        <v>45722</v>
      </c>
      <c r="B640" s="46" t="inlineStr">
        <is>
          <t>정기검사</t>
        </is>
      </c>
      <c r="C640" s="46" t="inlineStr">
        <is>
          <t>김포지역</t>
        </is>
      </c>
      <c r="D640" s="46" t="inlineStr">
        <is>
          <t>춰원태양광</t>
        </is>
      </c>
      <c r="E640" s="46" t="n">
        <v>18</v>
      </c>
      <c r="F640" s="46" t="inlineStr">
        <is>
          <t>초원지리</t>
        </is>
      </c>
      <c r="G640" s="50" t="n"/>
      <c r="H640" s="51" t="n">
        <v>94270</v>
      </c>
      <c r="I640" s="46" t="inlineStr">
        <is>
          <t>민경수</t>
        </is>
      </c>
      <c r="K640" s="46" t="n">
        <v>639</v>
      </c>
      <c r="L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1">
      <c r="A641" s="229" t="n">
        <v>45722</v>
      </c>
      <c r="B641" s="46" t="inlineStr">
        <is>
          <t>정기검사</t>
        </is>
      </c>
      <c r="C641" s="46" t="inlineStr">
        <is>
          <t>김포지역</t>
        </is>
      </c>
      <c r="D641" s="46" t="inlineStr">
        <is>
          <t>누리피앤씨</t>
        </is>
      </c>
      <c r="E641" s="46" t="n">
        <v>290</v>
      </c>
      <c r="F641" s="46" t="inlineStr">
        <is>
          <t>원산리</t>
        </is>
      </c>
      <c r="G641" s="50" t="n">
        <v>0.4375</v>
      </c>
      <c r="H641" s="51" t="n">
        <v>515130</v>
      </c>
      <c r="I641" s="46" t="inlineStr">
        <is>
          <t>김영권</t>
        </is>
      </c>
      <c r="K641" s="46" t="n">
        <v>640</v>
      </c>
      <c r="L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2">
      <c r="A642" s="229" t="n">
        <v>45722</v>
      </c>
      <c r="B642" s="46" t="inlineStr">
        <is>
          <t>정기검사</t>
        </is>
      </c>
      <c r="C642" s="46" t="inlineStr">
        <is>
          <t>김포지역</t>
        </is>
      </c>
      <c r="D642" s="46" t="inlineStr">
        <is>
          <t>광진산업</t>
        </is>
      </c>
      <c r="E642" s="46" t="n">
        <v>290</v>
      </c>
      <c r="F642" s="46" t="inlineStr">
        <is>
          <t>석탄리</t>
        </is>
      </c>
      <c r="G642" s="50" t="n">
        <v>0.5208333333333334</v>
      </c>
      <c r="H642" s="51" t="n">
        <v>515130</v>
      </c>
      <c r="I642" s="46" t="inlineStr">
        <is>
          <t>정성관</t>
        </is>
      </c>
      <c r="K642" s="46" t="n">
        <v>641</v>
      </c>
      <c r="L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3">
      <c r="A643" s="229" t="n">
        <v>45722</v>
      </c>
      <c r="B643" s="46" t="inlineStr">
        <is>
          <t>사용전검사</t>
        </is>
      </c>
      <c r="C643" s="46" t="inlineStr">
        <is>
          <t>부천지역</t>
        </is>
      </c>
      <c r="D643" s="46" t="inlineStr">
        <is>
          <t>메가엠지씨커피</t>
        </is>
      </c>
      <c r="E643" s="46" t="n">
        <v>15</v>
      </c>
      <c r="F643" s="46" t="inlineStr">
        <is>
          <t>중동</t>
        </is>
      </c>
      <c r="G643" s="50" t="n"/>
      <c r="H643" s="51" t="n"/>
      <c r="I643" s="46" t="inlineStr">
        <is>
          <t>송낙명</t>
        </is>
      </c>
      <c r="K643" s="46" t="n">
        <v>642</v>
      </c>
      <c r="L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4">
      <c r="A644" s="229" t="n">
        <v>45722</v>
      </c>
      <c r="B644" s="46" t="inlineStr">
        <is>
          <t>사용전검사</t>
        </is>
      </c>
      <c r="C644" s="46" t="inlineStr">
        <is>
          <t>김포지역</t>
        </is>
      </c>
      <c r="D644" s="46" t="inlineStr">
        <is>
          <t>참빛농산</t>
        </is>
      </c>
      <c r="E644" s="46" t="n">
        <v>290</v>
      </c>
      <c r="F644" s="46" t="inlineStr">
        <is>
          <t>대능리</t>
        </is>
      </c>
      <c r="G644" s="50" t="n"/>
      <c r="H644" s="51" t="n"/>
      <c r="I644" s="46" t="inlineStr">
        <is>
          <t>송두기</t>
        </is>
      </c>
      <c r="K644" s="46" t="n">
        <v>643</v>
      </c>
      <c r="L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5">
      <c r="A645" s="229" t="n">
        <v>45722</v>
      </c>
      <c r="B645" s="46" t="inlineStr">
        <is>
          <t>사용전검사</t>
        </is>
      </c>
      <c r="C645" s="46" t="inlineStr">
        <is>
          <t>김포지역</t>
        </is>
      </c>
      <c r="D645" s="46" t="inlineStr">
        <is>
          <t>김태균</t>
        </is>
      </c>
      <c r="E645" s="46" t="n">
        <v>69</v>
      </c>
      <c r="F645" s="46" t="inlineStr">
        <is>
          <t>흥신리</t>
        </is>
      </c>
      <c r="G645" s="50" t="n"/>
      <c r="H645" s="51" t="n"/>
      <c r="I645" s="46" t="inlineStr">
        <is>
          <t>한태희</t>
        </is>
      </c>
      <c r="K645" s="46" t="n">
        <v>644</v>
      </c>
      <c r="L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6">
      <c r="A646" s="229" t="n">
        <v>45722</v>
      </c>
      <c r="B646" s="46" t="inlineStr">
        <is>
          <t>사용전검사</t>
        </is>
      </c>
      <c r="C646" s="46" t="inlineStr">
        <is>
          <t>김포지역</t>
        </is>
      </c>
      <c r="D646" s="46" t="inlineStr">
        <is>
          <t>두산건설</t>
        </is>
      </c>
      <c r="E646" s="46" t="n">
        <v>150</v>
      </c>
      <c r="F646" s="46" t="inlineStr">
        <is>
          <t>학운리</t>
        </is>
      </c>
      <c r="G646" s="50" t="n"/>
      <c r="H646" s="51" t="n"/>
      <c r="I646" s="46" t="inlineStr">
        <is>
          <t>민경수</t>
        </is>
      </c>
      <c r="K646" s="46" t="n">
        <v>645</v>
      </c>
      <c r="L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7">
      <c r="A647" s="229" t="n">
        <v>45724</v>
      </c>
      <c r="B647" s="46" t="inlineStr">
        <is>
          <t>정기검사</t>
        </is>
      </c>
      <c r="C647" s="46" t="inlineStr">
        <is>
          <t>부천지역</t>
        </is>
      </c>
      <c r="D647" s="46" t="inlineStr">
        <is>
          <t>이마트</t>
        </is>
      </c>
      <c r="E647" s="46" t="inlineStr">
        <is>
          <t>3500/1270</t>
        </is>
      </c>
      <c r="F647" s="46" t="inlineStr">
        <is>
          <t>중동</t>
        </is>
      </c>
      <c r="G647" s="50" t="n">
        <v>0.375</v>
      </c>
      <c r="H647" s="51" t="n">
        <v>2218040</v>
      </c>
      <c r="I647" s="46" t="inlineStr">
        <is>
          <t>우승택</t>
        </is>
      </c>
      <c r="K647" s="46" t="n">
        <v>646</v>
      </c>
      <c r="L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8">
      <c r="A648" s="229" t="n">
        <v>45724</v>
      </c>
      <c r="B648" s="46" t="inlineStr">
        <is>
          <t>정기검사</t>
        </is>
      </c>
      <c r="C648" s="46" t="inlineStr">
        <is>
          <t>부천지역</t>
        </is>
      </c>
      <c r="D648" s="46" t="inlineStr">
        <is>
          <t>다우테크노타운</t>
        </is>
      </c>
      <c r="E648" s="46" t="inlineStr">
        <is>
          <t>950/182</t>
        </is>
      </c>
      <c r="F648" s="46" t="inlineStr">
        <is>
          <t>삼정동</t>
        </is>
      </c>
      <c r="G648" s="50" t="n">
        <v>0.3958333333333333</v>
      </c>
      <c r="H648" s="51" t="n">
        <v>1403820</v>
      </c>
      <c r="I648" s="46" t="inlineStr">
        <is>
          <t>민재홍</t>
        </is>
      </c>
      <c r="K648" s="46" t="n">
        <v>647</v>
      </c>
      <c r="L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9">
      <c r="A649" s="229" t="n">
        <v>45724</v>
      </c>
      <c r="B649" s="46" t="inlineStr">
        <is>
          <t>정기검사</t>
        </is>
      </c>
      <c r="C649" s="46" t="inlineStr">
        <is>
          <t>부천지역</t>
        </is>
      </c>
      <c r="D649" s="46" t="inlineStr">
        <is>
          <t>에이치아이티에스</t>
        </is>
      </c>
      <c r="E649" s="46" t="n">
        <v>500</v>
      </c>
      <c r="F649" s="46" t="inlineStr">
        <is>
          <t>역곡동</t>
        </is>
      </c>
      <c r="G649" s="50" t="n">
        <v>0.2916666666666667</v>
      </c>
      <c r="H649" s="51" t="n">
        <v>958100</v>
      </c>
      <c r="I649" s="46" t="inlineStr">
        <is>
          <t>민재홍</t>
        </is>
      </c>
      <c r="K649" s="46" t="n">
        <v>648</v>
      </c>
      <c r="L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0">
      <c r="A650" s="229" t="n">
        <v>45724</v>
      </c>
      <c r="B650" s="46" t="inlineStr">
        <is>
          <t>정기검사</t>
        </is>
      </c>
      <c r="C650" s="46" t="inlineStr">
        <is>
          <t>김포지역</t>
        </is>
      </c>
      <c r="D650" s="46" t="inlineStr">
        <is>
          <t>네오프라자</t>
        </is>
      </c>
      <c r="E650" s="46" t="n">
        <v>600</v>
      </c>
      <c r="F650" s="46" t="inlineStr">
        <is>
          <t>사우동</t>
        </is>
      </c>
      <c r="G650" s="50" t="n">
        <v>0.2916666666666667</v>
      </c>
      <c r="H650" s="51" t="n">
        <v>1249710</v>
      </c>
      <c r="I650" s="46" t="inlineStr">
        <is>
          <t>서수형</t>
        </is>
      </c>
      <c r="K650" s="46" t="n">
        <v>649</v>
      </c>
      <c r="L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1">
      <c r="A651" s="229" t="n">
        <v>45724</v>
      </c>
      <c r="B651" s="46" t="inlineStr">
        <is>
          <t>사용전검사</t>
        </is>
      </c>
      <c r="C651" s="46" t="inlineStr">
        <is>
          <t>부천지역</t>
        </is>
      </c>
      <c r="D651" s="46" t="inlineStr">
        <is>
          <t>대운컴퍼니</t>
        </is>
      </c>
      <c r="E651" s="46" t="n">
        <v>500</v>
      </c>
      <c r="F651" s="46" t="inlineStr">
        <is>
          <t>도당동</t>
        </is>
      </c>
      <c r="G651" s="50" t="n"/>
      <c r="H651" s="51" t="n"/>
      <c r="I651" s="46" t="inlineStr">
        <is>
          <t>정신배</t>
        </is>
      </c>
      <c r="K651" s="46" t="n">
        <v>650</v>
      </c>
      <c r="L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2">
      <c r="A652" s="229" t="n">
        <v>45724</v>
      </c>
      <c r="B652" s="46" t="inlineStr">
        <is>
          <t>사용전검사</t>
        </is>
      </c>
      <c r="C652" s="46" t="inlineStr">
        <is>
          <t>부천지역</t>
        </is>
      </c>
      <c r="D652" s="46" t="inlineStr">
        <is>
          <t>대아티아이</t>
        </is>
      </c>
      <c r="E652" s="46" t="n">
        <v>290</v>
      </c>
      <c r="F652" s="46" t="inlineStr">
        <is>
          <t>내동</t>
        </is>
      </c>
      <c r="G652" s="50" t="n"/>
      <c r="H652" s="51" t="n"/>
      <c r="I652" s="46" t="inlineStr">
        <is>
          <t>이덕기</t>
        </is>
      </c>
      <c r="K652" s="46" t="n">
        <v>651</v>
      </c>
      <c r="L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3">
      <c r="A653" s="229" t="n">
        <v>45724</v>
      </c>
      <c r="B653" s="46" t="inlineStr">
        <is>
          <t>사용전검사</t>
        </is>
      </c>
      <c r="C653" s="46" t="inlineStr">
        <is>
          <t>부천지역</t>
        </is>
      </c>
      <c r="D653" s="46" t="inlineStr">
        <is>
          <t>에녹</t>
        </is>
      </c>
      <c r="E653" s="46" t="n">
        <v>290</v>
      </c>
      <c r="F653" s="46" t="inlineStr">
        <is>
          <t>도당동</t>
        </is>
      </c>
      <c r="G653" s="50" t="n"/>
      <c r="H653" s="51" t="n"/>
      <c r="I653" s="46" t="inlineStr">
        <is>
          <t>송낙명</t>
        </is>
      </c>
      <c r="K653" s="46" t="n">
        <v>652</v>
      </c>
      <c r="L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4">
      <c r="A654" s="229" t="n">
        <v>45725</v>
      </c>
      <c r="B654" s="46" t="inlineStr">
        <is>
          <t>정기검사</t>
        </is>
      </c>
      <c r="C654" s="46" t="inlineStr">
        <is>
          <t>부천지역</t>
        </is>
      </c>
      <c r="D654" s="46" t="inlineStr">
        <is>
          <t>부천문화재단</t>
        </is>
      </c>
      <c r="E654" s="46" t="inlineStr">
        <is>
          <t>1650/350</t>
        </is>
      </c>
      <c r="F654" s="46" t="inlineStr">
        <is>
          <t>상동</t>
        </is>
      </c>
      <c r="G654" s="50" t="n">
        <v>0.4166666666666667</v>
      </c>
      <c r="H654" s="51" t="n">
        <v>1282050</v>
      </c>
      <c r="I654" s="46" t="inlineStr">
        <is>
          <t>김영권</t>
        </is>
      </c>
      <c r="K654" s="46" t="n">
        <v>653</v>
      </c>
      <c r="L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5">
      <c r="A655" s="229" t="n">
        <v>45725</v>
      </c>
      <c r="B655" s="46" t="inlineStr">
        <is>
          <t>정기검사</t>
        </is>
      </c>
      <c r="C655" s="46" t="inlineStr">
        <is>
          <t>부천지역</t>
        </is>
      </c>
      <c r="D655" s="46" t="inlineStr">
        <is>
          <t>심곡비반트</t>
        </is>
      </c>
      <c r="E655" s="46" t="n">
        <v>14</v>
      </c>
      <c r="F655" s="46" t="inlineStr">
        <is>
          <t>심곡본동</t>
        </is>
      </c>
      <c r="G655" s="50" t="n"/>
      <c r="H655" s="51" t="n">
        <v>72710</v>
      </c>
      <c r="I655" s="46" t="inlineStr">
        <is>
          <t>민재홍</t>
        </is>
      </c>
      <c r="K655" s="46" t="n">
        <v>654</v>
      </c>
      <c r="L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6">
      <c r="A656" s="229" t="n">
        <v>45725</v>
      </c>
      <c r="B656" s="46" t="inlineStr">
        <is>
          <t>정기검사</t>
        </is>
      </c>
      <c r="C656" s="46" t="inlineStr">
        <is>
          <t>부천지역</t>
        </is>
      </c>
      <c r="D656" s="46" t="inlineStr">
        <is>
          <t>삼원전자공업</t>
        </is>
      </c>
      <c r="E656" s="46" t="n">
        <v>290</v>
      </c>
      <c r="F656" s="46" t="inlineStr">
        <is>
          <t>삼정동</t>
        </is>
      </c>
      <c r="G656" s="50" t="n">
        <v>0.5</v>
      </c>
      <c r="H656" s="51" t="n">
        <v>515130</v>
      </c>
      <c r="I656" s="46" t="inlineStr">
        <is>
          <t>우승택</t>
        </is>
      </c>
      <c r="K656" s="46" t="n">
        <v>655</v>
      </c>
      <c r="L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7">
      <c r="A657" s="229" t="n">
        <v>45725</v>
      </c>
      <c r="B657" s="46" t="inlineStr">
        <is>
          <t>정기검사</t>
        </is>
      </c>
      <c r="C657" s="46" t="inlineStr">
        <is>
          <t>부천지역</t>
        </is>
      </c>
      <c r="D657" s="46" t="inlineStr">
        <is>
          <t>세일프린팅</t>
        </is>
      </c>
      <c r="E657" s="46" t="n">
        <v>290</v>
      </c>
      <c r="F657" s="46" t="inlineStr">
        <is>
          <t>삼정동</t>
        </is>
      </c>
      <c r="G657" s="50" t="n">
        <v>0.4791666666666667</v>
      </c>
      <c r="H657" s="51" t="n">
        <v>515130</v>
      </c>
      <c r="I657" s="46" t="inlineStr">
        <is>
          <t>송낙명</t>
        </is>
      </c>
      <c r="K657" s="46" t="n">
        <v>656</v>
      </c>
      <c r="L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8">
      <c r="A658" s="229" t="n">
        <v>45725</v>
      </c>
      <c r="B658" s="46" t="inlineStr">
        <is>
          <t>정기검사</t>
        </is>
      </c>
      <c r="C658" s="46" t="inlineStr">
        <is>
          <t>김포지역</t>
        </is>
      </c>
      <c r="D658" s="46" t="inlineStr">
        <is>
          <t>일신자원-배분</t>
        </is>
      </c>
      <c r="E658" s="46" t="n">
        <v>900</v>
      </c>
      <c r="F658" s="46" t="inlineStr">
        <is>
          <t>대벽리</t>
        </is>
      </c>
      <c r="G658" s="50" t="n">
        <v>0.4791666666666667</v>
      </c>
      <c r="H658" s="51" t="n">
        <v>872520</v>
      </c>
      <c r="I658" s="46" t="inlineStr">
        <is>
          <t>서수형</t>
        </is>
      </c>
      <c r="K658" s="46" t="n">
        <v>657</v>
      </c>
      <c r="L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9">
      <c r="A659" s="229" t="n">
        <v>45725</v>
      </c>
      <c r="B659" s="46" t="inlineStr">
        <is>
          <t>정기검사</t>
        </is>
      </c>
      <c r="C659" s="46" t="inlineStr">
        <is>
          <t>김포지역</t>
        </is>
      </c>
      <c r="D659" s="46" t="inlineStr">
        <is>
          <t>태람</t>
        </is>
      </c>
      <c r="E659" s="46" t="n">
        <v>500</v>
      </c>
      <c r="F659" s="46" t="inlineStr">
        <is>
          <t>쇄암리</t>
        </is>
      </c>
      <c r="G659" s="50" t="n">
        <v>0.4166666666666667</v>
      </c>
      <c r="H659" s="51" t="n">
        <v>737000</v>
      </c>
      <c r="I659" s="46" t="inlineStr">
        <is>
          <t>민경수</t>
        </is>
      </c>
      <c r="K659" s="46" t="n">
        <v>658</v>
      </c>
      <c r="L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0">
      <c r="A660" s="229" t="n">
        <v>45725</v>
      </c>
      <c r="B660" s="46" t="inlineStr">
        <is>
          <t>정기검사</t>
        </is>
      </c>
      <c r="C660" s="46" t="inlineStr">
        <is>
          <t>김포지역</t>
        </is>
      </c>
      <c r="D660" s="46" t="inlineStr">
        <is>
          <t>지엔지트럭센터</t>
        </is>
      </c>
      <c r="E660" s="46" t="n">
        <v>250</v>
      </c>
      <c r="F660" s="46" t="inlineStr">
        <is>
          <t>도사리</t>
        </is>
      </c>
      <c r="G660" s="50" t="n">
        <v>0.4791666666666667</v>
      </c>
      <c r="H660" s="51" t="n">
        <v>489170</v>
      </c>
      <c r="I660" s="46" t="inlineStr">
        <is>
          <t>한태희</t>
        </is>
      </c>
      <c r="K660" s="46" t="n">
        <v>659</v>
      </c>
      <c r="L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1">
      <c r="A661" s="229" t="n">
        <v>45725</v>
      </c>
      <c r="B661" s="46" t="inlineStr">
        <is>
          <t>정기검사</t>
        </is>
      </c>
      <c r="C661" s="46" t="inlineStr">
        <is>
          <t>김포지역</t>
        </is>
      </c>
      <c r="D661" s="46" t="inlineStr">
        <is>
          <t>김포엔타운</t>
        </is>
      </c>
      <c r="E661" s="46" t="inlineStr">
        <is>
          <t>700/182</t>
        </is>
      </c>
      <c r="F661" s="46" t="inlineStr">
        <is>
          <t>고촌</t>
        </is>
      </c>
      <c r="G661" s="50" t="n">
        <v>0.25</v>
      </c>
      <c r="H661" s="51" t="n">
        <v>1293710</v>
      </c>
      <c r="I661" s="46" t="inlineStr">
        <is>
          <t>송두기</t>
        </is>
      </c>
      <c r="K661" s="46" t="n">
        <v>660</v>
      </c>
      <c r="L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2">
      <c r="A662" s="229" t="n">
        <v>45725</v>
      </c>
      <c r="B662" s="46" t="inlineStr">
        <is>
          <t>정기검사</t>
        </is>
      </c>
      <c r="C662" s="46" t="inlineStr">
        <is>
          <t>김포지역</t>
        </is>
      </c>
      <c r="D662" s="46" t="inlineStr">
        <is>
          <t>상리</t>
        </is>
      </c>
      <c r="E662" s="46" t="n">
        <v>500</v>
      </c>
      <c r="F662" s="46" t="inlineStr">
        <is>
          <t>석정리</t>
        </is>
      </c>
      <c r="G662" s="50" t="n">
        <v>0.5208333333333334</v>
      </c>
      <c r="H662" s="51" t="n">
        <v>737000</v>
      </c>
      <c r="I662" s="46" t="inlineStr">
        <is>
          <t>정성관</t>
        </is>
      </c>
      <c r="K662" s="46" t="n">
        <v>661</v>
      </c>
      <c r="L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3">
      <c r="A663" s="229" t="n">
        <v>45725</v>
      </c>
      <c r="B663" s="46" t="inlineStr">
        <is>
          <t>메모</t>
        </is>
      </c>
      <c r="C663" s="46" t="inlineStr">
        <is>
          <t>부천지역</t>
        </is>
      </c>
      <c r="D663" s="46" t="inlineStr">
        <is>
          <t>허창수교육</t>
        </is>
      </c>
      <c r="E663" s="46" t="n"/>
      <c r="F663" s="46" t="n"/>
      <c r="G663" s="50" t="n"/>
      <c r="H663" s="51" t="n"/>
      <c r="I663" s="46" t="n"/>
      <c r="K663" s="46" t="n">
        <v>662</v>
      </c>
      <c r="L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4">
      <c r="A664" s="229" t="n">
        <v>45725</v>
      </c>
      <c r="B664" s="46" t="inlineStr">
        <is>
          <t>사용전검사</t>
        </is>
      </c>
      <c r="C664" s="46" t="inlineStr">
        <is>
          <t>김포지역</t>
        </is>
      </c>
      <c r="D664" s="46" t="inlineStr">
        <is>
          <t>펌프킨</t>
        </is>
      </c>
      <c r="E664" s="46" t="n">
        <v>990</v>
      </c>
      <c r="F664" s="46" t="inlineStr">
        <is>
          <t>구래동</t>
        </is>
      </c>
      <c r="G664" s="50" t="n"/>
      <c r="H664" s="51" t="n"/>
      <c r="I664" s="46" t="inlineStr">
        <is>
          <t>정신배</t>
        </is>
      </c>
      <c r="K664" s="46" t="n">
        <v>663</v>
      </c>
      <c r="L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5">
      <c r="A665" s="229" t="n">
        <v>45725</v>
      </c>
      <c r="B665" s="46" t="inlineStr">
        <is>
          <t>사용전검사</t>
        </is>
      </c>
      <c r="C665" s="46" t="inlineStr">
        <is>
          <t>김포지역</t>
        </is>
      </c>
      <c r="D665" s="46" t="inlineStr">
        <is>
          <t>펌프킨</t>
        </is>
      </c>
      <c r="E665" s="46" t="n">
        <v>750</v>
      </c>
      <c r="F665" s="46" t="inlineStr">
        <is>
          <t>구래동</t>
        </is>
      </c>
      <c r="G665" s="50" t="n"/>
      <c r="H665" s="51" t="n"/>
      <c r="I665" s="46" t="inlineStr">
        <is>
          <t>서수형</t>
        </is>
      </c>
      <c r="K665" s="46" t="n">
        <v>664</v>
      </c>
      <c r="L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6">
      <c r="A666" s="229" t="n">
        <v>45725</v>
      </c>
      <c r="B666" s="46" t="inlineStr">
        <is>
          <t>사용전검사</t>
        </is>
      </c>
      <c r="C666" s="46" t="inlineStr">
        <is>
          <t>김포지역</t>
        </is>
      </c>
      <c r="D666" s="46" t="inlineStr">
        <is>
          <t>우주자원</t>
        </is>
      </c>
      <c r="E666" s="46" t="n">
        <v>600</v>
      </c>
      <c r="F666" s="46" t="inlineStr">
        <is>
          <t>율생리</t>
        </is>
      </c>
      <c r="G666" s="50" t="n"/>
      <c r="H666" s="51" t="n"/>
      <c r="I666" s="46" t="inlineStr">
        <is>
          <t>이종석</t>
        </is>
      </c>
      <c r="K666" s="46" t="n">
        <v>665</v>
      </c>
      <c r="L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7">
      <c r="A667" s="229" t="n">
        <v>45725</v>
      </c>
      <c r="B667" s="46" t="inlineStr">
        <is>
          <t>사용전검사</t>
        </is>
      </c>
      <c r="C667" s="46" t="inlineStr">
        <is>
          <t>김포지역</t>
        </is>
      </c>
      <c r="D667" s="46" t="inlineStr">
        <is>
          <t>현대산기1호</t>
        </is>
      </c>
      <c r="E667" s="46" t="n">
        <v>200</v>
      </c>
      <c r="F667" s="46" t="inlineStr">
        <is>
          <t>상마리</t>
        </is>
      </c>
      <c r="G667" s="50" t="n"/>
      <c r="H667" s="51" t="n"/>
      <c r="I667" s="46" t="inlineStr">
        <is>
          <t>이덕기</t>
        </is>
      </c>
      <c r="K667" s="46" t="n">
        <v>666</v>
      </c>
      <c r="L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8">
      <c r="A668" s="229" t="n">
        <v>45725</v>
      </c>
      <c r="B668" s="46" t="inlineStr">
        <is>
          <t>사용전검사</t>
        </is>
      </c>
      <c r="C668" s="46" t="inlineStr">
        <is>
          <t>김포지역</t>
        </is>
      </c>
      <c r="D668" s="46" t="inlineStr">
        <is>
          <t>더블케이로지스</t>
        </is>
      </c>
      <c r="E668" s="46" t="n">
        <v>99</v>
      </c>
      <c r="F668" s="46" t="inlineStr">
        <is>
          <t>대능리</t>
        </is>
      </c>
      <c r="G668" s="50" t="n"/>
      <c r="H668" s="51" t="n"/>
      <c r="I668" s="46" t="inlineStr">
        <is>
          <t>이덕기</t>
        </is>
      </c>
      <c r="K668" s="46" t="n">
        <v>667</v>
      </c>
      <c r="L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9">
      <c r="A669" s="229" t="n">
        <v>45726</v>
      </c>
      <c r="B669" s="46" t="inlineStr">
        <is>
          <t>정기검사</t>
        </is>
      </c>
      <c r="C669" s="46" t="inlineStr">
        <is>
          <t>부천지역</t>
        </is>
      </c>
      <c r="D669" s="46" t="inlineStr">
        <is>
          <t>남양홍씨학곡공파</t>
        </is>
      </c>
      <c r="E669" s="46" t="n">
        <v>150</v>
      </c>
      <c r="F669" s="46" t="inlineStr">
        <is>
          <t>도당동</t>
        </is>
      </c>
      <c r="G669" s="50" t="n">
        <v>0.5972222222222222</v>
      </c>
      <c r="H669" s="51" t="n">
        <v>424160</v>
      </c>
      <c r="I669" s="46" t="inlineStr">
        <is>
          <t>한태희</t>
        </is>
      </c>
      <c r="K669" s="46" t="n">
        <v>668</v>
      </c>
      <c r="L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0">
      <c r="A670" s="229" t="n">
        <v>45726</v>
      </c>
      <c r="B670" s="46" t="inlineStr">
        <is>
          <t>정기검사</t>
        </is>
      </c>
      <c r="C670" s="46" t="inlineStr">
        <is>
          <t>부천지역</t>
        </is>
      </c>
      <c r="D670" s="46" t="inlineStr">
        <is>
          <t>부천역사</t>
        </is>
      </c>
      <c r="E670" s="46" t="inlineStr">
        <is>
          <t>10000/1250</t>
        </is>
      </c>
      <c r="F670" s="46" t="inlineStr">
        <is>
          <t>부천역</t>
        </is>
      </c>
      <c r="G670" s="50" t="n">
        <v>0.04166666666666666</v>
      </c>
      <c r="H670" s="51" t="n">
        <v>2836020</v>
      </c>
      <c r="I670" s="46" t="inlineStr">
        <is>
          <t>우승택</t>
        </is>
      </c>
      <c r="K670" s="46" t="n">
        <v>669</v>
      </c>
      <c r="L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1">
      <c r="A671" s="229" t="n">
        <v>45726</v>
      </c>
      <c r="B671" s="46" t="inlineStr">
        <is>
          <t>정기검사</t>
        </is>
      </c>
      <c r="C671" s="46" t="inlineStr">
        <is>
          <t>부천지역</t>
        </is>
      </c>
      <c r="D671" s="46" t="inlineStr">
        <is>
          <t>태영공업사</t>
        </is>
      </c>
      <c r="E671" s="46" t="n">
        <v>290</v>
      </c>
      <c r="F671" s="46" t="inlineStr">
        <is>
          <t>오정동</t>
        </is>
      </c>
      <c r="G671" s="50" t="n">
        <v>0.3958333333333333</v>
      </c>
      <c r="H671" s="51" t="n">
        <v>515130</v>
      </c>
      <c r="I671" s="46" t="inlineStr">
        <is>
          <t>이종석</t>
        </is>
      </c>
      <c r="K671" s="46" t="n">
        <v>670</v>
      </c>
      <c r="L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2">
      <c r="A672" s="229" t="n">
        <v>45726</v>
      </c>
      <c r="B672" s="46" t="inlineStr">
        <is>
          <t>정기검사</t>
        </is>
      </c>
      <c r="C672" s="46" t="inlineStr">
        <is>
          <t>김포지역</t>
        </is>
      </c>
      <c r="D672" s="46" t="inlineStr">
        <is>
          <t>에이치에스케미칼</t>
        </is>
      </c>
      <c r="E672" s="46" t="n">
        <v>290</v>
      </c>
      <c r="F672" s="46" t="inlineStr">
        <is>
          <t>초원지리</t>
        </is>
      </c>
      <c r="G672" s="50" t="n">
        <v>0.4791666666666667</v>
      </c>
      <c r="H672" s="51" t="n">
        <v>515130</v>
      </c>
      <c r="I672" s="46" t="inlineStr">
        <is>
          <t>서수형</t>
        </is>
      </c>
      <c r="K672" s="46" t="n">
        <v>671</v>
      </c>
      <c r="L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3">
      <c r="A673" s="229" t="n">
        <v>45726</v>
      </c>
      <c r="B673" s="46" t="inlineStr">
        <is>
          <t>정기검사</t>
        </is>
      </c>
      <c r="C673" s="46" t="inlineStr">
        <is>
          <t>김포지역</t>
        </is>
      </c>
      <c r="D673" s="46" t="inlineStr">
        <is>
          <t>지에스엠</t>
        </is>
      </c>
      <c r="E673" s="46" t="n">
        <v>250</v>
      </c>
      <c r="F673" s="46" t="inlineStr">
        <is>
          <t>학운리</t>
        </is>
      </c>
      <c r="G673" s="50" t="n">
        <v>0.5</v>
      </c>
      <c r="H673" s="51" t="n">
        <v>489170</v>
      </c>
      <c r="I673" s="46" t="inlineStr">
        <is>
          <t>민경수</t>
        </is>
      </c>
      <c r="K673" s="46" t="n">
        <v>672</v>
      </c>
      <c r="L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4">
      <c r="A674" s="229" t="n">
        <v>45726</v>
      </c>
      <c r="B674" s="46" t="inlineStr">
        <is>
          <t>정기검사</t>
        </is>
      </c>
      <c r="C674" s="46" t="inlineStr">
        <is>
          <t>김포지역</t>
        </is>
      </c>
      <c r="D674" s="46" t="inlineStr">
        <is>
          <t>나래월드상가</t>
        </is>
      </c>
      <c r="E674" s="46" t="inlineStr">
        <is>
          <t>750/145</t>
        </is>
      </c>
      <c r="F674" s="46" t="inlineStr">
        <is>
          <t>구래동</t>
        </is>
      </c>
      <c r="G674" s="50" t="n">
        <v>0.3958333333333333</v>
      </c>
      <c r="H674" s="51" t="n">
        <v>1001220</v>
      </c>
      <c r="I674" s="46" t="inlineStr">
        <is>
          <t>송두기</t>
        </is>
      </c>
      <c r="K674" s="46" t="n">
        <v>673</v>
      </c>
      <c r="L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5">
      <c r="A675" s="229" t="n">
        <v>45726</v>
      </c>
      <c r="B675" s="46" t="inlineStr">
        <is>
          <t>정기검사</t>
        </is>
      </c>
      <c r="C675" s="46" t="inlineStr">
        <is>
          <t>김포지역</t>
        </is>
      </c>
      <c r="D675" s="46" t="inlineStr">
        <is>
          <t>경진금속</t>
        </is>
      </c>
      <c r="E675" s="46" t="n">
        <v>700</v>
      </c>
      <c r="F675" s="46" t="inlineStr">
        <is>
          <t>옹정리</t>
        </is>
      </c>
      <c r="G675" s="50" t="n">
        <v>0.3958333333333333</v>
      </c>
      <c r="H675" s="51" t="n">
        <v>804760</v>
      </c>
      <c r="I675" s="46" t="inlineStr">
        <is>
          <t>정신배</t>
        </is>
      </c>
      <c r="K675" s="46" t="n">
        <v>674</v>
      </c>
      <c r="L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6">
      <c r="A676" s="229" t="n">
        <v>45726</v>
      </c>
      <c r="B676" s="46" t="inlineStr">
        <is>
          <t>정기검사</t>
        </is>
      </c>
      <c r="C676" s="46" t="inlineStr">
        <is>
          <t>김포지역</t>
        </is>
      </c>
      <c r="D676" s="46" t="inlineStr">
        <is>
          <t>환기나라</t>
        </is>
      </c>
      <c r="E676" s="46" t="n">
        <v>200</v>
      </c>
      <c r="F676" s="46" t="inlineStr">
        <is>
          <t>고정리</t>
        </is>
      </c>
      <c r="G676" s="50" t="n">
        <v>0.5</v>
      </c>
      <c r="H676" s="51" t="n">
        <v>456720</v>
      </c>
      <c r="I676" s="46" t="inlineStr">
        <is>
          <t>송낙명</t>
        </is>
      </c>
      <c r="K676" s="46" t="n">
        <v>675</v>
      </c>
      <c r="L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7">
      <c r="A677" s="229" t="n">
        <v>45726</v>
      </c>
      <c r="B677" s="46" t="inlineStr">
        <is>
          <t>정기검사</t>
        </is>
      </c>
      <c r="C677" s="46" t="inlineStr">
        <is>
          <t>김포지역</t>
        </is>
      </c>
      <c r="D677" s="46" t="inlineStr">
        <is>
          <t>메탈153</t>
        </is>
      </c>
      <c r="E677" s="46" t="n">
        <v>250</v>
      </c>
      <c r="F677" s="46" t="inlineStr">
        <is>
          <t>귀전리</t>
        </is>
      </c>
      <c r="G677" s="50" t="n">
        <v>0.5</v>
      </c>
      <c r="H677" s="51" t="n">
        <v>489170</v>
      </c>
      <c r="I677" s="46" t="inlineStr">
        <is>
          <t>김영권</t>
        </is>
      </c>
      <c r="K677" s="46" t="n">
        <v>676</v>
      </c>
      <c r="L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8">
      <c r="A678" s="229" t="n">
        <v>45726</v>
      </c>
      <c r="B678" s="46" t="inlineStr">
        <is>
          <t>정기검사</t>
        </is>
      </c>
      <c r="C678" s="46" t="inlineStr">
        <is>
          <t>김포지역</t>
        </is>
      </c>
      <c r="D678" s="46" t="inlineStr">
        <is>
          <t>양곡LH</t>
        </is>
      </c>
      <c r="E678" s="46" t="inlineStr">
        <is>
          <t>G500</t>
        </is>
      </c>
      <c r="F678" s="46" t="inlineStr">
        <is>
          <t>양곡리</t>
        </is>
      </c>
      <c r="G678" s="50" t="n">
        <v>0.4166666666666667</v>
      </c>
      <c r="H678" s="51" t="n">
        <v>285890</v>
      </c>
      <c r="I678" s="46" t="inlineStr">
        <is>
          <t>정성관</t>
        </is>
      </c>
      <c r="K678" s="46" t="n">
        <v>677</v>
      </c>
      <c r="L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9">
      <c r="A679" s="229" t="n">
        <v>45726</v>
      </c>
      <c r="B679" s="46" t="inlineStr">
        <is>
          <t>정기검사</t>
        </is>
      </c>
      <c r="C679" s="46" t="inlineStr">
        <is>
          <t>김포지역</t>
        </is>
      </c>
      <c r="D679" s="46" t="inlineStr">
        <is>
          <t>굿모닝에너지개발</t>
        </is>
      </c>
      <c r="E679" s="46" t="n">
        <v>200</v>
      </c>
      <c r="F679" s="46" t="inlineStr">
        <is>
          <t>구래동</t>
        </is>
      </c>
      <c r="G679" s="50" t="n">
        <v>0.25</v>
      </c>
      <c r="H679" s="51" t="n">
        <v>593670</v>
      </c>
      <c r="I679" s="46" t="inlineStr">
        <is>
          <t>민경수</t>
        </is>
      </c>
      <c r="K679" s="46" t="n">
        <v>678</v>
      </c>
      <c r="L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0">
      <c r="A680" s="229" t="n">
        <v>45726</v>
      </c>
      <c r="B680" s="46" t="inlineStr">
        <is>
          <t>사용전검사</t>
        </is>
      </c>
      <c r="C680" s="46" t="inlineStr">
        <is>
          <t>부천지역</t>
        </is>
      </c>
      <c r="D680" s="46" t="inlineStr">
        <is>
          <t>뽀끼오조마루</t>
        </is>
      </c>
      <c r="E680" s="46" t="n">
        <v>12</v>
      </c>
      <c r="F680" s="46" t="inlineStr">
        <is>
          <t>춘의동</t>
        </is>
      </c>
      <c r="G680" s="50" t="n"/>
      <c r="H680" s="51" t="n"/>
      <c r="I680" s="46" t="inlineStr">
        <is>
          <t>한태희</t>
        </is>
      </c>
      <c r="K680" s="46" t="n">
        <v>679</v>
      </c>
      <c r="L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1">
      <c r="A681" s="229" t="n">
        <v>45726</v>
      </c>
      <c r="B681" s="46" t="inlineStr">
        <is>
          <t>사용전검사</t>
        </is>
      </c>
      <c r="C681" s="46" t="inlineStr">
        <is>
          <t>부천지역</t>
        </is>
      </c>
      <c r="D681" s="46" t="inlineStr">
        <is>
          <t>더테라</t>
        </is>
      </c>
      <c r="E681" s="46" t="n">
        <v>93</v>
      </c>
      <c r="F681" s="46" t="n"/>
      <c r="G681" s="50" t="n"/>
      <c r="H681" s="51" t="n"/>
      <c r="I681" s="46" t="inlineStr">
        <is>
          <t>우승택</t>
        </is>
      </c>
      <c r="K681" s="46" t="n">
        <v>680</v>
      </c>
      <c r="L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2">
      <c r="A682" s="229" t="n">
        <v>45726</v>
      </c>
      <c r="B682" s="46" t="inlineStr">
        <is>
          <t>메모</t>
        </is>
      </c>
      <c r="C682" s="46" t="inlineStr">
        <is>
          <t>부천지역</t>
        </is>
      </c>
      <c r="D682" s="46" t="inlineStr">
        <is>
          <t>허창수교육</t>
        </is>
      </c>
      <c r="E682" s="46" t="n"/>
      <c r="F682" s="46" t="n"/>
      <c r="G682" s="50" t="n"/>
      <c r="H682" s="51" t="n"/>
      <c r="I682" s="46" t="n"/>
      <c r="K682" s="46" t="n">
        <v>681</v>
      </c>
      <c r="L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3">
      <c r="A683" s="229" t="n">
        <v>45726</v>
      </c>
      <c r="B683" s="46" t="inlineStr">
        <is>
          <t>메모</t>
        </is>
      </c>
      <c r="C683" s="46" t="inlineStr">
        <is>
          <t>김포지역</t>
        </is>
      </c>
      <c r="D683" s="46" t="inlineStr">
        <is>
          <t>김영권-정성관</t>
        </is>
      </c>
      <c r="E683" s="46" t="n"/>
      <c r="F683" s="46" t="n"/>
      <c r="G683" s="50" t="n"/>
      <c r="H683" s="51" t="n"/>
      <c r="I683" s="46" t="n"/>
      <c r="K683" s="46" t="n">
        <v>682</v>
      </c>
      <c r="L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4">
      <c r="A684" s="229" t="n">
        <v>45727</v>
      </c>
      <c r="B684" s="46" t="inlineStr">
        <is>
          <t>정기검사</t>
        </is>
      </c>
      <c r="C684" s="46" t="inlineStr">
        <is>
          <t>부천지역</t>
        </is>
      </c>
      <c r="D684" s="46" t="inlineStr">
        <is>
          <t>원미구청</t>
        </is>
      </c>
      <c r="E684" s="46" t="n">
        <v>17</v>
      </c>
      <c r="F684" s="46" t="inlineStr">
        <is>
          <t>원미동</t>
        </is>
      </c>
      <c r="G684" s="50" t="n"/>
      <c r="H684" s="51" t="n">
        <v>650000</v>
      </c>
      <c r="I684" s="46" t="inlineStr">
        <is>
          <t>서수형</t>
        </is>
      </c>
      <c r="K684" s="46" t="n">
        <v>683</v>
      </c>
      <c r="L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5">
      <c r="A685" s="229" t="n">
        <v>45727</v>
      </c>
      <c r="B685" s="46" t="inlineStr">
        <is>
          <t>정기검사</t>
        </is>
      </c>
      <c r="C685" s="46" t="inlineStr">
        <is>
          <t>부천지역</t>
        </is>
      </c>
      <c r="D685" s="46" t="inlineStr">
        <is>
          <t>삼영필텍</t>
        </is>
      </c>
      <c r="E685" s="46" t="n">
        <v>400</v>
      </c>
      <c r="F685" s="46" t="inlineStr">
        <is>
          <t>삼정동</t>
        </is>
      </c>
      <c r="G685" s="50" t="n">
        <v>0.5416666666666666</v>
      </c>
      <c r="H685" s="51" t="n">
        <v>703120</v>
      </c>
      <c r="I685" s="46" t="inlineStr">
        <is>
          <t>송낙명</t>
        </is>
      </c>
      <c r="K685" s="46" t="n">
        <v>684</v>
      </c>
      <c r="L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6">
      <c r="A686" s="229" t="n">
        <v>45727</v>
      </c>
      <c r="B686" s="46" t="inlineStr">
        <is>
          <t>정기검사</t>
        </is>
      </c>
      <c r="C686" s="46" t="inlineStr">
        <is>
          <t>부천지역</t>
        </is>
      </c>
      <c r="D686" s="46" t="inlineStr">
        <is>
          <t>이화정밀</t>
        </is>
      </c>
      <c r="E686" s="46" t="n">
        <v>200</v>
      </c>
      <c r="F686" s="46" t="inlineStr">
        <is>
          <t>내동</t>
        </is>
      </c>
      <c r="G686" s="50" t="n">
        <v>0.4791666666666667</v>
      </c>
      <c r="H686" s="51" t="n">
        <v>456720</v>
      </c>
      <c r="I686" s="46" t="inlineStr">
        <is>
          <t>이종석</t>
        </is>
      </c>
      <c r="K686" s="46" t="n">
        <v>685</v>
      </c>
      <c r="L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7">
      <c r="A687" s="229" t="n">
        <v>45727</v>
      </c>
      <c r="B687" s="46" t="inlineStr">
        <is>
          <t>정기검사</t>
        </is>
      </c>
      <c r="C687" s="46" t="inlineStr">
        <is>
          <t>부천지역</t>
        </is>
      </c>
      <c r="D687" s="46" t="inlineStr">
        <is>
          <t>케이엔엘</t>
        </is>
      </c>
      <c r="E687" s="46" t="inlineStr">
        <is>
          <t>g330</t>
        </is>
      </c>
      <c r="F687" s="46" t="inlineStr">
        <is>
          <t>심곡동</t>
        </is>
      </c>
      <c r="G687" s="50" t="n">
        <v>0.4583333333333333</v>
      </c>
      <c r="H687" s="51" t="n">
        <v>220660</v>
      </c>
      <c r="I687" s="46" t="inlineStr">
        <is>
          <t>김영권</t>
        </is>
      </c>
      <c r="K687" s="46" t="n">
        <v>686</v>
      </c>
      <c r="L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8">
      <c r="A688" s="229" t="n">
        <v>45727</v>
      </c>
      <c r="B688" s="46" t="inlineStr">
        <is>
          <t>정기검사</t>
        </is>
      </c>
      <c r="C688" s="46" t="inlineStr">
        <is>
          <t>김포지역</t>
        </is>
      </c>
      <c r="D688" s="46" t="inlineStr">
        <is>
          <t>뉴테크</t>
        </is>
      </c>
      <c r="E688" s="46" t="n">
        <v>99</v>
      </c>
      <c r="F688" s="46" t="inlineStr">
        <is>
          <t>학운리</t>
        </is>
      </c>
      <c r="G688" s="50" t="n">
        <v>0.4375</v>
      </c>
      <c r="H688" s="51" t="n">
        <v>254540</v>
      </c>
      <c r="I688" s="46" t="inlineStr">
        <is>
          <t>우승택</t>
        </is>
      </c>
      <c r="K688" s="46" t="n">
        <v>687</v>
      </c>
      <c r="L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9">
      <c r="A689" s="229" t="n">
        <v>45727</v>
      </c>
      <c r="B689" s="46" t="inlineStr">
        <is>
          <t>정기검사</t>
        </is>
      </c>
      <c r="C689" s="46" t="inlineStr">
        <is>
          <t>김포지역</t>
        </is>
      </c>
      <c r="D689" s="46" t="inlineStr">
        <is>
          <t>서현엘리</t>
        </is>
      </c>
      <c r="E689" s="46" t="n">
        <v>290</v>
      </c>
      <c r="F689" s="46" t="inlineStr">
        <is>
          <t>대명리</t>
        </is>
      </c>
      <c r="G689" s="50" t="n">
        <v>0.5416666666666666</v>
      </c>
      <c r="H689" s="51" t="n">
        <v>515130</v>
      </c>
      <c r="I689" s="46" t="inlineStr">
        <is>
          <t>민경수</t>
        </is>
      </c>
      <c r="K689" s="46" t="n">
        <v>688</v>
      </c>
      <c r="L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0">
      <c r="A690" s="229" t="n">
        <v>45727</v>
      </c>
      <c r="B690" s="46" t="inlineStr">
        <is>
          <t>정기검사</t>
        </is>
      </c>
      <c r="C690" s="46" t="inlineStr">
        <is>
          <t>김포지역</t>
        </is>
      </c>
      <c r="D690" s="46" t="inlineStr">
        <is>
          <t>골든스퀘어</t>
        </is>
      </c>
      <c r="E690" s="46" t="n">
        <v>507</v>
      </c>
      <c r="F690" s="46" t="inlineStr">
        <is>
          <t>운양동</t>
        </is>
      </c>
      <c r="G690" s="50" t="n">
        <v>0.3958333333333333</v>
      </c>
      <c r="H690" s="51" t="n">
        <v>801240</v>
      </c>
      <c r="I690" s="46" t="inlineStr">
        <is>
          <t>민재홍</t>
        </is>
      </c>
      <c r="K690" s="46" t="n">
        <v>689</v>
      </c>
      <c r="L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1">
      <c r="A691" s="229" t="n">
        <v>45727</v>
      </c>
      <c r="B691" s="46" t="inlineStr">
        <is>
          <t>정기검사</t>
        </is>
      </c>
      <c r="C691" s="46" t="inlineStr">
        <is>
          <t>김포지역</t>
        </is>
      </c>
      <c r="D691" s="46" t="inlineStr">
        <is>
          <t>김포자이에비뉴</t>
        </is>
      </c>
      <c r="E691" s="46" t="inlineStr">
        <is>
          <t>500/225</t>
        </is>
      </c>
      <c r="F691" s="46" t="inlineStr">
        <is>
          <t>장기동</t>
        </is>
      </c>
      <c r="G691" s="50" t="n">
        <v>0.4166666666666667</v>
      </c>
      <c r="H691" s="51" t="n">
        <v>940170</v>
      </c>
      <c r="I691" s="46" t="inlineStr">
        <is>
          <t>송두기</t>
        </is>
      </c>
      <c r="K691" s="46" t="n">
        <v>690</v>
      </c>
      <c r="L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2">
      <c r="A692" s="229" t="n">
        <v>45727</v>
      </c>
      <c r="B692" s="46" t="inlineStr">
        <is>
          <t>정기검사</t>
        </is>
      </c>
      <c r="C692" s="46" t="inlineStr">
        <is>
          <t>김포지역</t>
        </is>
      </c>
      <c r="D692" s="46" t="inlineStr">
        <is>
          <t>노딕튜브</t>
        </is>
      </c>
      <c r="E692" s="46" t="n">
        <v>250</v>
      </c>
      <c r="F692" s="46" t="inlineStr">
        <is>
          <t>도사리</t>
        </is>
      </c>
      <c r="G692" s="50" t="n">
        <v>0.6041666666666666</v>
      </c>
      <c r="H692" s="51" t="n">
        <v>489170</v>
      </c>
      <c r="I692" s="46" t="inlineStr">
        <is>
          <t>정성관</t>
        </is>
      </c>
      <c r="K692" s="46" t="n">
        <v>691</v>
      </c>
      <c r="L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3">
      <c r="A693" s="229" t="n">
        <v>45727</v>
      </c>
      <c r="B693" s="46" t="inlineStr">
        <is>
          <t>사용전검사</t>
        </is>
      </c>
      <c r="C693" s="46" t="inlineStr">
        <is>
          <t>부천지역</t>
        </is>
      </c>
      <c r="D693" s="46" t="inlineStr">
        <is>
          <t>엘에스컴퍼니</t>
        </is>
      </c>
      <c r="E693" s="46" t="n">
        <v>8</v>
      </c>
      <c r="F693" s="46" t="inlineStr">
        <is>
          <t>고강동</t>
        </is>
      </c>
      <c r="G693" s="50" t="n"/>
      <c r="H693" s="51" t="n"/>
      <c r="I693" s="46" t="inlineStr">
        <is>
          <t>김영권</t>
        </is>
      </c>
      <c r="K693" s="46" t="n">
        <v>692</v>
      </c>
      <c r="L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4">
      <c r="A694" s="229" t="n">
        <v>45727</v>
      </c>
      <c r="B694" s="46" t="inlineStr">
        <is>
          <t>사용전검사</t>
        </is>
      </c>
      <c r="C694" s="46" t="inlineStr">
        <is>
          <t>부천지역</t>
        </is>
      </c>
      <c r="D694" s="46" t="inlineStr">
        <is>
          <t>삼환기업</t>
        </is>
      </c>
      <c r="E694" s="46" t="n">
        <v>600</v>
      </c>
      <c r="F694" s="46" t="inlineStr">
        <is>
          <t>고강동</t>
        </is>
      </c>
      <c r="G694" s="50" t="n"/>
      <c r="H694" s="51" t="n"/>
      <c r="I694" s="46" t="inlineStr">
        <is>
          <t>정신배</t>
        </is>
      </c>
      <c r="K694" s="46" t="n">
        <v>693</v>
      </c>
      <c r="L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5">
      <c r="A695" s="229" t="n">
        <v>45727</v>
      </c>
      <c r="B695" s="46" t="inlineStr">
        <is>
          <t>사용전검사</t>
        </is>
      </c>
      <c r="C695" s="46" t="inlineStr">
        <is>
          <t>부천지역</t>
        </is>
      </c>
      <c r="D695" s="46" t="inlineStr">
        <is>
          <t>부천건우아파트</t>
        </is>
      </c>
      <c r="E695" s="46" t="inlineStr">
        <is>
          <t>1250/450</t>
        </is>
      </c>
      <c r="F695" s="46" t="n"/>
      <c r="G695" s="50" t="n"/>
      <c r="H695" s="51" t="n"/>
      <c r="I695" s="46" t="inlineStr">
        <is>
          <t>한태희</t>
        </is>
      </c>
      <c r="K695" s="46" t="n">
        <v>694</v>
      </c>
      <c r="L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6">
      <c r="A696" s="229" t="n">
        <v>45727</v>
      </c>
      <c r="B696" s="46" t="inlineStr">
        <is>
          <t>사용전검사</t>
        </is>
      </c>
      <c r="C696" s="46" t="inlineStr">
        <is>
          <t>부천지역</t>
        </is>
      </c>
      <c r="D696" s="46" t="inlineStr">
        <is>
          <t>원종제일국밥</t>
        </is>
      </c>
      <c r="E696" s="46" t="n">
        <v>15</v>
      </c>
      <c r="F696" s="46" t="inlineStr">
        <is>
          <t>원종동</t>
        </is>
      </c>
      <c r="G696" s="50" t="n"/>
      <c r="H696" s="51" t="n"/>
      <c r="I696" s="46" t="inlineStr">
        <is>
          <t>송낙명</t>
        </is>
      </c>
      <c r="K696" s="46" t="n">
        <v>695</v>
      </c>
      <c r="L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7">
      <c r="A697" s="229" t="n">
        <v>45727</v>
      </c>
      <c r="B697" s="46" t="inlineStr">
        <is>
          <t>메모</t>
        </is>
      </c>
      <c r="C697" s="46" t="inlineStr">
        <is>
          <t>부천지역</t>
        </is>
      </c>
      <c r="D697" s="46" t="inlineStr">
        <is>
          <t>허창수교육</t>
        </is>
      </c>
      <c r="E697" s="46" t="n"/>
      <c r="F697" s="46" t="n"/>
      <c r="G697" s="50" t="n"/>
      <c r="H697" s="51" t="n"/>
      <c r="I697" s="46" t="n"/>
      <c r="K697" s="46" t="n">
        <v>696</v>
      </c>
      <c r="L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8">
      <c r="A698" s="229" t="n">
        <v>45727</v>
      </c>
      <c r="B698" s="46" t="inlineStr">
        <is>
          <t>사용전검사</t>
        </is>
      </c>
      <c r="C698" s="46" t="inlineStr">
        <is>
          <t>김포지역</t>
        </is>
      </c>
      <c r="D698" s="46" t="inlineStr">
        <is>
          <t>수도포병여단</t>
        </is>
      </c>
      <c r="E698" s="46" t="n">
        <v>64</v>
      </c>
      <c r="F698" s="46" t="inlineStr">
        <is>
          <t>서암리</t>
        </is>
      </c>
      <c r="G698" s="50" t="n"/>
      <c r="H698" s="51" t="n"/>
      <c r="I698" s="46" t="inlineStr">
        <is>
          <t>이덕기</t>
        </is>
      </c>
      <c r="K698" s="46" t="n">
        <v>697</v>
      </c>
      <c r="L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9">
      <c r="A699" s="229" t="n">
        <v>45727</v>
      </c>
      <c r="B699" s="46" t="inlineStr">
        <is>
          <t>사용전검사</t>
        </is>
      </c>
      <c r="C699" s="46" t="inlineStr">
        <is>
          <t>김포지역</t>
        </is>
      </c>
      <c r="D699" s="46" t="inlineStr">
        <is>
          <t>태건</t>
        </is>
      </c>
      <c r="E699" s="46" t="n">
        <v>50</v>
      </c>
      <c r="F699" s="46" t="inlineStr">
        <is>
          <t>봉성리</t>
        </is>
      </c>
      <c r="G699" s="50" t="n"/>
      <c r="H699" s="51" t="n"/>
      <c r="I699" s="46" t="inlineStr">
        <is>
          <t>정성관</t>
        </is>
      </c>
      <c r="K699" s="46" t="n">
        <v>698</v>
      </c>
      <c r="L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0">
      <c r="A700" s="229" t="n">
        <v>45728</v>
      </c>
      <c r="B700" s="46" t="inlineStr">
        <is>
          <t>정기검사</t>
        </is>
      </c>
      <c r="C700" s="46" t="inlineStr">
        <is>
          <t>부천지역</t>
        </is>
      </c>
      <c r="D700" s="46" t="inlineStr">
        <is>
          <t>동영기업</t>
        </is>
      </c>
      <c r="E700" s="46" t="n">
        <v>290</v>
      </c>
      <c r="F700" s="46" t="inlineStr">
        <is>
          <t>오정동</t>
        </is>
      </c>
      <c r="G700" s="50" t="n">
        <v>0.5416666666666666</v>
      </c>
      <c r="H700" s="51" t="n">
        <v>515130</v>
      </c>
      <c r="I700" s="46" t="inlineStr">
        <is>
          <t>민경수</t>
        </is>
      </c>
      <c r="K700" s="46" t="n">
        <v>699</v>
      </c>
      <c r="L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1">
      <c r="A701" s="229" t="n">
        <v>45728</v>
      </c>
      <c r="B701" s="46" t="inlineStr">
        <is>
          <t>정기검사</t>
        </is>
      </c>
      <c r="C701" s="46" t="inlineStr">
        <is>
          <t>부천지역</t>
        </is>
      </c>
      <c r="D701" s="46" t="inlineStr">
        <is>
          <t>대성밸브</t>
        </is>
      </c>
      <c r="E701" s="46" t="n">
        <v>290</v>
      </c>
      <c r="F701" s="46" t="inlineStr">
        <is>
          <t>오정동</t>
        </is>
      </c>
      <c r="G701" s="50" t="n">
        <v>0.4791666666666667</v>
      </c>
      <c r="H701" s="51" t="n">
        <v>515130</v>
      </c>
      <c r="I701" s="46" t="inlineStr">
        <is>
          <t>송두기</t>
        </is>
      </c>
      <c r="K701" s="46" t="n">
        <v>700</v>
      </c>
      <c r="L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2">
      <c r="A702" s="229" t="n">
        <v>45728</v>
      </c>
      <c r="B702" s="46" t="inlineStr">
        <is>
          <t>정기검사</t>
        </is>
      </c>
      <c r="C702" s="46" t="inlineStr">
        <is>
          <t>부천지역</t>
        </is>
      </c>
      <c r="D702" s="46" t="inlineStr">
        <is>
          <t>센프라자</t>
        </is>
      </c>
      <c r="E702" s="46" t="n">
        <v>300</v>
      </c>
      <c r="F702" s="46" t="inlineStr">
        <is>
          <t>옥길동</t>
        </is>
      </c>
      <c r="G702" s="50" t="n">
        <v>0.3958333333333333</v>
      </c>
      <c r="H702" s="51" t="n">
        <v>521730</v>
      </c>
      <c r="I702" s="46" t="inlineStr">
        <is>
          <t>민경수</t>
        </is>
      </c>
      <c r="K702" s="46" t="n">
        <v>701</v>
      </c>
      <c r="L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3">
      <c r="A703" s="229" t="n">
        <v>45728</v>
      </c>
      <c r="B703" s="46" t="inlineStr">
        <is>
          <t>정기검사</t>
        </is>
      </c>
      <c r="C703" s="46" t="inlineStr">
        <is>
          <t>부천지역</t>
        </is>
      </c>
      <c r="D703" s="46" t="inlineStr">
        <is>
          <t>다고</t>
        </is>
      </c>
      <c r="E703" s="46" t="n">
        <v>150</v>
      </c>
      <c r="F703" s="46" t="inlineStr">
        <is>
          <t>양택리</t>
        </is>
      </c>
      <c r="G703" s="50" t="n">
        <v>0.4166666666666667</v>
      </c>
      <c r="H703" s="51" t="n">
        <v>424160</v>
      </c>
      <c r="I703" s="46" t="inlineStr">
        <is>
          <t>우승택</t>
        </is>
      </c>
      <c r="K703" s="46" t="n">
        <v>702</v>
      </c>
      <c r="L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4">
      <c r="A704" s="229" t="n">
        <v>45728</v>
      </c>
      <c r="B704" s="46" t="inlineStr">
        <is>
          <t>정기검사</t>
        </is>
      </c>
      <c r="C704" s="46" t="inlineStr">
        <is>
          <t>부천지역</t>
        </is>
      </c>
      <c r="D704" s="46" t="inlineStr">
        <is>
          <t>현대메디칼</t>
        </is>
      </c>
      <c r="E704" s="46" t="inlineStr">
        <is>
          <t>750/159</t>
        </is>
      </c>
      <c r="F704" s="46" t="inlineStr">
        <is>
          <t>양곡리</t>
        </is>
      </c>
      <c r="G704" s="50" t="n">
        <v>0.5625</v>
      </c>
      <c r="H704" s="51" t="n">
        <v>876040</v>
      </c>
      <c r="I704" s="46" t="inlineStr">
        <is>
          <t>민재홍</t>
        </is>
      </c>
      <c r="K704" s="46" t="n">
        <v>703</v>
      </c>
      <c r="L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5">
      <c r="A705" s="229" t="n">
        <v>45728</v>
      </c>
      <c r="B705" s="46" t="inlineStr">
        <is>
          <t>정기검사</t>
        </is>
      </c>
      <c r="C705" s="46" t="inlineStr">
        <is>
          <t>부천지역</t>
        </is>
      </c>
      <c r="D705" s="46" t="inlineStr">
        <is>
          <t>테마포커스</t>
        </is>
      </c>
      <c r="E705" s="46" t="n">
        <v>150</v>
      </c>
      <c r="F705" s="46" t="inlineStr">
        <is>
          <t>석탄리</t>
        </is>
      </c>
      <c r="G705" s="50" t="n">
        <v>0.3958333333333333</v>
      </c>
      <c r="H705" s="51" t="n">
        <v>424160</v>
      </c>
      <c r="I705" s="46" t="inlineStr">
        <is>
          <t>한태희</t>
        </is>
      </c>
      <c r="K705" s="46" t="n">
        <v>704</v>
      </c>
      <c r="L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6">
      <c r="A706" s="229" t="n">
        <v>45728</v>
      </c>
      <c r="B706" s="46" t="inlineStr">
        <is>
          <t>정기검사</t>
        </is>
      </c>
      <c r="C706" s="46" t="inlineStr">
        <is>
          <t>김포지역</t>
        </is>
      </c>
      <c r="D706" s="46" t="inlineStr">
        <is>
          <t>보담팩</t>
        </is>
      </c>
      <c r="E706" s="46" t="n">
        <v>290</v>
      </c>
      <c r="F706" s="46" t="inlineStr">
        <is>
          <t>귀전리</t>
        </is>
      </c>
      <c r="G706" s="50" t="n">
        <v>0.5</v>
      </c>
      <c r="H706" s="51" t="n">
        <v>515130</v>
      </c>
      <c r="I706" s="46" t="inlineStr">
        <is>
          <t>김영권</t>
        </is>
      </c>
      <c r="K706" s="46" t="n">
        <v>705</v>
      </c>
      <c r="L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7">
      <c r="A707" s="229" t="n">
        <v>45728</v>
      </c>
      <c r="B707" s="46" t="inlineStr">
        <is>
          <t>정기검사</t>
        </is>
      </c>
      <c r="C707" s="46" t="inlineStr">
        <is>
          <t>김포지역</t>
        </is>
      </c>
      <c r="D707" s="46" t="inlineStr">
        <is>
          <t>재혁태양광</t>
        </is>
      </c>
      <c r="E707" s="46" t="n">
        <v>348</v>
      </c>
      <c r="F707" s="46" t="inlineStr">
        <is>
          <t>석정리</t>
        </is>
      </c>
      <c r="G707" s="50" t="n">
        <v>0.4166666666666667</v>
      </c>
      <c r="H707" s="51" t="n">
        <v>516120</v>
      </c>
      <c r="I707" s="46" t="inlineStr">
        <is>
          <t>한태희</t>
        </is>
      </c>
      <c r="K707" s="46" t="n">
        <v>706</v>
      </c>
      <c r="L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8">
      <c r="A708" s="229" t="n">
        <v>45728</v>
      </c>
      <c r="B708" s="46" t="inlineStr">
        <is>
          <t>정기검사</t>
        </is>
      </c>
      <c r="C708" s="46" t="inlineStr">
        <is>
          <t>김포지역</t>
        </is>
      </c>
      <c r="D708" s="46" t="inlineStr">
        <is>
          <t>지가스</t>
        </is>
      </c>
      <c r="E708" s="46" t="n">
        <v>26</v>
      </c>
      <c r="F708" s="46" t="inlineStr">
        <is>
          <t>구래리</t>
        </is>
      </c>
      <c r="G708" s="50" t="n">
        <v>0.625</v>
      </c>
      <c r="H708" s="51" t="n">
        <v>144210</v>
      </c>
      <c r="I708" s="46" t="inlineStr">
        <is>
          <t>서수형</t>
        </is>
      </c>
      <c r="K708" s="46" t="n">
        <v>707</v>
      </c>
      <c r="L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9">
      <c r="A709" s="229" t="n">
        <v>45728</v>
      </c>
      <c r="B709" s="46" t="inlineStr">
        <is>
          <t>정기검사</t>
        </is>
      </c>
      <c r="C709" s="46" t="inlineStr">
        <is>
          <t>김포지역</t>
        </is>
      </c>
      <c r="D709" s="46" t="inlineStr">
        <is>
          <t>내리기업</t>
        </is>
      </c>
      <c r="E709" s="46" t="n">
        <v>100</v>
      </c>
      <c r="F709" s="46" t="inlineStr">
        <is>
          <t>송마리</t>
        </is>
      </c>
      <c r="G709" s="50" t="n">
        <v>0.4791666666666667</v>
      </c>
      <c r="H709" s="51" t="n">
        <v>391710</v>
      </c>
      <c r="I709" s="46" t="inlineStr">
        <is>
          <t>이덕기</t>
        </is>
      </c>
      <c r="K709" s="46" t="n">
        <v>708</v>
      </c>
      <c r="L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0">
      <c r="A710" s="229" t="n">
        <v>45728</v>
      </c>
      <c r="B710" s="46" t="inlineStr">
        <is>
          <t>정기검사</t>
        </is>
      </c>
      <c r="C710" s="46" t="inlineStr">
        <is>
          <t>김포지역</t>
        </is>
      </c>
      <c r="D710" s="46" t="inlineStr">
        <is>
          <t>승원</t>
        </is>
      </c>
      <c r="E710" s="46" t="n">
        <v>290</v>
      </c>
      <c r="F710" s="46" t="inlineStr">
        <is>
          <t>풍무동</t>
        </is>
      </c>
      <c r="G710" s="50" t="n">
        <v>0.25</v>
      </c>
      <c r="H710" s="51" t="n">
        <v>669790</v>
      </c>
      <c r="I710" s="46" t="inlineStr">
        <is>
          <t>이종석</t>
        </is>
      </c>
      <c r="K710" s="46" t="n">
        <v>709</v>
      </c>
      <c r="L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1">
      <c r="A711" s="229" t="n">
        <v>45728</v>
      </c>
      <c r="B711" s="46" t="inlineStr">
        <is>
          <t>정기검사</t>
        </is>
      </c>
      <c r="C711" s="46" t="inlineStr">
        <is>
          <t>김포지역</t>
        </is>
      </c>
      <c r="D711" s="46" t="inlineStr">
        <is>
          <t>아시안룩스</t>
        </is>
      </c>
      <c r="E711" s="46" t="n">
        <v>290</v>
      </c>
      <c r="F711" s="46" t="inlineStr">
        <is>
          <t>대명리</t>
        </is>
      </c>
      <c r="G711" s="50" t="n">
        <v>0.4583333333333333</v>
      </c>
      <c r="H711" s="51" t="n">
        <v>515130</v>
      </c>
      <c r="I711" s="46" t="inlineStr">
        <is>
          <t>정성관</t>
        </is>
      </c>
      <c r="K711" s="46" t="n">
        <v>710</v>
      </c>
      <c r="L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2">
      <c r="A712" s="229" t="n">
        <v>45728</v>
      </c>
      <c r="B712" s="46" t="inlineStr">
        <is>
          <t>정기검사</t>
        </is>
      </c>
      <c r="C712" s="46" t="inlineStr">
        <is>
          <t>김포지역</t>
        </is>
      </c>
      <c r="D712" s="46" t="inlineStr">
        <is>
          <t>스마트NC</t>
        </is>
      </c>
      <c r="E712" s="46" t="n">
        <v>150</v>
      </c>
      <c r="F712" s="46" t="inlineStr">
        <is>
          <t>대벽리</t>
        </is>
      </c>
      <c r="G712" s="50" t="n">
        <v>0.4791666666666667</v>
      </c>
      <c r="H712" s="51" t="n">
        <v>434160</v>
      </c>
      <c r="I712" s="46" t="inlineStr">
        <is>
          <t>서수형</t>
        </is>
      </c>
      <c r="K712" s="46" t="n">
        <v>711</v>
      </c>
      <c r="L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3">
      <c r="A713" s="229" t="n">
        <v>45728</v>
      </c>
      <c r="B713" s="46" t="inlineStr">
        <is>
          <t>정기검사</t>
        </is>
      </c>
      <c r="C713" s="46" t="inlineStr">
        <is>
          <t>김포지역</t>
        </is>
      </c>
      <c r="D713" s="46" t="inlineStr">
        <is>
          <t>샛빛마을</t>
        </is>
      </c>
      <c r="E713" s="46" t="n">
        <v>3</v>
      </c>
      <c r="F713" s="46" t="inlineStr">
        <is>
          <t>대벽리</t>
        </is>
      </c>
      <c r="G713" s="50" t="n"/>
      <c r="H713" s="51" t="n">
        <v>89210</v>
      </c>
      <c r="I713" s="46" t="inlineStr">
        <is>
          <t>정신배</t>
        </is>
      </c>
      <c r="K713" s="46" t="n">
        <v>712</v>
      </c>
      <c r="L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4">
      <c r="A714" s="229" t="n">
        <v>45728</v>
      </c>
      <c r="B714" s="46" t="inlineStr">
        <is>
          <t>정기검사</t>
        </is>
      </c>
      <c r="C714" s="46" t="inlineStr">
        <is>
          <t>김포지역</t>
        </is>
      </c>
      <c r="D714" s="46" t="inlineStr">
        <is>
          <t>샛빛마을</t>
        </is>
      </c>
      <c r="E714" s="46" t="n"/>
      <c r="F714" s="46" t="inlineStr">
        <is>
          <t>대벽리</t>
        </is>
      </c>
      <c r="G714" s="50" t="n"/>
      <c r="H714" s="51" t="n">
        <v>90970</v>
      </c>
      <c r="I714" s="46" t="inlineStr">
        <is>
          <t>정신배</t>
        </is>
      </c>
      <c r="K714" s="46" t="n">
        <v>713</v>
      </c>
      <c r="L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5">
      <c r="A715" s="229" t="n">
        <v>45728</v>
      </c>
      <c r="B715" s="46" t="inlineStr">
        <is>
          <t>정기검사</t>
        </is>
      </c>
      <c r="C715" s="46" t="inlineStr">
        <is>
          <t>김포지역</t>
        </is>
      </c>
      <c r="D715" s="46" t="inlineStr">
        <is>
          <t>에버온</t>
        </is>
      </c>
      <c r="E715" s="46" t="n"/>
      <c r="F715" s="46" t="inlineStr">
        <is>
          <t>대벽리</t>
        </is>
      </c>
      <c r="G715" s="50" t="n"/>
      <c r="H715" s="51" t="n">
        <v>123530</v>
      </c>
      <c r="I715" s="46" t="inlineStr">
        <is>
          <t>정신배</t>
        </is>
      </c>
      <c r="K715" s="46" t="n">
        <v>714</v>
      </c>
      <c r="L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6">
      <c r="A716" s="229" t="n">
        <v>45728</v>
      </c>
      <c r="B716" s="46" t="inlineStr">
        <is>
          <t>사용전검사</t>
        </is>
      </c>
      <c r="C716" s="46" t="inlineStr">
        <is>
          <t>부천지역</t>
        </is>
      </c>
      <c r="D716" s="46" t="inlineStr">
        <is>
          <t>고강동현대</t>
        </is>
      </c>
      <c r="E716" s="46" t="n">
        <v>26.4</v>
      </c>
      <c r="F716" s="46" t="inlineStr">
        <is>
          <t>고강동</t>
        </is>
      </c>
      <c r="G716" s="50" t="n"/>
      <c r="H716" s="51" t="n"/>
      <c r="I716" s="46" t="inlineStr">
        <is>
          <t>송두기</t>
        </is>
      </c>
      <c r="K716" s="46" t="n">
        <v>715</v>
      </c>
      <c r="L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7">
      <c r="A717" s="229" t="n">
        <v>45728</v>
      </c>
      <c r="B717" s="46" t="inlineStr">
        <is>
          <t>메모</t>
        </is>
      </c>
      <c r="C717" s="46" t="inlineStr">
        <is>
          <t>부천지역</t>
        </is>
      </c>
      <c r="D717" s="46" t="inlineStr">
        <is>
          <t>허창수교육</t>
        </is>
      </c>
      <c r="E717" s="46" t="n"/>
      <c r="F717" s="46" t="n"/>
      <c r="G717" s="50" t="n"/>
      <c r="H717" s="51" t="n"/>
      <c r="I717" s="46" t="n"/>
      <c r="K717" s="46" t="n">
        <v>716</v>
      </c>
      <c r="L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8">
      <c r="A718" s="229" t="n">
        <v>45728</v>
      </c>
      <c r="B718" s="46" t="inlineStr">
        <is>
          <t>사용전검사</t>
        </is>
      </c>
      <c r="C718" s="46" t="inlineStr">
        <is>
          <t>김포지역</t>
        </is>
      </c>
      <c r="D718" s="46" t="inlineStr">
        <is>
          <t>강문레이져</t>
        </is>
      </c>
      <c r="E718" s="46" t="n">
        <v>97</v>
      </c>
      <c r="F718" s="46" t="inlineStr">
        <is>
          <t>초원지리</t>
        </is>
      </c>
      <c r="G718" s="50" t="n"/>
      <c r="H718" s="51" t="n"/>
      <c r="I718" s="46" t="inlineStr">
        <is>
          <t>이덕기</t>
        </is>
      </c>
      <c r="K718" s="46" t="n">
        <v>717</v>
      </c>
      <c r="L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9">
      <c r="A719" s="229" t="n">
        <v>45729</v>
      </c>
      <c r="B719" s="46" t="inlineStr">
        <is>
          <t>정기검사</t>
        </is>
      </c>
      <c r="C719" s="46" t="inlineStr">
        <is>
          <t>부천지역</t>
        </is>
      </c>
      <c r="D719" s="46" t="inlineStr">
        <is>
          <t>나이스인프라</t>
        </is>
      </c>
      <c r="E719" s="46" t="n">
        <v>7</v>
      </c>
      <c r="F719" s="46" t="inlineStr">
        <is>
          <t>중동</t>
        </is>
      </c>
      <c r="G719" s="50" t="n">
        <v>0.5416666666666666</v>
      </c>
      <c r="H719" s="51" t="n">
        <v>148940</v>
      </c>
      <c r="I719" s="46" t="inlineStr">
        <is>
          <t>민재홍</t>
        </is>
      </c>
      <c r="K719" s="46" t="n">
        <v>718</v>
      </c>
      <c r="L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0">
      <c r="A720" s="229" t="n">
        <v>45729</v>
      </c>
      <c r="B720" s="46" t="inlineStr">
        <is>
          <t>정기검사</t>
        </is>
      </c>
      <c r="C720" s="46" t="inlineStr">
        <is>
          <t>부천지역</t>
        </is>
      </c>
      <c r="D720" s="46" t="inlineStr">
        <is>
          <t>강원농산</t>
        </is>
      </c>
      <c r="E720" s="46" t="n">
        <v>450</v>
      </c>
      <c r="F720" s="46" t="inlineStr">
        <is>
          <t>도당동</t>
        </is>
      </c>
      <c r="G720" s="50" t="n">
        <v>0.4791666666666667</v>
      </c>
      <c r="H720" s="51" t="n">
        <v>720060</v>
      </c>
      <c r="I720" s="46" t="inlineStr">
        <is>
          <t>우승택</t>
        </is>
      </c>
      <c r="K720" s="46" t="n">
        <v>719</v>
      </c>
      <c r="L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1">
      <c r="A721" s="229" t="n">
        <v>45729</v>
      </c>
      <c r="B721" s="46" t="inlineStr">
        <is>
          <t>정기검사</t>
        </is>
      </c>
      <c r="C721" s="46" t="inlineStr">
        <is>
          <t>부천지역</t>
        </is>
      </c>
      <c r="D721" s="46" t="inlineStr">
        <is>
          <t>대명월드타워</t>
        </is>
      </c>
      <c r="E721" s="46" t="inlineStr">
        <is>
          <t>1200/360</t>
        </is>
      </c>
      <c r="F721" s="46" t="inlineStr">
        <is>
          <t>송내동</t>
        </is>
      </c>
      <c r="G721" s="50" t="n">
        <v>0.4583333333333333</v>
      </c>
      <c r="H721" s="51" t="n"/>
      <c r="I721" s="46" t="inlineStr">
        <is>
          <t>서수형</t>
        </is>
      </c>
      <c r="K721" s="46" t="n">
        <v>720</v>
      </c>
      <c r="L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2">
      <c r="A722" s="229" t="n">
        <v>45729</v>
      </c>
      <c r="B722" s="46" t="inlineStr">
        <is>
          <t>정기검사</t>
        </is>
      </c>
      <c r="C722" s="46" t="inlineStr">
        <is>
          <t>부천지역</t>
        </is>
      </c>
      <c r="D722" s="46" t="inlineStr">
        <is>
          <t>메리츠화재</t>
        </is>
      </c>
      <c r="E722" s="46" t="n">
        <v>100</v>
      </c>
      <c r="F722" s="46" t="inlineStr">
        <is>
          <t>상동</t>
        </is>
      </c>
      <c r="G722" s="50" t="n">
        <v>0.8333333333333334</v>
      </c>
      <c r="H722" s="51" t="n">
        <v>376090</v>
      </c>
      <c r="I722" s="46" t="inlineStr">
        <is>
          <t>정신배</t>
        </is>
      </c>
      <c r="K722" s="46" t="n">
        <v>721</v>
      </c>
      <c r="L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3">
      <c r="A723" s="229" t="n">
        <v>45729</v>
      </c>
      <c r="B723" s="46" t="inlineStr">
        <is>
          <t>정기검사</t>
        </is>
      </c>
      <c r="C723" s="46" t="inlineStr">
        <is>
          <t>김포지역</t>
        </is>
      </c>
      <c r="D723" s="46" t="inlineStr">
        <is>
          <t>동양호이스트</t>
        </is>
      </c>
      <c r="E723" s="46" t="n">
        <v>200</v>
      </c>
      <c r="F723" s="46" t="inlineStr">
        <is>
          <t>송마리</t>
        </is>
      </c>
      <c r="G723" s="50" t="n">
        <v>0.5416666666666666</v>
      </c>
      <c r="H723" s="51" t="n">
        <v>456720</v>
      </c>
      <c r="I723" s="46" t="inlineStr">
        <is>
          <t>이종석</t>
        </is>
      </c>
      <c r="K723" s="46" t="n">
        <v>722</v>
      </c>
      <c r="L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4">
      <c r="A724" s="229" t="n">
        <v>45729</v>
      </c>
      <c r="B724" s="46" t="inlineStr">
        <is>
          <t>정기검사</t>
        </is>
      </c>
      <c r="C724" s="46" t="inlineStr">
        <is>
          <t>김포지역</t>
        </is>
      </c>
      <c r="D724" s="46" t="inlineStr">
        <is>
          <t>건영피앤엠</t>
        </is>
      </c>
      <c r="E724" s="46" t="n">
        <v>500</v>
      </c>
      <c r="F724" s="46" t="inlineStr">
        <is>
          <t>학운리</t>
        </is>
      </c>
      <c r="G724" s="50" t="n">
        <v>0.4791666666666667</v>
      </c>
      <c r="H724" s="51" t="n">
        <v>737000</v>
      </c>
      <c r="I724" s="46" t="inlineStr">
        <is>
          <t>허창수</t>
        </is>
      </c>
      <c r="K724" s="46" t="n">
        <v>723</v>
      </c>
      <c r="L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5">
      <c r="A725" s="229" t="n">
        <v>45729</v>
      </c>
      <c r="B725" s="46" t="inlineStr">
        <is>
          <t>정기검사</t>
        </is>
      </c>
      <c r="C725" s="46" t="inlineStr">
        <is>
          <t>김포지역</t>
        </is>
      </c>
      <c r="D725" s="46" t="inlineStr">
        <is>
          <t>원심</t>
        </is>
      </c>
      <c r="E725" s="46" t="n">
        <v>500</v>
      </c>
      <c r="F725" s="46" t="inlineStr">
        <is>
          <t>학운리</t>
        </is>
      </c>
      <c r="G725" s="50" t="n">
        <v>0.5416666666666666</v>
      </c>
      <c r="H725" s="51" t="n">
        <v>737000</v>
      </c>
      <c r="I725" s="46" t="inlineStr">
        <is>
          <t>김영권</t>
        </is>
      </c>
      <c r="K725" s="46" t="n">
        <v>724</v>
      </c>
      <c r="L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6">
      <c r="A726" s="229" t="n">
        <v>45729</v>
      </c>
      <c r="B726" s="46" t="inlineStr">
        <is>
          <t>정기검사</t>
        </is>
      </c>
      <c r="C726" s="46" t="inlineStr">
        <is>
          <t>김포지역</t>
        </is>
      </c>
      <c r="D726" s="46" t="inlineStr">
        <is>
          <t>마곡3리</t>
        </is>
      </c>
      <c r="E726" s="46" t="n"/>
      <c r="F726" s="46" t="inlineStr">
        <is>
          <t>마곡리</t>
        </is>
      </c>
      <c r="G726" s="50" t="n"/>
      <c r="H726" s="51" t="n">
        <v>94600</v>
      </c>
      <c r="I726" s="46" t="inlineStr">
        <is>
          <t>송두기</t>
        </is>
      </c>
      <c r="K726" s="46" t="n">
        <v>725</v>
      </c>
      <c r="L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7">
      <c r="A727" s="229" t="n">
        <v>45729</v>
      </c>
      <c r="B727" s="46" t="inlineStr">
        <is>
          <t>정기검사</t>
        </is>
      </c>
      <c r="C727" s="46" t="inlineStr">
        <is>
          <t>김포지역</t>
        </is>
      </c>
      <c r="D727" s="46" t="inlineStr">
        <is>
          <t>더가구</t>
        </is>
      </c>
      <c r="E727" s="46" t="n">
        <v>500</v>
      </c>
      <c r="F727" s="46" t="inlineStr">
        <is>
          <t>가현리</t>
        </is>
      </c>
      <c r="G727" s="50" t="n">
        <v>0.4583333333333333</v>
      </c>
      <c r="H727" s="51" t="n">
        <v>737000</v>
      </c>
      <c r="I727" s="46" t="inlineStr">
        <is>
          <t>민경수</t>
        </is>
      </c>
      <c r="K727" s="46" t="n">
        <v>726</v>
      </c>
      <c r="L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8">
      <c r="A728" s="229" t="n">
        <v>45729</v>
      </c>
      <c r="B728" s="46" t="inlineStr">
        <is>
          <t>정기검사</t>
        </is>
      </c>
      <c r="C728" s="46" t="inlineStr">
        <is>
          <t>김포지역</t>
        </is>
      </c>
      <c r="D728" s="46" t="inlineStr">
        <is>
          <t>충호건설</t>
        </is>
      </c>
      <c r="E728" s="46" t="n">
        <v>400</v>
      </c>
      <c r="F728" s="46" t="inlineStr">
        <is>
          <t>갈산리</t>
        </is>
      </c>
      <c r="G728" s="50" t="n">
        <v>0</v>
      </c>
      <c r="H728" s="51" t="n">
        <v>703120</v>
      </c>
      <c r="I728" s="46" t="inlineStr">
        <is>
          <t>민경수</t>
        </is>
      </c>
      <c r="K728" s="46" t="n">
        <v>727</v>
      </c>
      <c r="L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9">
      <c r="A729" s="229" t="n">
        <v>45729</v>
      </c>
      <c r="B729" s="46" t="inlineStr">
        <is>
          <t>정기검사</t>
        </is>
      </c>
      <c r="C729" s="46" t="inlineStr">
        <is>
          <t>김포지역</t>
        </is>
      </c>
      <c r="D729" s="46" t="inlineStr">
        <is>
          <t>걸포재이용수시설</t>
        </is>
      </c>
      <c r="E729" s="46" t="n">
        <v>200</v>
      </c>
      <c r="F729" s="46" t="inlineStr">
        <is>
          <t>걸포동</t>
        </is>
      </c>
      <c r="G729" s="50" t="n">
        <v>0.4166666666666667</v>
      </c>
      <c r="H729" s="51" t="n">
        <v>456720</v>
      </c>
      <c r="I729" s="46" t="inlineStr">
        <is>
          <t>이덕기</t>
        </is>
      </c>
      <c r="K729" s="46" t="n">
        <v>728</v>
      </c>
      <c r="L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0">
      <c r="A730" s="229" t="n">
        <v>45729</v>
      </c>
      <c r="B730" s="46" t="inlineStr">
        <is>
          <t>사용전검사</t>
        </is>
      </c>
      <c r="C730" s="46" t="inlineStr">
        <is>
          <t>부천지역</t>
        </is>
      </c>
      <c r="D730" s="46" t="inlineStr">
        <is>
          <t>메리츠화재</t>
        </is>
      </c>
      <c r="E730" s="46" t="n">
        <v>100</v>
      </c>
      <c r="F730" s="46" t="n"/>
      <c r="G730" s="50" t="n">
        <v>0.8333333333333334</v>
      </c>
      <c r="H730" s="51" t="n"/>
      <c r="I730" s="46" t="inlineStr">
        <is>
          <t>정신배</t>
        </is>
      </c>
      <c r="K730" s="46" t="n">
        <v>729</v>
      </c>
      <c r="L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1">
      <c r="A731" s="229" t="n">
        <v>45729</v>
      </c>
      <c r="B731" s="46" t="inlineStr">
        <is>
          <t>사용전검사</t>
        </is>
      </c>
      <c r="C731" s="46" t="inlineStr">
        <is>
          <t>부천지역</t>
        </is>
      </c>
      <c r="D731" s="46" t="inlineStr">
        <is>
          <t>앙팡</t>
        </is>
      </c>
      <c r="E731" s="46" t="n">
        <v>16</v>
      </c>
      <c r="F731" s="46" t="inlineStr">
        <is>
          <t>괴안동</t>
        </is>
      </c>
      <c r="G731" s="50" t="n"/>
      <c r="H731" s="51" t="n"/>
      <c r="I731" s="46" t="inlineStr">
        <is>
          <t>민재홍</t>
        </is>
      </c>
      <c r="K731" s="46" t="n">
        <v>730</v>
      </c>
      <c r="L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2">
      <c r="A732" s="229" t="n">
        <v>45729</v>
      </c>
      <c r="B732" s="46" t="inlineStr">
        <is>
          <t>사용전검사</t>
        </is>
      </c>
      <c r="C732" s="46" t="inlineStr">
        <is>
          <t>부천지역</t>
        </is>
      </c>
      <c r="D732" s="46" t="inlineStr">
        <is>
          <t>담가화로구이</t>
        </is>
      </c>
      <c r="E732" s="46" t="n">
        <v>20</v>
      </c>
      <c r="F732" s="46" t="inlineStr">
        <is>
          <t>심곡동</t>
        </is>
      </c>
      <c r="G732" s="50" t="n"/>
      <c r="H732" s="51" t="n"/>
      <c r="I732" s="46" t="inlineStr">
        <is>
          <t>정신배</t>
        </is>
      </c>
      <c r="K732" s="46" t="n">
        <v>731</v>
      </c>
      <c r="L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3">
      <c r="A733" s="229" t="n">
        <v>45729</v>
      </c>
      <c r="B733" s="46" t="inlineStr">
        <is>
          <t>사용전검사</t>
        </is>
      </c>
      <c r="C733" s="46" t="inlineStr">
        <is>
          <t>부천지역</t>
        </is>
      </c>
      <c r="D733" s="46" t="inlineStr">
        <is>
          <t>에이치제이중공업</t>
        </is>
      </c>
      <c r="E733" s="46" t="n">
        <v>300</v>
      </c>
      <c r="F733" s="46" t="inlineStr">
        <is>
          <t>오정동</t>
        </is>
      </c>
      <c r="G733" s="50" t="n"/>
      <c r="H733" s="51" t="n"/>
      <c r="I733" s="46" t="n"/>
      <c r="K733" s="46" t="n">
        <v>732</v>
      </c>
      <c r="L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4">
      <c r="A734" s="229" t="n">
        <v>45729</v>
      </c>
      <c r="B734" s="46" t="inlineStr">
        <is>
          <t>사용전검사</t>
        </is>
      </c>
      <c r="C734" s="46" t="inlineStr">
        <is>
          <t>김포지역</t>
        </is>
      </c>
      <c r="D734" s="46" t="inlineStr">
        <is>
          <t>에프엠케이데어리</t>
        </is>
      </c>
      <c r="E734" s="46" t="n">
        <v>149</v>
      </c>
      <c r="F734" s="46" t="inlineStr">
        <is>
          <t>갈산리</t>
        </is>
      </c>
      <c r="G734" s="50" t="n"/>
      <c r="H734" s="51" t="n"/>
      <c r="I734" s="46" t="inlineStr">
        <is>
          <t>송두기</t>
        </is>
      </c>
      <c r="K734" s="46" t="n">
        <v>733</v>
      </c>
      <c r="L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5">
      <c r="A735" s="229" t="n">
        <v>45729</v>
      </c>
      <c r="B735" s="46" t="inlineStr">
        <is>
          <t>사용전검사</t>
        </is>
      </c>
      <c r="C735" s="46" t="inlineStr">
        <is>
          <t>김포지역</t>
        </is>
      </c>
      <c r="D735" s="46" t="inlineStr">
        <is>
          <t>코뿔소가구</t>
        </is>
      </c>
      <c r="E735" s="46" t="n">
        <v>20</v>
      </c>
      <c r="F735" s="46" t="inlineStr">
        <is>
          <t>대명리</t>
        </is>
      </c>
      <c r="G735" s="50" t="n"/>
      <c r="H735" s="51" t="n"/>
      <c r="I735" s="46" t="inlineStr">
        <is>
          <t>한태희</t>
        </is>
      </c>
      <c r="K735" s="46" t="n">
        <v>734</v>
      </c>
      <c r="L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6">
      <c r="A736" s="229" t="n">
        <v>45729</v>
      </c>
      <c r="B736" s="46" t="inlineStr">
        <is>
          <t>사용전검사</t>
        </is>
      </c>
      <c r="C736" s="46" t="inlineStr">
        <is>
          <t>김포지역</t>
        </is>
      </c>
      <c r="D736" s="46" t="inlineStr">
        <is>
          <t>양지사</t>
        </is>
      </c>
      <c r="E736" s="46" t="n">
        <v>700</v>
      </c>
      <c r="F736" s="46" t="inlineStr">
        <is>
          <t>학운리</t>
        </is>
      </c>
      <c r="G736" s="50" t="n"/>
      <c r="H736" s="51" t="n"/>
      <c r="I736" s="46" t="inlineStr">
        <is>
          <t>정성관</t>
        </is>
      </c>
      <c r="K736" s="46" t="n">
        <v>735</v>
      </c>
      <c r="L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7">
      <c r="A737" s="229" t="n">
        <v>45730</v>
      </c>
      <c r="B737" s="46" t="inlineStr">
        <is>
          <t>정기검사</t>
        </is>
      </c>
      <c r="C737" s="46" t="inlineStr">
        <is>
          <t>부천지역</t>
        </is>
      </c>
      <c r="D737" s="46" t="inlineStr">
        <is>
          <t>유창금속</t>
        </is>
      </c>
      <c r="E737" s="46" t="n">
        <v>1490</v>
      </c>
      <c r="F737" s="46" t="inlineStr">
        <is>
          <t>내동</t>
        </is>
      </c>
      <c r="G737" s="50" t="n">
        <v>0.5416666666666666</v>
      </c>
      <c r="H737" s="51" t="n">
        <v>1271490</v>
      </c>
      <c r="I737" s="46" t="inlineStr">
        <is>
          <t>김영권</t>
        </is>
      </c>
      <c r="K737" s="46" t="n">
        <v>736</v>
      </c>
      <c r="L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8">
      <c r="A738" s="229" t="n">
        <v>45730</v>
      </c>
      <c r="B738" s="46" t="inlineStr">
        <is>
          <t>정기검사</t>
        </is>
      </c>
      <c r="C738" s="46" t="inlineStr">
        <is>
          <t>김포지역</t>
        </is>
      </c>
      <c r="D738" s="46" t="inlineStr">
        <is>
          <t>루시드코리아</t>
        </is>
      </c>
      <c r="E738" s="46" t="n">
        <v>400</v>
      </c>
      <c r="F738" s="46" t="inlineStr">
        <is>
          <t>학운리</t>
        </is>
      </c>
      <c r="G738" s="50" t="n">
        <v>0.3958333333333333</v>
      </c>
      <c r="H738" s="51" t="n">
        <v>913990</v>
      </c>
      <c r="I738" s="46" t="inlineStr">
        <is>
          <t>한태희</t>
        </is>
      </c>
      <c r="K738" s="46" t="n">
        <v>737</v>
      </c>
      <c r="L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9">
      <c r="A739" s="229" t="n">
        <v>45730</v>
      </c>
      <c r="B739" s="46" t="inlineStr">
        <is>
          <t>정기검사</t>
        </is>
      </c>
      <c r="C739" s="46" t="inlineStr">
        <is>
          <t>김포지역</t>
        </is>
      </c>
      <c r="D739" s="46" t="inlineStr">
        <is>
          <t>하성면사무소</t>
        </is>
      </c>
      <c r="E739" s="46" t="inlineStr">
        <is>
          <t>500/115</t>
        </is>
      </c>
      <c r="F739" s="46" t="inlineStr">
        <is>
          <t>마곡리</t>
        </is>
      </c>
      <c r="G739" s="50" t="n">
        <v>0.4166666666666667</v>
      </c>
      <c r="H739" s="51" t="n">
        <v>1404040</v>
      </c>
      <c r="I739" s="46" t="inlineStr">
        <is>
          <t>정신배</t>
        </is>
      </c>
      <c r="K739" s="46" t="n">
        <v>738</v>
      </c>
      <c r="L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0">
      <c r="A740" s="229" t="n">
        <v>45730</v>
      </c>
      <c r="B740" s="46" t="inlineStr">
        <is>
          <t>정기검사</t>
        </is>
      </c>
      <c r="C740" s="46" t="inlineStr">
        <is>
          <t>김포지역</t>
        </is>
      </c>
      <c r="D740" s="46" t="inlineStr">
        <is>
          <t>디제이씨</t>
        </is>
      </c>
      <c r="E740" s="46" t="n">
        <v>700</v>
      </c>
      <c r="F740" s="46" t="inlineStr">
        <is>
          <t>개곡리</t>
        </is>
      </c>
      <c r="G740" s="50" t="n">
        <v>0.3958333333333333</v>
      </c>
      <c r="H740" s="51" t="n">
        <v>1046100</v>
      </c>
      <c r="I740" s="46" t="inlineStr">
        <is>
          <t>서수형</t>
        </is>
      </c>
      <c r="K740" s="46" t="n">
        <v>739</v>
      </c>
      <c r="L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1">
      <c r="A741" s="229" t="n">
        <v>45730</v>
      </c>
      <c r="B741" s="46" t="inlineStr">
        <is>
          <t>정기검사</t>
        </is>
      </c>
      <c r="C741" s="46" t="inlineStr">
        <is>
          <t>김포지역</t>
        </is>
      </c>
      <c r="D741" s="46" t="inlineStr">
        <is>
          <t>아산</t>
        </is>
      </c>
      <c r="E741" s="46" t="n">
        <v>3000</v>
      </c>
      <c r="F741" s="46" t="inlineStr">
        <is>
          <t>율생리</t>
        </is>
      </c>
      <c r="G741" s="50" t="n">
        <v>0.6041666666666666</v>
      </c>
      <c r="H741" s="51" t="n">
        <v>1558700</v>
      </c>
      <c r="I741" s="46" t="inlineStr">
        <is>
          <t>민경수</t>
        </is>
      </c>
      <c r="K741" s="46" t="n">
        <v>740</v>
      </c>
      <c r="L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2">
      <c r="A742" s="229" t="n">
        <v>45730</v>
      </c>
      <c r="B742" s="46" t="inlineStr">
        <is>
          <t>사용전검사</t>
        </is>
      </c>
      <c r="C742" s="46" t="inlineStr">
        <is>
          <t>부천지역</t>
        </is>
      </c>
      <c r="D742" s="46" t="inlineStr">
        <is>
          <t>엠이케이</t>
        </is>
      </c>
      <c r="E742" s="46" t="n"/>
      <c r="F742" s="46" t="inlineStr">
        <is>
          <t>내동</t>
        </is>
      </c>
      <c r="G742" s="50" t="n"/>
      <c r="H742" s="51" t="n"/>
      <c r="I742" s="46" t="inlineStr">
        <is>
          <t>송낙명</t>
        </is>
      </c>
      <c r="K742" s="46" t="n">
        <v>741</v>
      </c>
      <c r="L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3">
      <c r="A743" s="229" t="n">
        <v>45730</v>
      </c>
      <c r="B743" s="46" t="inlineStr">
        <is>
          <t>사용전검사</t>
        </is>
      </c>
      <c r="C743" s="46" t="inlineStr">
        <is>
          <t>부천지역</t>
        </is>
      </c>
      <c r="D743" s="46" t="inlineStr">
        <is>
          <t>미성엔지니어링</t>
        </is>
      </c>
      <c r="E743" s="46" t="n">
        <v>290</v>
      </c>
      <c r="F743" s="46" t="inlineStr">
        <is>
          <t>내동</t>
        </is>
      </c>
      <c r="G743" s="50" t="n"/>
      <c r="H743" s="51" t="n"/>
      <c r="I743" s="46" t="inlineStr">
        <is>
          <t>허창수</t>
        </is>
      </c>
      <c r="K743" s="46" t="n">
        <v>742</v>
      </c>
      <c r="L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4">
      <c r="A744" s="229" t="n">
        <v>45730</v>
      </c>
      <c r="B744" s="46" t="inlineStr">
        <is>
          <t>사용전검사</t>
        </is>
      </c>
      <c r="C744" s="46" t="inlineStr">
        <is>
          <t>김포지역</t>
        </is>
      </c>
      <c r="D744" s="46" t="inlineStr">
        <is>
          <t>유일솔루텍</t>
        </is>
      </c>
      <c r="E744" s="46" t="n">
        <v>390</v>
      </c>
      <c r="F744" s="46" t="inlineStr">
        <is>
          <t>학운리</t>
        </is>
      </c>
      <c r="G744" s="50" t="n"/>
      <c r="H744" s="51" t="n"/>
      <c r="I744" s="46" t="inlineStr">
        <is>
          <t>송두기</t>
        </is>
      </c>
      <c r="K744" s="46" t="n">
        <v>743</v>
      </c>
      <c r="L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5">
      <c r="A745" s="229" t="n">
        <v>45732</v>
      </c>
      <c r="B745" s="46" t="inlineStr">
        <is>
          <t>정기검사</t>
        </is>
      </c>
      <c r="C745" s="46" t="inlineStr">
        <is>
          <t>부천지역</t>
        </is>
      </c>
      <c r="D745" s="46" t="inlineStr">
        <is>
          <t>미리내동성</t>
        </is>
      </c>
      <c r="E745" s="46" t="inlineStr">
        <is>
          <t>1800/327</t>
        </is>
      </c>
      <c r="F745" s="46" t="inlineStr">
        <is>
          <t>중동</t>
        </is>
      </c>
      <c r="G745" s="50" t="n">
        <v>0.5416666666666666</v>
      </c>
      <c r="H745" s="51" t="n">
        <v>1243440</v>
      </c>
      <c r="I745" s="46" t="inlineStr">
        <is>
          <t>민재홍</t>
        </is>
      </c>
      <c r="K745" s="46" t="n">
        <v>744</v>
      </c>
      <c r="L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6">
      <c r="A746" s="229" t="n">
        <v>45732</v>
      </c>
      <c r="B746" s="46" t="inlineStr">
        <is>
          <t>정기검사</t>
        </is>
      </c>
      <c r="C746" s="46" t="inlineStr">
        <is>
          <t>부천지역</t>
        </is>
      </c>
      <c r="D746" s="46" t="inlineStr">
        <is>
          <t>부천문화재단박물관</t>
        </is>
      </c>
      <c r="E746" s="46" t="inlineStr">
        <is>
          <t>700/182</t>
        </is>
      </c>
      <c r="F746" s="46" t="inlineStr">
        <is>
          <t>오정동</t>
        </is>
      </c>
      <c r="G746" s="50" t="n">
        <v>0.4166666666666667</v>
      </c>
      <c r="H746" s="51" t="n">
        <v>995170</v>
      </c>
      <c r="I746" s="46" t="inlineStr">
        <is>
          <t>송낙명</t>
        </is>
      </c>
      <c r="K746" s="46" t="n">
        <v>745</v>
      </c>
      <c r="L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7">
      <c r="A747" s="229" t="n">
        <v>45732</v>
      </c>
      <c r="B747" s="46" t="inlineStr">
        <is>
          <t>정기검사</t>
        </is>
      </c>
      <c r="C747" s="46" t="inlineStr">
        <is>
          <t>부천지역</t>
        </is>
      </c>
      <c r="D747" s="46" t="inlineStr">
        <is>
          <t>아이파킹</t>
        </is>
      </c>
      <c r="E747" s="46" t="n">
        <v>57</v>
      </c>
      <c r="F747" s="46" t="inlineStr">
        <is>
          <t>여월동</t>
        </is>
      </c>
      <c r="G747" s="50" t="n">
        <v>0.4375</v>
      </c>
      <c r="H747" s="51" t="n">
        <v>254540</v>
      </c>
      <c r="I747" s="46" t="inlineStr">
        <is>
          <t>송두기</t>
        </is>
      </c>
      <c r="K747" s="46" t="n">
        <v>746</v>
      </c>
      <c r="L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8">
      <c r="A748" s="229" t="n">
        <v>45732</v>
      </c>
      <c r="B748" s="46" t="inlineStr">
        <is>
          <t>정기검사</t>
        </is>
      </c>
      <c r="C748" s="46" t="inlineStr">
        <is>
          <t>부천지역</t>
        </is>
      </c>
      <c r="D748" s="46" t="inlineStr">
        <is>
          <t>대원에스엔씨</t>
        </is>
      </c>
      <c r="E748" s="46" t="n">
        <v>975</v>
      </c>
      <c r="F748" s="46" t="inlineStr">
        <is>
          <t>오정동</t>
        </is>
      </c>
      <c r="G748" s="50" t="n">
        <v>0.4375</v>
      </c>
      <c r="H748" s="51" t="n">
        <v>897930</v>
      </c>
      <c r="I748" s="46" t="inlineStr">
        <is>
          <t>우승택</t>
        </is>
      </c>
      <c r="K748" s="46" t="n">
        <v>747</v>
      </c>
      <c r="L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9">
      <c r="A749" s="229" t="n">
        <v>45732</v>
      </c>
      <c r="B749" s="46" t="inlineStr">
        <is>
          <t>정기검사</t>
        </is>
      </c>
      <c r="C749" s="46" t="inlineStr">
        <is>
          <t>부천지역</t>
        </is>
      </c>
      <c r="D749" s="46" t="inlineStr">
        <is>
          <t>나이스인프라</t>
        </is>
      </c>
      <c r="E749" s="46" t="n">
        <v>100</v>
      </c>
      <c r="F749" s="46" t="inlineStr">
        <is>
          <t>소사본동</t>
        </is>
      </c>
      <c r="G749" s="50" t="n">
        <v>0.3958333333333333</v>
      </c>
      <c r="H749" s="51" t="n">
        <v>288200</v>
      </c>
      <c r="I749" s="46" t="inlineStr">
        <is>
          <t>민경수</t>
        </is>
      </c>
      <c r="K749" s="46" t="n">
        <v>748</v>
      </c>
      <c r="L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0">
      <c r="A750" s="229" t="n">
        <v>45732</v>
      </c>
      <c r="B750" s="46" t="inlineStr">
        <is>
          <t>정기검사</t>
        </is>
      </c>
      <c r="C750" s="46" t="inlineStr">
        <is>
          <t>김포지역</t>
        </is>
      </c>
      <c r="D750" s="46" t="inlineStr">
        <is>
          <t>광장프라자</t>
        </is>
      </c>
      <c r="E750" s="46" t="inlineStr">
        <is>
          <t>1507/328</t>
        </is>
      </c>
      <c r="F750" s="46" t="inlineStr">
        <is>
          <t>운양동</t>
        </is>
      </c>
      <c r="G750" s="50" t="n">
        <v>0.2916666666666667</v>
      </c>
      <c r="H750" s="51" t="n">
        <v>1654290</v>
      </c>
      <c r="I750" s="46" t="inlineStr">
        <is>
          <t>김영권</t>
        </is>
      </c>
      <c r="K750" s="46" t="n">
        <v>749</v>
      </c>
      <c r="L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1">
      <c r="A751" s="229" t="n">
        <v>45732</v>
      </c>
      <c r="B751" s="46" t="inlineStr">
        <is>
          <t>정기검사</t>
        </is>
      </c>
      <c r="C751" s="46" t="inlineStr">
        <is>
          <t>김포지역</t>
        </is>
      </c>
      <c r="D751" s="46" t="inlineStr">
        <is>
          <t>학운3호</t>
        </is>
      </c>
      <c r="E751" s="46" t="n">
        <v>370</v>
      </c>
      <c r="F751" s="46" t="inlineStr">
        <is>
          <t>학운리</t>
        </is>
      </c>
      <c r="G751" s="50" t="n">
        <v>0.4791666666666667</v>
      </c>
      <c r="H751" s="51" t="n">
        <v>527560</v>
      </c>
      <c r="I751" s="46" t="inlineStr">
        <is>
          <t>이덕기</t>
        </is>
      </c>
      <c r="K751" s="46" t="n">
        <v>750</v>
      </c>
      <c r="L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2">
      <c r="A752" s="229" t="n">
        <v>45732</v>
      </c>
      <c r="B752" s="46" t="inlineStr">
        <is>
          <t>정기검사</t>
        </is>
      </c>
      <c r="C752" s="46" t="inlineStr">
        <is>
          <t>김포지역</t>
        </is>
      </c>
      <c r="D752" s="46" t="inlineStr">
        <is>
          <t>이지엠온</t>
        </is>
      </c>
      <c r="E752" s="46" t="n">
        <v>990</v>
      </c>
      <c r="F752" s="46" t="inlineStr">
        <is>
          <t>전류리</t>
        </is>
      </c>
      <c r="G752" s="50" t="n">
        <v>0.5625</v>
      </c>
      <c r="H752" s="51" t="n">
        <v>902990</v>
      </c>
      <c r="I752" s="46" t="inlineStr">
        <is>
          <t>이종석</t>
        </is>
      </c>
      <c r="K752" s="46" t="n">
        <v>751</v>
      </c>
      <c r="L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3">
      <c r="A753" s="229" t="n">
        <v>45732</v>
      </c>
      <c r="B753" s="46" t="inlineStr">
        <is>
          <t>정기검사</t>
        </is>
      </c>
      <c r="C753" s="46" t="inlineStr">
        <is>
          <t>김포지역</t>
        </is>
      </c>
      <c r="D753" s="46" t="inlineStr">
        <is>
          <t>밀알꿈씨</t>
        </is>
      </c>
      <c r="E753" s="46" t="n">
        <v>200</v>
      </c>
      <c r="F753" s="46" t="inlineStr">
        <is>
          <t>누산리</t>
        </is>
      </c>
      <c r="G753" s="50" t="n">
        <v>0.5416666666666666</v>
      </c>
      <c r="H753" s="51" t="n">
        <v>456720</v>
      </c>
      <c r="I753" s="46" t="inlineStr">
        <is>
          <t>서수형</t>
        </is>
      </c>
      <c r="K753" s="46" t="n">
        <v>752</v>
      </c>
      <c r="L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4">
      <c r="A754" s="229" t="n">
        <v>45732</v>
      </c>
      <c r="B754" s="46" t="inlineStr">
        <is>
          <t>정기검사</t>
        </is>
      </c>
      <c r="C754" s="46" t="inlineStr">
        <is>
          <t>김포지역</t>
        </is>
      </c>
      <c r="D754" s="46" t="inlineStr">
        <is>
          <t>형제코퍼레이션</t>
        </is>
      </c>
      <c r="E754" s="46" t="n">
        <v>150</v>
      </c>
      <c r="F754" s="46" t="inlineStr">
        <is>
          <t>초원지리</t>
        </is>
      </c>
      <c r="G754" s="50" t="n">
        <v>0.5</v>
      </c>
      <c r="H754" s="51" t="n">
        <v>424160</v>
      </c>
      <c r="I754" s="46" t="inlineStr">
        <is>
          <t>허창수</t>
        </is>
      </c>
      <c r="K754" s="46" t="n">
        <v>753</v>
      </c>
      <c r="L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5">
      <c r="A755" s="229" t="n">
        <v>45732</v>
      </c>
      <c r="B755" s="46" t="inlineStr">
        <is>
          <t>정기검사</t>
        </is>
      </c>
      <c r="C755" s="46" t="inlineStr">
        <is>
          <t>김포지역</t>
        </is>
      </c>
      <c r="D755" s="46" t="inlineStr">
        <is>
          <t>웅진철강</t>
        </is>
      </c>
      <c r="E755" s="46" t="n">
        <v>300</v>
      </c>
      <c r="F755" s="46" t="inlineStr">
        <is>
          <t>대벽리</t>
        </is>
      </c>
      <c r="G755" s="50" t="n">
        <v>0.5416666666666666</v>
      </c>
      <c r="H755" s="51" t="n">
        <v>521730</v>
      </c>
      <c r="I755" s="46" t="inlineStr">
        <is>
          <t>정성관</t>
        </is>
      </c>
      <c r="K755" s="46" t="n">
        <v>754</v>
      </c>
      <c r="L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6">
      <c r="A756" s="229" t="n">
        <v>45732</v>
      </c>
      <c r="B756" s="46" t="inlineStr">
        <is>
          <t>사용전검사</t>
        </is>
      </c>
      <c r="C756" s="46" t="inlineStr">
        <is>
          <t>김포지역</t>
        </is>
      </c>
      <c r="D756" s="46" t="inlineStr">
        <is>
          <t>은고을</t>
        </is>
      </c>
      <c r="E756" s="46" t="n">
        <v>60</v>
      </c>
      <c r="F756" s="46" t="inlineStr">
        <is>
          <t>누산리</t>
        </is>
      </c>
      <c r="G756" s="50" t="n"/>
      <c r="H756" s="51" t="n"/>
      <c r="I756" s="46" t="inlineStr">
        <is>
          <t>정신배</t>
        </is>
      </c>
      <c r="K756" s="46" t="n">
        <v>755</v>
      </c>
      <c r="L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7">
      <c r="A757" s="229" t="n">
        <v>45732</v>
      </c>
      <c r="B757" s="46" t="inlineStr">
        <is>
          <t>사용전검사</t>
        </is>
      </c>
      <c r="C757" s="46" t="inlineStr">
        <is>
          <t>김포지역</t>
        </is>
      </c>
      <c r="D757" s="46" t="inlineStr">
        <is>
          <t>한성4호</t>
        </is>
      </c>
      <c r="E757" s="46" t="n">
        <v>36</v>
      </c>
      <c r="F757" s="46" t="inlineStr">
        <is>
          <t>고정리</t>
        </is>
      </c>
      <c r="G757" s="50" t="n"/>
      <c r="H757" s="51" t="n"/>
      <c r="I757" s="46" t="inlineStr">
        <is>
          <t>한태희</t>
        </is>
      </c>
      <c r="K757" s="46" t="n">
        <v>756</v>
      </c>
      <c r="L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8">
      <c r="A758" s="229" t="n">
        <v>45733</v>
      </c>
      <c r="B758" s="46" t="inlineStr">
        <is>
          <t>정기검사</t>
        </is>
      </c>
      <c r="C758" s="46" t="inlineStr">
        <is>
          <t>부천지역</t>
        </is>
      </c>
      <c r="D758" s="46" t="inlineStr">
        <is>
          <t>부처시청</t>
        </is>
      </c>
      <c r="E758" s="46" t="n">
        <v>40</v>
      </c>
      <c r="F758" s="46" t="inlineStr">
        <is>
          <t>중동</t>
        </is>
      </c>
      <c r="G758" s="50" t="n">
        <v>0.625</v>
      </c>
      <c r="H758" s="51" t="n">
        <v>263340</v>
      </c>
      <c r="I758" s="46" t="inlineStr">
        <is>
          <t>한태희</t>
        </is>
      </c>
      <c r="K758" s="46" t="n">
        <v>757</v>
      </c>
      <c r="L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9">
      <c r="A759" s="229" t="n">
        <v>45733</v>
      </c>
      <c r="B759" s="46" t="inlineStr">
        <is>
          <t>정기검사</t>
        </is>
      </c>
      <c r="C759" s="46" t="inlineStr">
        <is>
          <t>부천지역</t>
        </is>
      </c>
      <c r="D759" s="46" t="inlineStr">
        <is>
          <t>동양덱스빌</t>
        </is>
      </c>
      <c r="E759" s="46" t="inlineStr">
        <is>
          <t>950/207</t>
        </is>
      </c>
      <c r="F759" s="46" t="inlineStr">
        <is>
          <t>상동</t>
        </is>
      </c>
      <c r="G759" s="50" t="n">
        <v>0.4166666666666667</v>
      </c>
      <c r="H759" s="51" t="n">
        <v>1087240</v>
      </c>
      <c r="I759" s="46" t="inlineStr">
        <is>
          <t>우승택</t>
        </is>
      </c>
      <c r="K759" s="46" t="n">
        <v>758</v>
      </c>
      <c r="L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0">
      <c r="A760" s="229" t="n">
        <v>45733</v>
      </c>
      <c r="B760" s="46" t="inlineStr">
        <is>
          <t>정기검사</t>
        </is>
      </c>
      <c r="C760" s="46" t="inlineStr">
        <is>
          <t>부천지역</t>
        </is>
      </c>
      <c r="D760" s="46" t="inlineStr">
        <is>
          <t>싸이터티</t>
        </is>
      </c>
      <c r="E760" s="46" t="n">
        <v>290</v>
      </c>
      <c r="F760" s="46" t="inlineStr">
        <is>
          <t>내동</t>
        </is>
      </c>
      <c r="G760" s="50" t="n">
        <v>0.5416666666666666</v>
      </c>
      <c r="H760" s="51" t="n">
        <v>515130</v>
      </c>
      <c r="I760" s="46" t="inlineStr">
        <is>
          <t>민재홍</t>
        </is>
      </c>
      <c r="K760" s="46" t="n">
        <v>759</v>
      </c>
      <c r="L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1">
      <c r="A761" s="229" t="n">
        <v>45733</v>
      </c>
      <c r="B761" s="46" t="inlineStr">
        <is>
          <t>정기검사</t>
        </is>
      </c>
      <c r="C761" s="46" t="inlineStr">
        <is>
          <t>부천지역</t>
        </is>
      </c>
      <c r="D761" s="46" t="inlineStr">
        <is>
          <t>청담기업</t>
        </is>
      </c>
      <c r="E761" s="46" t="n">
        <v>950</v>
      </c>
      <c r="F761" s="46" t="inlineStr">
        <is>
          <t>삼정동</t>
        </is>
      </c>
      <c r="G761" s="50" t="n">
        <v>0.5208333333333334</v>
      </c>
      <c r="H761" s="51" t="n">
        <v>889460</v>
      </c>
      <c r="I761" s="46" t="inlineStr">
        <is>
          <t>이종석</t>
        </is>
      </c>
      <c r="K761" s="46" t="n">
        <v>760</v>
      </c>
      <c r="L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2">
      <c r="A762" s="229" t="n">
        <v>45733</v>
      </c>
      <c r="B762" s="46" t="inlineStr">
        <is>
          <t>정기검사</t>
        </is>
      </c>
      <c r="C762" s="46" t="inlineStr">
        <is>
          <t>부천지역</t>
        </is>
      </c>
      <c r="D762" s="46" t="inlineStr">
        <is>
          <t>월드코아</t>
        </is>
      </c>
      <c r="E762" s="46" t="n">
        <v>300</v>
      </c>
      <c r="F762" s="46" t="inlineStr">
        <is>
          <t>중동</t>
        </is>
      </c>
      <c r="G762" s="50" t="n">
        <v>0.3958333333333333</v>
      </c>
      <c r="H762" s="51" t="n">
        <v>521730</v>
      </c>
      <c r="I762" s="46" t="inlineStr">
        <is>
          <t>송낙명</t>
        </is>
      </c>
      <c r="K762" s="46" t="n">
        <v>761</v>
      </c>
      <c r="L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3">
      <c r="A763" s="229" t="n">
        <v>45733</v>
      </c>
      <c r="B763" s="46" t="inlineStr">
        <is>
          <t>정기검사</t>
        </is>
      </c>
      <c r="C763" s="46" t="inlineStr">
        <is>
          <t>부천지역</t>
        </is>
      </c>
      <c r="D763" s="46" t="inlineStr">
        <is>
          <t>나이스인프라</t>
        </is>
      </c>
      <c r="E763" s="46" t="n">
        <v>7</v>
      </c>
      <c r="F763" s="46" t="inlineStr">
        <is>
          <t>중동</t>
        </is>
      </c>
      <c r="G763" s="50" t="n">
        <v>0.3958333333333333</v>
      </c>
      <c r="H763" s="51" t="n">
        <v>72710</v>
      </c>
      <c r="I763" s="46" t="inlineStr">
        <is>
          <t>민재홍</t>
        </is>
      </c>
      <c r="K763" s="46" t="n">
        <v>762</v>
      </c>
      <c r="L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4">
      <c r="A764" s="229" t="n">
        <v>45733</v>
      </c>
      <c r="B764" s="46" t="inlineStr">
        <is>
          <t>정기검사</t>
        </is>
      </c>
      <c r="C764" s="46" t="inlineStr">
        <is>
          <t>김포지역</t>
        </is>
      </c>
      <c r="D764" s="46" t="inlineStr">
        <is>
          <t>성우산업</t>
        </is>
      </c>
      <c r="E764" s="46" t="n">
        <v>150</v>
      </c>
      <c r="F764" s="46" t="inlineStr">
        <is>
          <t>고정리</t>
        </is>
      </c>
      <c r="G764" s="50" t="n">
        <v>0.4791666666666667</v>
      </c>
      <c r="H764" s="51" t="n">
        <v>424160</v>
      </c>
      <c r="I764" s="46" t="inlineStr">
        <is>
          <t>민경수</t>
        </is>
      </c>
      <c r="K764" s="46" t="n">
        <v>763</v>
      </c>
      <c r="L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5">
      <c r="A765" s="229" t="n">
        <v>45733</v>
      </c>
      <c r="B765" s="46" t="inlineStr">
        <is>
          <t>정기검사</t>
        </is>
      </c>
      <c r="C765" s="46" t="inlineStr">
        <is>
          <t>김포지역</t>
        </is>
      </c>
      <c r="D765" s="46" t="inlineStr">
        <is>
          <t>공항프라스틱</t>
        </is>
      </c>
      <c r="E765" s="46" t="n">
        <v>300</v>
      </c>
      <c r="F765" s="46" t="inlineStr">
        <is>
          <t>석모리</t>
        </is>
      </c>
      <c r="G765" s="50" t="n">
        <v>0.4791666666666667</v>
      </c>
      <c r="H765" s="51" t="n">
        <v>521730</v>
      </c>
      <c r="I765" s="46" t="inlineStr">
        <is>
          <t>이덕기</t>
        </is>
      </c>
      <c r="K765" s="46" t="n">
        <v>764</v>
      </c>
      <c r="L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6">
      <c r="A766" s="229" t="n">
        <v>45733</v>
      </c>
      <c r="B766" s="46" t="inlineStr">
        <is>
          <t>정기검사</t>
        </is>
      </c>
      <c r="C766" s="46" t="inlineStr">
        <is>
          <t>김포지역</t>
        </is>
      </c>
      <c r="D766" s="46" t="inlineStr">
        <is>
          <t>현대기공</t>
        </is>
      </c>
      <c r="E766" s="46" t="n">
        <v>295</v>
      </c>
      <c r="F766" s="46" t="inlineStr">
        <is>
          <t>가현리</t>
        </is>
      </c>
      <c r="G766" s="50" t="n">
        <v>0.4791666666666667</v>
      </c>
      <c r="H766" s="51" t="n">
        <v>518430</v>
      </c>
      <c r="I766" s="46" t="inlineStr">
        <is>
          <t>김영권</t>
        </is>
      </c>
      <c r="K766" s="46" t="n">
        <v>765</v>
      </c>
      <c r="L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7">
      <c r="A767" s="229" t="n">
        <v>45733</v>
      </c>
      <c r="B767" s="46" t="inlineStr">
        <is>
          <t>정기검사</t>
        </is>
      </c>
      <c r="C767" s="46" t="inlineStr">
        <is>
          <t>김포지역</t>
        </is>
      </c>
      <c r="D767" s="46" t="inlineStr">
        <is>
          <t>대한이엔지</t>
        </is>
      </c>
      <c r="E767" s="46" t="n">
        <v>250</v>
      </c>
      <c r="F767" s="46" t="inlineStr">
        <is>
          <t>학운리</t>
        </is>
      </c>
      <c r="G767" s="50" t="n">
        <v>0.3958333333333333</v>
      </c>
      <c r="H767" s="51" t="n">
        <v>489170</v>
      </c>
      <c r="I767" s="46" t="inlineStr">
        <is>
          <t>정신배</t>
        </is>
      </c>
      <c r="K767" s="46" t="n">
        <v>766</v>
      </c>
      <c r="L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8">
      <c r="A768" s="229" t="n">
        <v>45733</v>
      </c>
      <c r="B768" s="46" t="inlineStr">
        <is>
          <t>정기검사</t>
        </is>
      </c>
      <c r="C768" s="46" t="inlineStr">
        <is>
          <t>김포지역</t>
        </is>
      </c>
      <c r="D768" s="46" t="inlineStr">
        <is>
          <t>경인쿡</t>
        </is>
      </c>
      <c r="E768" s="46" t="n">
        <v>290</v>
      </c>
      <c r="F768" s="46" t="inlineStr">
        <is>
          <t>개곡리</t>
        </is>
      </c>
      <c r="G768" s="50" t="n">
        <v>0.5</v>
      </c>
      <c r="H768" s="51" t="n">
        <v>515130</v>
      </c>
      <c r="I768" s="46" t="inlineStr">
        <is>
          <t>민재홍</t>
        </is>
      </c>
      <c r="K768" s="46" t="n">
        <v>767</v>
      </c>
      <c r="L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9">
      <c r="A769" s="229" t="n">
        <v>45733</v>
      </c>
      <c r="B769" s="46" t="inlineStr">
        <is>
          <t>사용전검사</t>
        </is>
      </c>
      <c r="C769" s="46" t="inlineStr">
        <is>
          <t>김포지역</t>
        </is>
      </c>
      <c r="D769" s="46" t="inlineStr">
        <is>
          <t>진1호</t>
        </is>
      </c>
      <c r="E769" s="46" t="n">
        <v>81</v>
      </c>
      <c r="F769" s="46" t="inlineStr">
        <is>
          <t>대벽리</t>
        </is>
      </c>
      <c r="G769" s="50" t="n"/>
      <c r="H769" s="51" t="n"/>
      <c r="I769" s="46" t="inlineStr">
        <is>
          <t>정성관</t>
        </is>
      </c>
      <c r="K769" s="46" t="n">
        <v>768</v>
      </c>
      <c r="L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0">
      <c r="A770" s="229" t="n">
        <v>45733</v>
      </c>
      <c r="B770" s="46" t="inlineStr">
        <is>
          <t>사용전검사</t>
        </is>
      </c>
      <c r="C770" s="46" t="inlineStr">
        <is>
          <t>김포지역</t>
        </is>
      </c>
      <c r="D770" s="46" t="inlineStr">
        <is>
          <t>진2호</t>
        </is>
      </c>
      <c r="E770" s="46" t="n">
        <v>82</v>
      </c>
      <c r="F770" s="46" t="inlineStr">
        <is>
          <t>대벽리</t>
        </is>
      </c>
      <c r="G770" s="50" t="n"/>
      <c r="H770" s="51" t="n"/>
      <c r="I770" s="46" t="inlineStr">
        <is>
          <t>정성관</t>
        </is>
      </c>
      <c r="K770" s="46" t="n">
        <v>769</v>
      </c>
      <c r="L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1">
      <c r="A771" s="229" t="n">
        <v>45733</v>
      </c>
      <c r="B771" s="46" t="inlineStr">
        <is>
          <t>사용전검사</t>
        </is>
      </c>
      <c r="C771" s="46" t="inlineStr">
        <is>
          <t>김포지역</t>
        </is>
      </c>
      <c r="D771" s="46" t="inlineStr">
        <is>
          <t>진3호</t>
        </is>
      </c>
      <c r="E771" s="46" t="n">
        <v>83</v>
      </c>
      <c r="F771" s="46" t="inlineStr">
        <is>
          <t>대벽리</t>
        </is>
      </c>
      <c r="G771" s="50" t="n"/>
      <c r="H771" s="51" t="n"/>
      <c r="I771" s="46" t="inlineStr">
        <is>
          <t>정성관</t>
        </is>
      </c>
      <c r="K771" s="46" t="n">
        <v>770</v>
      </c>
      <c r="L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2">
      <c r="A772" s="229" t="n">
        <v>45733</v>
      </c>
      <c r="B772" s="46" t="inlineStr">
        <is>
          <t>사용전검사</t>
        </is>
      </c>
      <c r="C772" s="46" t="inlineStr">
        <is>
          <t>김포지역</t>
        </is>
      </c>
      <c r="D772" s="46" t="inlineStr">
        <is>
          <t>세일산업</t>
        </is>
      </c>
      <c r="E772" s="46" t="n">
        <v>299</v>
      </c>
      <c r="F772" s="46" t="inlineStr">
        <is>
          <t>갈산리</t>
        </is>
      </c>
      <c r="G772" s="50" t="n"/>
      <c r="H772" s="51" t="n"/>
      <c r="I772" s="46" t="inlineStr">
        <is>
          <t>송두기</t>
        </is>
      </c>
      <c r="K772" s="46" t="n">
        <v>771</v>
      </c>
      <c r="L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3">
      <c r="A773" s="229" t="n">
        <v>45733</v>
      </c>
      <c r="B773" s="46" t="inlineStr">
        <is>
          <t>사용전검사</t>
        </is>
      </c>
      <c r="C773" s="46" t="inlineStr">
        <is>
          <t>김포지역</t>
        </is>
      </c>
      <c r="D773" s="46" t="inlineStr">
        <is>
          <t>태성프라스틱</t>
        </is>
      </c>
      <c r="E773" s="46" t="n">
        <v>74</v>
      </c>
      <c r="F773" s="46" t="inlineStr">
        <is>
          <t>석정리</t>
        </is>
      </c>
      <c r="G773" s="50" t="n"/>
      <c r="H773" s="51" t="n"/>
      <c r="I773" s="46" t="inlineStr">
        <is>
          <t>허창수</t>
        </is>
      </c>
      <c r="K773" s="46" t="n">
        <v>772</v>
      </c>
      <c r="L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4">
      <c r="A774" s="229" t="n">
        <v>45733</v>
      </c>
      <c r="B774" s="46" t="inlineStr">
        <is>
          <t>사용전검사</t>
        </is>
      </c>
      <c r="C774" s="46" t="inlineStr">
        <is>
          <t>김포지역</t>
        </is>
      </c>
      <c r="D774" s="46" t="inlineStr">
        <is>
          <t>영진기연</t>
        </is>
      </c>
      <c r="E774" s="46" t="n">
        <v>250</v>
      </c>
      <c r="F774" s="46" t="inlineStr">
        <is>
          <t>학운리</t>
        </is>
      </c>
      <c r="G774" s="50" t="n"/>
      <c r="H774" s="51" t="n"/>
      <c r="I774" s="46" t="inlineStr">
        <is>
          <t>정신배</t>
        </is>
      </c>
      <c r="K774" s="46" t="n">
        <v>773</v>
      </c>
      <c r="L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5">
      <c r="A775" s="229" t="n">
        <v>45734</v>
      </c>
      <c r="B775" s="46" t="inlineStr">
        <is>
          <t>정기검사</t>
        </is>
      </c>
      <c r="C775" s="46" t="inlineStr">
        <is>
          <t>부천지역</t>
        </is>
      </c>
      <c r="D775" s="46" t="inlineStr">
        <is>
          <t>한라비발디</t>
        </is>
      </c>
      <c r="E775" s="46" t="inlineStr">
        <is>
          <t>1207/290</t>
        </is>
      </c>
      <c r="F775" s="46" t="inlineStr">
        <is>
          <t>상동</t>
        </is>
      </c>
      <c r="G775" s="50" t="n">
        <v>0.4375</v>
      </c>
      <c r="H775" s="51" t="n">
        <v>1213850</v>
      </c>
      <c r="I775" s="46" t="inlineStr">
        <is>
          <t>송두기</t>
        </is>
      </c>
      <c r="K775" s="46" t="n">
        <v>774</v>
      </c>
      <c r="L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6">
      <c r="A776" s="229" t="n">
        <v>45734</v>
      </c>
      <c r="B776" s="46" t="inlineStr">
        <is>
          <t>정기검사</t>
        </is>
      </c>
      <c r="C776" s="46" t="inlineStr">
        <is>
          <t>부천지역</t>
        </is>
      </c>
      <c r="D776" s="46" t="inlineStr">
        <is>
          <t>대원가전산업사</t>
        </is>
      </c>
      <c r="E776" s="46" t="n">
        <v>400</v>
      </c>
      <c r="F776" s="46" t="inlineStr">
        <is>
          <t>도당동</t>
        </is>
      </c>
      <c r="G776" s="50" t="n">
        <v>0.5</v>
      </c>
      <c r="H776" s="51" t="n">
        <v>703120</v>
      </c>
      <c r="I776" s="46" t="inlineStr">
        <is>
          <t>민경수</t>
        </is>
      </c>
      <c r="K776" s="46" t="n">
        <v>775</v>
      </c>
      <c r="L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7">
      <c r="A777" s="229" t="n">
        <v>45734</v>
      </c>
      <c r="B777" s="46" t="inlineStr">
        <is>
          <t>정기검사</t>
        </is>
      </c>
      <c r="C777" s="46" t="inlineStr">
        <is>
          <t>부천지역</t>
        </is>
      </c>
      <c r="D777" s="46" t="inlineStr">
        <is>
          <t>삼익아파트</t>
        </is>
      </c>
      <c r="E777" s="46" t="inlineStr">
        <is>
          <t>1600/500</t>
        </is>
      </c>
      <c r="F777" s="46" t="inlineStr">
        <is>
          <t>중동</t>
        </is>
      </c>
      <c r="G777" s="50" t="n">
        <v>0.5625</v>
      </c>
      <c r="H777" s="51" t="n">
        <v>1251760</v>
      </c>
      <c r="I777" s="46" t="inlineStr">
        <is>
          <t>우승택</t>
        </is>
      </c>
      <c r="K777" s="46" t="n">
        <v>776</v>
      </c>
      <c r="L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8">
      <c r="A778" s="229" t="n">
        <v>45734</v>
      </c>
      <c r="B778" s="46" t="inlineStr">
        <is>
          <t>정기검사</t>
        </is>
      </c>
      <c r="C778" s="46" t="inlineStr">
        <is>
          <t>부천지역</t>
        </is>
      </c>
      <c r="D778" s="46" t="inlineStr">
        <is>
          <t>장우빌딩</t>
        </is>
      </c>
      <c r="E778" s="46" t="n">
        <v>350</v>
      </c>
      <c r="F778" s="46" t="inlineStr">
        <is>
          <t>원종동</t>
        </is>
      </c>
      <c r="G778" s="50" t="n">
        <v>0.3958333333333333</v>
      </c>
      <c r="H778" s="51" t="n">
        <v>686180</v>
      </c>
      <c r="I778" s="46" t="inlineStr">
        <is>
          <t>민재홍</t>
        </is>
      </c>
      <c r="K778" s="46" t="n">
        <v>777</v>
      </c>
      <c r="L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9">
      <c r="A779" s="229" t="n">
        <v>45734</v>
      </c>
      <c r="B779" s="46" t="inlineStr">
        <is>
          <t>정기검사</t>
        </is>
      </c>
      <c r="C779" s="46" t="inlineStr">
        <is>
          <t>부천지역</t>
        </is>
      </c>
      <c r="D779" s="46" t="inlineStr">
        <is>
          <t>복시약품</t>
        </is>
      </c>
      <c r="E779" s="46" t="n">
        <v>400</v>
      </c>
      <c r="F779" s="46" t="inlineStr">
        <is>
          <t>송내동</t>
        </is>
      </c>
      <c r="G779" s="50" t="n">
        <v>0.3958333333333333</v>
      </c>
      <c r="H779" s="51" t="n">
        <v>703120</v>
      </c>
      <c r="I779" s="46" t="inlineStr">
        <is>
          <t>송낙명</t>
        </is>
      </c>
      <c r="K779" s="46" t="n">
        <v>778</v>
      </c>
      <c r="L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0">
      <c r="A780" s="229" t="n">
        <v>45734</v>
      </c>
      <c r="B780" s="46" t="inlineStr">
        <is>
          <t>정기검사</t>
        </is>
      </c>
      <c r="C780" s="46" t="inlineStr">
        <is>
          <t>부천지역</t>
        </is>
      </c>
      <c r="D780" s="46" t="inlineStr">
        <is>
          <t>정광엔지니어링</t>
        </is>
      </c>
      <c r="E780" s="46" t="n">
        <v>400</v>
      </c>
      <c r="F780" s="46" t="inlineStr">
        <is>
          <t>내동</t>
        </is>
      </c>
      <c r="G780" s="50" t="n">
        <v>0.4791666666666667</v>
      </c>
      <c r="H780" s="51" t="n">
        <v>703120</v>
      </c>
      <c r="I780" s="46" t="inlineStr">
        <is>
          <t>민재홍</t>
        </is>
      </c>
      <c r="K780" s="46" t="n">
        <v>779</v>
      </c>
      <c r="L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1">
      <c r="A781" s="229" t="n">
        <v>45734</v>
      </c>
      <c r="B781" s="46" t="inlineStr">
        <is>
          <t>정기검사</t>
        </is>
      </c>
      <c r="C781" s="46" t="inlineStr">
        <is>
          <t>부천지역</t>
        </is>
      </c>
      <c r="D781" s="46" t="inlineStr">
        <is>
          <t>더내모</t>
        </is>
      </c>
      <c r="E781" s="46" t="inlineStr">
        <is>
          <t>G273</t>
        </is>
      </c>
      <c r="F781" s="46" t="inlineStr">
        <is>
          <t>심곡동</t>
        </is>
      </c>
      <c r="G781" s="50" t="n">
        <v>0.6041666666666666</v>
      </c>
      <c r="H781" s="51" t="n">
        <v>217360</v>
      </c>
      <c r="I781" s="46" t="inlineStr">
        <is>
          <t>송낙명</t>
        </is>
      </c>
      <c r="K781" s="46" t="n">
        <v>780</v>
      </c>
      <c r="L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2">
      <c r="A782" s="229" t="n">
        <v>45734</v>
      </c>
      <c r="B782" s="46" t="inlineStr">
        <is>
          <t>정기검사</t>
        </is>
      </c>
      <c r="C782" s="46" t="inlineStr">
        <is>
          <t>부천지역</t>
        </is>
      </c>
      <c r="D782" s="46" t="inlineStr">
        <is>
          <t>플렁크인</t>
        </is>
      </c>
      <c r="E782" s="46" t="n">
        <v>7</v>
      </c>
      <c r="F782" s="46" t="inlineStr">
        <is>
          <t>상동</t>
        </is>
      </c>
      <c r="G782" s="50" t="n">
        <v>0.3958333333333333</v>
      </c>
      <c r="H782" s="51" t="n">
        <v>81180</v>
      </c>
      <c r="I782" s="46" t="inlineStr">
        <is>
          <t>민경수</t>
        </is>
      </c>
      <c r="K782" s="46" t="n">
        <v>781</v>
      </c>
      <c r="L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3">
      <c r="A783" s="229" t="n">
        <v>45734</v>
      </c>
      <c r="B783" s="46" t="inlineStr">
        <is>
          <t>정기검사</t>
        </is>
      </c>
      <c r="C783" s="46" t="inlineStr">
        <is>
          <t>김포지역</t>
        </is>
      </c>
      <c r="D783" s="46" t="inlineStr">
        <is>
          <t>가온테크</t>
        </is>
      </c>
      <c r="E783" s="46" t="n">
        <v>290</v>
      </c>
      <c r="F783" s="46" t="inlineStr">
        <is>
          <t>학운리</t>
        </is>
      </c>
      <c r="G783" s="50" t="n">
        <v>0.4791666666666667</v>
      </c>
      <c r="H783" s="51" t="n">
        <v>515130</v>
      </c>
      <c r="I783" s="46" t="inlineStr">
        <is>
          <t>한태희</t>
        </is>
      </c>
      <c r="K783" s="46" t="n">
        <v>782</v>
      </c>
      <c r="L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4">
      <c r="A784" s="229" t="n">
        <v>45734</v>
      </c>
      <c r="B784" s="46" t="inlineStr">
        <is>
          <t>정기검사</t>
        </is>
      </c>
      <c r="C784" s="46" t="inlineStr">
        <is>
          <t>김포지역</t>
        </is>
      </c>
      <c r="D784" s="46" t="inlineStr">
        <is>
          <t>세호</t>
        </is>
      </c>
      <c r="E784" s="46" t="n">
        <v>950</v>
      </c>
      <c r="F784" s="46" t="inlineStr">
        <is>
          <t>송마리</t>
        </is>
      </c>
      <c r="G784" s="50" t="n">
        <v>0.5</v>
      </c>
      <c r="H784" s="51" t="n">
        <v>889460</v>
      </c>
      <c r="I784" s="46" t="inlineStr">
        <is>
          <t>서수형</t>
        </is>
      </c>
      <c r="K784" s="46" t="n">
        <v>783</v>
      </c>
      <c r="L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5">
      <c r="A785" s="229" t="n">
        <v>45734</v>
      </c>
      <c r="B785" s="46" t="inlineStr">
        <is>
          <t>정기검사</t>
        </is>
      </c>
      <c r="C785" s="46" t="inlineStr">
        <is>
          <t>김포지역</t>
        </is>
      </c>
      <c r="D785" s="46" t="inlineStr">
        <is>
          <t>양곡프라자</t>
        </is>
      </c>
      <c r="E785" s="46" t="inlineStr">
        <is>
          <t>600/127</t>
        </is>
      </c>
      <c r="F785" s="46" t="inlineStr">
        <is>
          <t>양곡리</t>
        </is>
      </c>
      <c r="G785" s="50" t="n">
        <v>0.5833333333333334</v>
      </c>
      <c r="H785" s="51" t="n">
        <v>945010</v>
      </c>
      <c r="I785" s="46" t="inlineStr">
        <is>
          <t>허창수</t>
        </is>
      </c>
      <c r="K785" s="46" t="n">
        <v>784</v>
      </c>
      <c r="L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6">
      <c r="A786" s="229" t="n">
        <v>45734</v>
      </c>
      <c r="B786" s="46" t="inlineStr">
        <is>
          <t>정기검사</t>
        </is>
      </c>
      <c r="C786" s="46" t="inlineStr">
        <is>
          <t>김포지역</t>
        </is>
      </c>
      <c r="D786" s="46" t="inlineStr">
        <is>
          <t>일신로스타</t>
        </is>
      </c>
      <c r="E786" s="46" t="n">
        <v>500</v>
      </c>
      <c r="F786" s="46" t="inlineStr">
        <is>
          <t>장기동</t>
        </is>
      </c>
      <c r="G786" s="50" t="n">
        <v>0.3958333333333333</v>
      </c>
      <c r="H786" s="51" t="n">
        <v>737000</v>
      </c>
      <c r="I786" s="46" t="inlineStr">
        <is>
          <t>허창수</t>
        </is>
      </c>
      <c r="K786" s="46" t="n">
        <v>785</v>
      </c>
      <c r="L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7">
      <c r="A787" s="229" t="n">
        <v>45734</v>
      </c>
      <c r="B787" s="46" t="inlineStr">
        <is>
          <t>정기검사</t>
        </is>
      </c>
      <c r="C787" s="46" t="inlineStr">
        <is>
          <t>김포지역</t>
        </is>
      </c>
      <c r="D787" s="46" t="inlineStr">
        <is>
          <t>제이엔쎄메탈</t>
        </is>
      </c>
      <c r="E787" s="46" t="n">
        <v>500</v>
      </c>
      <c r="F787" s="46" t="inlineStr">
        <is>
          <t>옹정리</t>
        </is>
      </c>
      <c r="G787" s="50" t="n">
        <v>0.4791666666666667</v>
      </c>
      <c r="H787" s="51" t="n">
        <v>737000</v>
      </c>
      <c r="I787" s="46" t="inlineStr">
        <is>
          <t>이덕기</t>
        </is>
      </c>
      <c r="K787" s="46" t="n">
        <v>786</v>
      </c>
      <c r="L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8">
      <c r="A788" s="229" t="n">
        <v>45734</v>
      </c>
      <c r="B788" s="46" t="inlineStr">
        <is>
          <t>정기검사</t>
        </is>
      </c>
      <c r="C788" s="46" t="inlineStr">
        <is>
          <t>김포지역</t>
        </is>
      </c>
      <c r="D788" s="46" t="inlineStr">
        <is>
          <t>한국전력</t>
        </is>
      </c>
      <c r="E788" s="46" t="n">
        <v>95</v>
      </c>
      <c r="F788" s="46" t="inlineStr">
        <is>
          <t>학운리</t>
        </is>
      </c>
      <c r="G788" s="50" t="n">
        <v>0.4166666666666667</v>
      </c>
      <c r="H788" s="51" t="n">
        <v>251020</v>
      </c>
      <c r="I788" s="46" t="inlineStr">
        <is>
          <t>정신배</t>
        </is>
      </c>
      <c r="K788" s="46" t="n">
        <v>787</v>
      </c>
      <c r="L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9">
      <c r="A789" s="229" t="n">
        <v>45734</v>
      </c>
      <c r="B789" s="46" t="inlineStr">
        <is>
          <t>정기검사</t>
        </is>
      </c>
      <c r="C789" s="46" t="inlineStr">
        <is>
          <t>김포지역</t>
        </is>
      </c>
      <c r="D789" s="46" t="inlineStr">
        <is>
          <t>청수성당</t>
        </is>
      </c>
      <c r="E789" s="46" t="n">
        <v>500</v>
      </c>
      <c r="F789" s="46" t="inlineStr">
        <is>
          <t>장기동</t>
        </is>
      </c>
      <c r="G789" s="50" t="n">
        <v>0.6041666666666666</v>
      </c>
      <c r="H789" s="51" t="n">
        <v>737000</v>
      </c>
      <c r="I789" s="46" t="inlineStr">
        <is>
          <t>정성관</t>
        </is>
      </c>
      <c r="K789" s="46" t="n">
        <v>788</v>
      </c>
      <c r="L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0">
      <c r="A790" s="229" t="n">
        <v>45734</v>
      </c>
      <c r="B790" s="46" t="inlineStr">
        <is>
          <t>정기검사</t>
        </is>
      </c>
      <c r="C790" s="46" t="inlineStr">
        <is>
          <t>김포지역</t>
        </is>
      </c>
      <c r="D790" s="46" t="inlineStr">
        <is>
          <t>지에스차지비</t>
        </is>
      </c>
      <c r="E790" s="46" t="n">
        <v>7</v>
      </c>
      <c r="F790" s="46" t="inlineStr">
        <is>
          <t>장기동</t>
        </is>
      </c>
      <c r="G790" s="50" t="n">
        <v>0.3958333333333333</v>
      </c>
      <c r="H790" s="51" t="n">
        <v>64240</v>
      </c>
      <c r="I790" s="46" t="inlineStr">
        <is>
          <t>정신배</t>
        </is>
      </c>
      <c r="K790" s="46" t="n">
        <v>789</v>
      </c>
      <c r="L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1">
      <c r="A791" s="229" t="n">
        <v>45734</v>
      </c>
      <c r="B791" s="46" t="inlineStr">
        <is>
          <t>사용전검사</t>
        </is>
      </c>
      <c r="C791" s="46" t="inlineStr">
        <is>
          <t>부천지역</t>
        </is>
      </c>
      <c r="D791" s="46" t="inlineStr">
        <is>
          <t>에이제이중공업</t>
        </is>
      </c>
      <c r="E791" s="46" t="n">
        <v>300</v>
      </c>
      <c r="F791" s="46" t="inlineStr">
        <is>
          <t>오정동</t>
        </is>
      </c>
      <c r="G791" s="50" t="n"/>
      <c r="H791" s="51" t="n"/>
      <c r="I791" s="46" t="inlineStr">
        <is>
          <t>허창수</t>
        </is>
      </c>
      <c r="K791" s="46" t="n">
        <v>790</v>
      </c>
      <c r="L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2">
      <c r="A792" s="229" t="n">
        <v>45734</v>
      </c>
      <c r="B792" s="46" t="inlineStr">
        <is>
          <t>메모</t>
        </is>
      </c>
      <c r="C792" s="46" t="inlineStr">
        <is>
          <t>부천지역</t>
        </is>
      </c>
      <c r="D792" s="46" t="inlineStr">
        <is>
          <t>이종석휴가</t>
        </is>
      </c>
      <c r="E792" s="46" t="n"/>
      <c r="F792" s="46" t="n"/>
      <c r="G792" s="50" t="n"/>
      <c r="H792" s="51" t="n"/>
      <c r="I792" s="46" t="n"/>
      <c r="K792" s="46" t="n">
        <v>791</v>
      </c>
      <c r="L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3">
      <c r="A793" s="229" t="n">
        <v>45734</v>
      </c>
      <c r="B793" s="46" t="inlineStr">
        <is>
          <t>메모</t>
        </is>
      </c>
      <c r="C793" s="46" t="inlineStr">
        <is>
          <t>부천지역</t>
        </is>
      </c>
      <c r="D793" s="46" t="inlineStr">
        <is>
          <t>김영권휴가</t>
        </is>
      </c>
      <c r="E793" s="46" t="n"/>
      <c r="F793" s="46" t="n"/>
      <c r="G793" s="50" t="n"/>
      <c r="H793" s="51" t="n"/>
      <c r="I793" s="46" t="n"/>
      <c r="K793" s="46" t="n">
        <v>792</v>
      </c>
      <c r="L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4">
      <c r="A794" s="229" t="n">
        <v>45735</v>
      </c>
      <c r="B794" s="46" t="inlineStr">
        <is>
          <t>정기검사</t>
        </is>
      </c>
      <c r="C794" s="46" t="inlineStr">
        <is>
          <t>부천지역</t>
        </is>
      </c>
      <c r="D794" s="46" t="inlineStr">
        <is>
          <t>보거스</t>
        </is>
      </c>
      <c r="E794" s="46" t="n">
        <v>250</v>
      </c>
      <c r="F794" s="46" t="inlineStr">
        <is>
          <t>삼정동</t>
        </is>
      </c>
      <c r="G794" s="50" t="n">
        <v>0.5208333333333334</v>
      </c>
      <c r="H794" s="51" t="n">
        <v>489170</v>
      </c>
      <c r="I794" s="46" t="inlineStr">
        <is>
          <t>송낙명</t>
        </is>
      </c>
      <c r="K794" s="46" t="n">
        <v>793</v>
      </c>
      <c r="L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5">
      <c r="A795" s="229" t="n">
        <v>45735</v>
      </c>
      <c r="B795" s="46" t="inlineStr">
        <is>
          <t>정기검사</t>
        </is>
      </c>
      <c r="C795" s="46" t="inlineStr">
        <is>
          <t>부천지역</t>
        </is>
      </c>
      <c r="D795" s="46" t="inlineStr">
        <is>
          <t>전주이씨</t>
        </is>
      </c>
      <c r="E795" s="46" t="n">
        <v>300</v>
      </c>
      <c r="F795" s="46" t="inlineStr">
        <is>
          <t>오정동</t>
        </is>
      </c>
      <c r="G795" s="50" t="n">
        <v>0.5</v>
      </c>
      <c r="H795" s="51" t="n">
        <v>521730</v>
      </c>
      <c r="I795" s="46" t="inlineStr">
        <is>
          <t>서수형</t>
        </is>
      </c>
      <c r="K795" s="46" t="n">
        <v>794</v>
      </c>
      <c r="L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6">
      <c r="A796" s="229" t="n">
        <v>45735</v>
      </c>
      <c r="B796" s="46" t="inlineStr">
        <is>
          <t>정기검사</t>
        </is>
      </c>
      <c r="C796" s="46" t="inlineStr">
        <is>
          <t>부천지역</t>
        </is>
      </c>
      <c r="D796" s="46" t="inlineStr">
        <is>
          <t>성일특수고무</t>
        </is>
      </c>
      <c r="E796" s="46" t="n">
        <v>600</v>
      </c>
      <c r="F796" s="46" t="inlineStr">
        <is>
          <t>원미동</t>
        </is>
      </c>
      <c r="G796" s="50" t="n">
        <v>0.5</v>
      </c>
      <c r="H796" s="51" t="n">
        <v>770880</v>
      </c>
      <c r="I796" s="46" t="inlineStr">
        <is>
          <t>이덕기</t>
        </is>
      </c>
      <c r="K796" s="46" t="n">
        <v>795</v>
      </c>
      <c r="L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7">
      <c r="A797" s="229" t="n">
        <v>45735</v>
      </c>
      <c r="B797" s="46" t="inlineStr">
        <is>
          <t>정기검사</t>
        </is>
      </c>
      <c r="C797" s="46" t="inlineStr">
        <is>
          <t>부천지역</t>
        </is>
      </c>
      <c r="D797" s="46" t="inlineStr">
        <is>
          <t>라라플러스</t>
        </is>
      </c>
      <c r="E797" s="46" t="n">
        <v>500</v>
      </c>
      <c r="F797" s="46" t="inlineStr">
        <is>
          <t>상동</t>
        </is>
      </c>
      <c r="G797" s="50" t="n">
        <v>0.3958333333333333</v>
      </c>
      <c r="H797" s="51" t="n">
        <v>737000</v>
      </c>
      <c r="I797" s="46" t="inlineStr">
        <is>
          <t>정신배</t>
        </is>
      </c>
      <c r="K797" s="46" t="n">
        <v>796</v>
      </c>
      <c r="L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8">
      <c r="A798" s="229" t="n">
        <v>45735</v>
      </c>
      <c r="B798" s="46" t="inlineStr">
        <is>
          <t>정기검사</t>
        </is>
      </c>
      <c r="C798" s="46" t="inlineStr">
        <is>
          <t>김포지역</t>
        </is>
      </c>
      <c r="D798" s="46" t="inlineStr">
        <is>
          <t>JK빌딩</t>
        </is>
      </c>
      <c r="E798" s="46" t="n">
        <v>27</v>
      </c>
      <c r="F798" s="46" t="inlineStr">
        <is>
          <t>구래동</t>
        </is>
      </c>
      <c r="G798" s="50" t="n">
        <v>0.4375</v>
      </c>
      <c r="H798" s="51" t="n">
        <v>179190</v>
      </c>
      <c r="I798" s="46" t="inlineStr">
        <is>
          <t>한태희</t>
        </is>
      </c>
      <c r="K798" s="46" t="n">
        <v>797</v>
      </c>
      <c r="L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9">
      <c r="A799" s="229" t="n">
        <v>45735</v>
      </c>
      <c r="B799" s="46" t="inlineStr">
        <is>
          <t>정기검사</t>
        </is>
      </c>
      <c r="C799" s="46" t="inlineStr">
        <is>
          <t>김포지역</t>
        </is>
      </c>
      <c r="D799" s="46" t="inlineStr">
        <is>
          <t>서김포통진</t>
        </is>
      </c>
      <c r="E799" s="46" t="n">
        <v>200</v>
      </c>
      <c r="F799" s="46" t="inlineStr">
        <is>
          <t>흥신리</t>
        </is>
      </c>
      <c r="G799" s="50" t="n">
        <v>0.4166666666666667</v>
      </c>
      <c r="H799" s="51" t="n">
        <v>616110</v>
      </c>
      <c r="I799" s="46" t="inlineStr">
        <is>
          <t>우승택</t>
        </is>
      </c>
      <c r="K799" s="46" t="n">
        <v>798</v>
      </c>
      <c r="L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0">
      <c r="A800" s="229" t="n">
        <v>45735</v>
      </c>
      <c r="B800" s="46" t="inlineStr">
        <is>
          <t>정기검사</t>
        </is>
      </c>
      <c r="C800" s="46" t="inlineStr">
        <is>
          <t>김포지역</t>
        </is>
      </c>
      <c r="D800" s="46" t="inlineStr">
        <is>
          <t>수안산터널</t>
        </is>
      </c>
      <c r="E800" s="46" t="n">
        <v>200</v>
      </c>
      <c r="F800" s="46" t="inlineStr">
        <is>
          <t>대능리</t>
        </is>
      </c>
      <c r="G800" s="50" t="n">
        <v>0.4583333333333333</v>
      </c>
      <c r="H800" s="51" t="n">
        <v>456720</v>
      </c>
      <c r="I800" s="46" t="inlineStr">
        <is>
          <t>민재홍</t>
        </is>
      </c>
      <c r="K800" s="46" t="n">
        <v>799</v>
      </c>
      <c r="L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1">
      <c r="A801" s="229" t="n">
        <v>45735</v>
      </c>
      <c r="B801" s="46" t="inlineStr">
        <is>
          <t>정기검사</t>
        </is>
      </c>
      <c r="C801" s="46" t="inlineStr">
        <is>
          <t>김포지역</t>
        </is>
      </c>
      <c r="D801" s="46" t="inlineStr">
        <is>
          <t>동남아파트</t>
        </is>
      </c>
      <c r="E801" s="46" t="n">
        <v>800</v>
      </c>
      <c r="F801" s="46" t="inlineStr">
        <is>
          <t>사우동</t>
        </is>
      </c>
      <c r="G801" s="50" t="n">
        <v>0.3958333333333333</v>
      </c>
      <c r="H801" s="51" t="n">
        <v>1031690</v>
      </c>
      <c r="I801" s="46" t="inlineStr">
        <is>
          <t>김영권</t>
        </is>
      </c>
      <c r="K801" s="46" t="n">
        <v>800</v>
      </c>
      <c r="L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2">
      <c r="A802" s="229" t="n">
        <v>45735</v>
      </c>
      <c r="B802" s="46" t="inlineStr">
        <is>
          <t>정기검사</t>
        </is>
      </c>
      <c r="C802" s="46" t="inlineStr">
        <is>
          <t>김포지역</t>
        </is>
      </c>
      <c r="D802" s="46" t="inlineStr">
        <is>
          <t>아람인터내셔날</t>
        </is>
      </c>
      <c r="E802" s="46" t="n">
        <v>250</v>
      </c>
      <c r="F802" s="46" t="inlineStr">
        <is>
          <t>송마리</t>
        </is>
      </c>
      <c r="G802" s="50" t="n">
        <v>0.5416666666666666</v>
      </c>
      <c r="H802" s="51" t="n">
        <v>489170</v>
      </c>
      <c r="I802" s="46" t="inlineStr">
        <is>
          <t>이종석</t>
        </is>
      </c>
      <c r="K802" s="46" t="n">
        <v>801</v>
      </c>
      <c r="L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3">
      <c r="A803" s="229" t="n">
        <v>45735</v>
      </c>
      <c r="B803" s="46" t="inlineStr">
        <is>
          <t>정기검사</t>
        </is>
      </c>
      <c r="C803" s="46" t="inlineStr">
        <is>
          <t>김포지역</t>
        </is>
      </c>
      <c r="D803" s="46" t="inlineStr">
        <is>
          <t>플러그링크동남아파트</t>
        </is>
      </c>
      <c r="E803" s="46" t="inlineStr">
        <is>
          <t>전기차</t>
        </is>
      </c>
      <c r="F803" s="46" t="inlineStr">
        <is>
          <t>사우동</t>
        </is>
      </c>
      <c r="G803" s="50" t="n">
        <v>0.3958333333333333</v>
      </c>
      <c r="H803" s="51" t="n">
        <v>72710</v>
      </c>
      <c r="I803" s="46" t="inlineStr">
        <is>
          <t>김영권</t>
        </is>
      </c>
      <c r="K803" s="46" t="n">
        <v>802</v>
      </c>
      <c r="L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4">
      <c r="A804" s="229" t="n">
        <v>45735</v>
      </c>
      <c r="B804" s="46" t="inlineStr">
        <is>
          <t>정기검사</t>
        </is>
      </c>
      <c r="C804" s="46" t="inlineStr">
        <is>
          <t>김포지역</t>
        </is>
      </c>
      <c r="D804" s="46" t="inlineStr">
        <is>
          <t>동남전기차</t>
        </is>
      </c>
      <c r="E804" s="46" t="n"/>
      <c r="F804" s="46" t="n"/>
      <c r="G804" s="50" t="n"/>
      <c r="H804" s="51" t="n">
        <v>98120</v>
      </c>
      <c r="I804" s="46" t="inlineStr">
        <is>
          <t>김영권</t>
        </is>
      </c>
      <c r="K804" s="46" t="n">
        <v>803</v>
      </c>
      <c r="L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5">
      <c r="A805" s="229" t="n">
        <v>45735</v>
      </c>
      <c r="B805" s="46" t="inlineStr">
        <is>
          <t>사용전검사</t>
        </is>
      </c>
      <c r="C805" s="46" t="inlineStr">
        <is>
          <t>부천지역</t>
        </is>
      </c>
      <c r="D805" s="46" t="inlineStr">
        <is>
          <t>남광토건</t>
        </is>
      </c>
      <c r="E805" s="46" t="n">
        <v>900</v>
      </c>
      <c r="F805" s="46" t="inlineStr">
        <is>
          <t>역곡동</t>
        </is>
      </c>
      <c r="G805" s="50" t="n"/>
      <c r="H805" s="51" t="n"/>
      <c r="I805" s="46" t="inlineStr">
        <is>
          <t>이덕기</t>
        </is>
      </c>
      <c r="K805" s="46" t="n">
        <v>804</v>
      </c>
      <c r="L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6">
      <c r="A806" s="229" t="n">
        <v>45735</v>
      </c>
      <c r="B806" s="46" t="inlineStr">
        <is>
          <t>사용전검사</t>
        </is>
      </c>
      <c r="C806" s="46" t="inlineStr">
        <is>
          <t>부천지역</t>
        </is>
      </c>
      <c r="D806" s="46" t="inlineStr">
        <is>
          <t>한국전력남서울</t>
        </is>
      </c>
      <c r="E806" s="46" t="n">
        <v>600</v>
      </c>
      <c r="F806" s="46" t="inlineStr">
        <is>
          <t>오정동</t>
        </is>
      </c>
      <c r="G806" s="50" t="n"/>
      <c r="H806" s="51" t="n"/>
      <c r="I806" s="46" t="inlineStr">
        <is>
          <t>정신배</t>
        </is>
      </c>
      <c r="K806" s="46" t="n">
        <v>805</v>
      </c>
      <c r="L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7">
      <c r="A807" s="229" t="n">
        <v>45735</v>
      </c>
      <c r="B807" s="46" t="inlineStr">
        <is>
          <t>사용전검사</t>
        </is>
      </c>
      <c r="C807" s="46" t="inlineStr">
        <is>
          <t>김포지역</t>
        </is>
      </c>
      <c r="D807" s="46" t="inlineStr">
        <is>
          <t>세운발전소</t>
        </is>
      </c>
      <c r="E807" s="46" t="n">
        <v>138</v>
      </c>
      <c r="F807" s="46" t="inlineStr">
        <is>
          <t>초원지리</t>
        </is>
      </c>
      <c r="G807" s="50" t="n"/>
      <c r="H807" s="51" t="n"/>
      <c r="I807" s="46" t="inlineStr">
        <is>
          <t>허창수</t>
        </is>
      </c>
      <c r="K807" s="46" t="n">
        <v>806</v>
      </c>
      <c r="L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8">
      <c r="A808" s="229" t="n">
        <v>45735</v>
      </c>
      <c r="B808" s="46" t="inlineStr">
        <is>
          <t>사용전검사</t>
        </is>
      </c>
      <c r="C808" s="46" t="inlineStr">
        <is>
          <t>김포지역</t>
        </is>
      </c>
      <c r="D808" s="46" t="inlineStr">
        <is>
          <t>연용진</t>
        </is>
      </c>
      <c r="E808" s="46" t="n">
        <v>82</v>
      </c>
      <c r="F808" s="46" t="inlineStr">
        <is>
          <t>양택리</t>
        </is>
      </c>
      <c r="G808" s="50" t="n"/>
      <c r="H808" s="51" t="n"/>
      <c r="I808" s="46" t="inlineStr">
        <is>
          <t>송두기</t>
        </is>
      </c>
      <c r="K808" s="46" t="n">
        <v>807</v>
      </c>
      <c r="L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9">
      <c r="A809" s="229" t="n">
        <v>45735</v>
      </c>
      <c r="B809" s="46" t="inlineStr">
        <is>
          <t>사용전검사</t>
        </is>
      </c>
      <c r="C809" s="46" t="inlineStr">
        <is>
          <t>김포지역</t>
        </is>
      </c>
      <c r="D809" s="46" t="inlineStr">
        <is>
          <t>연용진</t>
        </is>
      </c>
      <c r="E809" s="46" t="n">
        <v>83</v>
      </c>
      <c r="F809" s="46" t="inlineStr">
        <is>
          <t>양택리</t>
        </is>
      </c>
      <c r="G809" s="50" t="n"/>
      <c r="H809" s="51" t="n"/>
      <c r="I809" s="46" t="inlineStr">
        <is>
          <t>송두기</t>
        </is>
      </c>
      <c r="K809" s="46" t="n">
        <v>808</v>
      </c>
      <c r="L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0">
      <c r="A810" s="229" t="n">
        <v>45735</v>
      </c>
      <c r="B810" s="46" t="inlineStr">
        <is>
          <t>사용전검사</t>
        </is>
      </c>
      <c r="C810" s="46" t="inlineStr">
        <is>
          <t>김포지역</t>
        </is>
      </c>
      <c r="D810" s="46" t="inlineStr">
        <is>
          <t>엔트로켐2호</t>
        </is>
      </c>
      <c r="E810" s="46" t="n">
        <v>59</v>
      </c>
      <c r="F810" s="46" t="inlineStr">
        <is>
          <t>고정리</t>
        </is>
      </c>
      <c r="G810" s="50" t="n"/>
      <c r="H810" s="51" t="n"/>
      <c r="I810" s="46" t="inlineStr">
        <is>
          <t>민경수</t>
        </is>
      </c>
      <c r="K810" s="46" t="n">
        <v>809</v>
      </c>
      <c r="L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1">
      <c r="A811" s="229" t="n">
        <v>45735</v>
      </c>
      <c r="B811" s="46" t="inlineStr">
        <is>
          <t>사용전검사</t>
        </is>
      </c>
      <c r="C811" s="46" t="inlineStr">
        <is>
          <t>김포지역</t>
        </is>
      </c>
      <c r="D811" s="46" t="inlineStr">
        <is>
          <t>이룸1호</t>
        </is>
      </c>
      <c r="E811" s="46" t="n">
        <v>89</v>
      </c>
      <c r="F811" s="46" t="inlineStr">
        <is>
          <t>석탄리</t>
        </is>
      </c>
      <c r="G811" s="50" t="n"/>
      <c r="H811" s="51" t="n"/>
      <c r="I811" s="46" t="inlineStr">
        <is>
          <t>민경수</t>
        </is>
      </c>
      <c r="K811" s="46" t="n">
        <v>810</v>
      </c>
      <c r="L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2">
      <c r="A812" s="229" t="n">
        <v>45736</v>
      </c>
      <c r="B812" s="46" t="inlineStr">
        <is>
          <t>정기검사</t>
        </is>
      </c>
      <c r="C812" s="46" t="inlineStr">
        <is>
          <t>부천지역</t>
        </is>
      </c>
      <c r="D812" s="46" t="inlineStr">
        <is>
          <t>태승</t>
        </is>
      </c>
      <c r="E812" s="46" t="n">
        <v>295</v>
      </c>
      <c r="F812" s="46" t="inlineStr">
        <is>
          <t>내동</t>
        </is>
      </c>
      <c r="G812" s="50" t="n">
        <v>0.5</v>
      </c>
      <c r="H812" s="51" t="n">
        <v>518430</v>
      </c>
      <c r="I812" s="46" t="inlineStr">
        <is>
          <t>한태희</t>
        </is>
      </c>
      <c r="K812" s="46" t="n">
        <v>811</v>
      </c>
      <c r="L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3">
      <c r="A813" s="229" t="n">
        <v>45736</v>
      </c>
      <c r="B813" s="46" t="inlineStr">
        <is>
          <t>정기검사</t>
        </is>
      </c>
      <c r="C813" s="46" t="inlineStr">
        <is>
          <t>부천지역</t>
        </is>
      </c>
      <c r="D813" s="46" t="inlineStr">
        <is>
          <t>전주이씨</t>
        </is>
      </c>
      <c r="E813" s="46" t="n">
        <v>450</v>
      </c>
      <c r="F813" s="46" t="inlineStr">
        <is>
          <t>오정동</t>
        </is>
      </c>
      <c r="G813" s="50" t="n">
        <v>0.5</v>
      </c>
      <c r="H813" s="51" t="n">
        <v>720060</v>
      </c>
      <c r="I813" s="46" t="inlineStr">
        <is>
          <t>김영권</t>
        </is>
      </c>
      <c r="K813" s="46" t="n">
        <v>812</v>
      </c>
      <c r="L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4">
      <c r="A814" s="229" t="n">
        <v>45736</v>
      </c>
      <c r="B814" s="46" t="inlineStr">
        <is>
          <t>정기검사</t>
        </is>
      </c>
      <c r="C814" s="46" t="inlineStr">
        <is>
          <t>부천지역</t>
        </is>
      </c>
      <c r="D814" s="46" t="inlineStr">
        <is>
          <t>태현교통</t>
        </is>
      </c>
      <c r="E814" s="46" t="n">
        <v>990</v>
      </c>
      <c r="F814" s="46" t="inlineStr">
        <is>
          <t>소사본동</t>
        </is>
      </c>
      <c r="G814" s="50" t="n">
        <v>0.6458333333333334</v>
      </c>
      <c r="H814" s="51" t="n">
        <v>902990</v>
      </c>
      <c r="I814" s="46" t="inlineStr">
        <is>
          <t>이종석</t>
        </is>
      </c>
      <c r="K814" s="46" t="n">
        <v>813</v>
      </c>
      <c r="L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5">
      <c r="A815" s="229" t="n">
        <v>45736</v>
      </c>
      <c r="B815" s="46" t="inlineStr">
        <is>
          <t>정기검사</t>
        </is>
      </c>
      <c r="C815" s="46" t="inlineStr">
        <is>
          <t>부천지역</t>
        </is>
      </c>
      <c r="D815" s="46" t="inlineStr">
        <is>
          <t>까치울중</t>
        </is>
      </c>
      <c r="E815" s="46" t="inlineStr">
        <is>
          <t>600/155</t>
        </is>
      </c>
      <c r="F815" s="46" t="inlineStr">
        <is>
          <t>작동</t>
        </is>
      </c>
      <c r="G815" s="50" t="n">
        <v>0.6458333333333334</v>
      </c>
      <c r="H815" s="51" t="n">
        <v>953260</v>
      </c>
      <c r="I815" s="46" t="inlineStr">
        <is>
          <t>허창수</t>
        </is>
      </c>
      <c r="K815" s="46" t="n">
        <v>814</v>
      </c>
      <c r="L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6">
      <c r="A816" s="229" t="n">
        <v>45736</v>
      </c>
      <c r="B816" s="46" t="inlineStr">
        <is>
          <t>정기검사</t>
        </is>
      </c>
      <c r="C816" s="46" t="inlineStr">
        <is>
          <t>김포지역</t>
        </is>
      </c>
      <c r="D816" s="46" t="inlineStr">
        <is>
          <t>서광이브이에이</t>
        </is>
      </c>
      <c r="E816" s="46" t="n">
        <v>600</v>
      </c>
      <c r="F816" s="46" t="inlineStr">
        <is>
          <t>율생리</t>
        </is>
      </c>
      <c r="G816" s="50" t="n">
        <v>0.5</v>
      </c>
      <c r="H816" s="51" t="n">
        <v>770880</v>
      </c>
      <c r="I816" s="46" t="inlineStr">
        <is>
          <t>민재홍</t>
        </is>
      </c>
      <c r="K816" s="46" t="n">
        <v>815</v>
      </c>
      <c r="L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7">
      <c r="A817" s="229" t="n">
        <v>45736</v>
      </c>
      <c r="B817" s="46" t="inlineStr">
        <is>
          <t>정기검사</t>
        </is>
      </c>
      <c r="C817" s="46" t="inlineStr">
        <is>
          <t>김포지역</t>
        </is>
      </c>
      <c r="D817" s="46" t="inlineStr">
        <is>
          <t>서광이브이에이</t>
        </is>
      </c>
      <c r="E817" s="46" t="n">
        <v>200</v>
      </c>
      <c r="F817" s="46" t="inlineStr">
        <is>
          <t>율생리</t>
        </is>
      </c>
      <c r="G817" s="50" t="n">
        <v>0.5416666666666666</v>
      </c>
      <c r="H817" s="51" t="n">
        <v>456720</v>
      </c>
      <c r="I817" s="46" t="inlineStr">
        <is>
          <t>우승택</t>
        </is>
      </c>
      <c r="K817" s="46" t="n">
        <v>816</v>
      </c>
      <c r="L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8">
      <c r="A818" s="229" t="n">
        <v>45736</v>
      </c>
      <c r="B818" s="46" t="inlineStr">
        <is>
          <t>정기검사</t>
        </is>
      </c>
      <c r="C818" s="46" t="inlineStr">
        <is>
          <t>김포지역</t>
        </is>
      </c>
      <c r="D818" s="46" t="inlineStr">
        <is>
          <t>디자인포인트</t>
        </is>
      </c>
      <c r="E818" s="46" t="n">
        <v>290</v>
      </c>
      <c r="F818" s="46" t="inlineStr">
        <is>
          <t>누산리</t>
        </is>
      </c>
      <c r="G818" s="50" t="n">
        <v>0.5</v>
      </c>
      <c r="H818" s="51" t="n">
        <v>515130</v>
      </c>
      <c r="I818" s="46" t="inlineStr">
        <is>
          <t>송두기</t>
        </is>
      </c>
      <c r="K818" s="46" t="n">
        <v>817</v>
      </c>
      <c r="L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9">
      <c r="A819" s="229" t="n">
        <v>45736</v>
      </c>
      <c r="B819" s="46" t="inlineStr">
        <is>
          <t>정기검사</t>
        </is>
      </c>
      <c r="C819" s="46" t="inlineStr">
        <is>
          <t>김포지역</t>
        </is>
      </c>
      <c r="D819" s="46" t="inlineStr">
        <is>
          <t>샛빛마을</t>
        </is>
      </c>
      <c r="E819" s="46" t="n">
        <v>3</v>
      </c>
      <c r="F819" s="46" t="inlineStr">
        <is>
          <t>대벽리</t>
        </is>
      </c>
      <c r="G819" s="50" t="n">
        <v>0.6666666666666666</v>
      </c>
      <c r="H819" s="51" t="n">
        <v>90200</v>
      </c>
      <c r="I819" s="46" t="inlineStr">
        <is>
          <t>정신배</t>
        </is>
      </c>
      <c r="K819" s="46" t="n">
        <v>818</v>
      </c>
      <c r="L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0">
      <c r="A820" s="229" t="n">
        <v>45736</v>
      </c>
      <c r="B820" s="46" t="inlineStr">
        <is>
          <t>정기검사</t>
        </is>
      </c>
      <c r="C820" s="46" t="inlineStr">
        <is>
          <t>김포지역</t>
        </is>
      </c>
      <c r="D820" s="46" t="inlineStr">
        <is>
          <t>샛빛마을</t>
        </is>
      </c>
      <c r="E820" s="46" t="n">
        <v>4</v>
      </c>
      <c r="F820" s="46" t="inlineStr">
        <is>
          <t>대벽리</t>
        </is>
      </c>
      <c r="G820" s="50" t="n">
        <v>0.7083333333333334</v>
      </c>
      <c r="H820" s="51" t="n">
        <v>89210</v>
      </c>
      <c r="I820" s="46" t="inlineStr">
        <is>
          <t>정신배</t>
        </is>
      </c>
      <c r="K820" s="46" t="n">
        <v>819</v>
      </c>
      <c r="L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1">
      <c r="A821" s="229" t="n">
        <v>45736</v>
      </c>
      <c r="B821" s="46" t="inlineStr">
        <is>
          <t>정기검사</t>
        </is>
      </c>
      <c r="C821" s="46" t="inlineStr">
        <is>
          <t>김포지역</t>
        </is>
      </c>
      <c r="D821" s="46" t="inlineStr">
        <is>
          <t>코암빌딩</t>
        </is>
      </c>
      <c r="E821" s="46" t="inlineStr">
        <is>
          <t>500/182</t>
        </is>
      </c>
      <c r="F821" s="46" t="inlineStr">
        <is>
          <t>유현리</t>
        </is>
      </c>
      <c r="G821" s="50" t="n">
        <v>0.2708333333333333</v>
      </c>
      <c r="H821" s="51" t="n">
        <v>793100</v>
      </c>
      <c r="I821" s="46" t="inlineStr">
        <is>
          <t>민재홍</t>
        </is>
      </c>
      <c r="K821" s="46" t="n">
        <v>820</v>
      </c>
      <c r="L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2">
      <c r="A822" s="229" t="n">
        <v>45736</v>
      </c>
      <c r="B822" s="46" t="inlineStr">
        <is>
          <t>사용전검사</t>
        </is>
      </c>
      <c r="C822" s="46" t="inlineStr">
        <is>
          <t>부천지역</t>
        </is>
      </c>
      <c r="D822" s="46" t="inlineStr">
        <is>
          <t>신흥산업</t>
        </is>
      </c>
      <c r="E822" s="46" t="n">
        <v>500</v>
      </c>
      <c r="F822" s="46" t="inlineStr">
        <is>
          <t>삼정동</t>
        </is>
      </c>
      <c r="G822" s="50" t="n"/>
      <c r="H822" s="51" t="n"/>
      <c r="I822" s="46" t="inlineStr">
        <is>
          <t>송낙명</t>
        </is>
      </c>
      <c r="K822" s="46" t="n">
        <v>821</v>
      </c>
      <c r="L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3">
      <c r="A823" s="229" t="n">
        <v>45736</v>
      </c>
      <c r="B823" s="46" t="inlineStr">
        <is>
          <t>메모</t>
        </is>
      </c>
      <c r="C823" s="46" t="inlineStr">
        <is>
          <t>부천지역</t>
        </is>
      </c>
      <c r="D823" s="46" t="inlineStr">
        <is>
          <t>이덕기휴가</t>
        </is>
      </c>
      <c r="E823" s="46" t="n"/>
      <c r="F823" s="46" t="n"/>
      <c r="G823" s="50" t="n"/>
      <c r="H823" s="51" t="n"/>
      <c r="I823" s="46" t="n"/>
      <c r="K823" s="46" t="n">
        <v>822</v>
      </c>
      <c r="L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4">
      <c r="A824" s="229" t="n">
        <v>45736</v>
      </c>
      <c r="B824" s="46" t="inlineStr">
        <is>
          <t>메모</t>
        </is>
      </c>
      <c r="C824" s="46" t="inlineStr">
        <is>
          <t>부천지역</t>
        </is>
      </c>
      <c r="D824" s="46" t="inlineStr">
        <is>
          <t>정신배 휴가</t>
        </is>
      </c>
      <c r="E824" s="46" t="n"/>
      <c r="F824" s="46" t="n"/>
      <c r="G824" s="50" t="n"/>
      <c r="H824" s="51" t="n"/>
      <c r="I824" s="46" t="n"/>
      <c r="K824" s="46" t="n">
        <v>823</v>
      </c>
      <c r="L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5">
      <c r="A825" s="229" t="n">
        <v>45736</v>
      </c>
      <c r="B825" s="46" t="inlineStr">
        <is>
          <t>사용전검사</t>
        </is>
      </c>
      <c r="C825" s="46" t="inlineStr">
        <is>
          <t>김포지역</t>
        </is>
      </c>
      <c r="D825" s="46" t="inlineStr">
        <is>
          <t>천상태양광</t>
        </is>
      </c>
      <c r="E825" s="46" t="n">
        <v>30</v>
      </c>
      <c r="F825" s="46" t="inlineStr">
        <is>
          <t>귀전리</t>
        </is>
      </c>
      <c r="G825" s="50" t="n"/>
      <c r="H825" s="51" t="n"/>
      <c r="I825" s="46" t="inlineStr">
        <is>
          <t>정성관</t>
        </is>
      </c>
      <c r="K825" s="46" t="n">
        <v>824</v>
      </c>
      <c r="L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6">
      <c r="A826" s="229" t="n">
        <v>45736</v>
      </c>
      <c r="B826" s="46" t="inlineStr">
        <is>
          <t>사용전검사</t>
        </is>
      </c>
      <c r="C826" s="46" t="inlineStr">
        <is>
          <t>김포지역</t>
        </is>
      </c>
      <c r="D826" s="46" t="inlineStr">
        <is>
          <t>세록태양광</t>
        </is>
      </c>
      <c r="E826" s="46" t="n">
        <v>30</v>
      </c>
      <c r="F826" s="46" t="inlineStr">
        <is>
          <t>귀전리</t>
        </is>
      </c>
      <c r="G826" s="50" t="n"/>
      <c r="H826" s="51" t="n"/>
      <c r="I826" s="46" t="inlineStr">
        <is>
          <t>정성관</t>
        </is>
      </c>
      <c r="K826" s="46" t="n">
        <v>825</v>
      </c>
      <c r="L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7">
      <c r="A827" s="229" t="n">
        <v>45736</v>
      </c>
      <c r="B827" s="46" t="inlineStr">
        <is>
          <t>사용전검사</t>
        </is>
      </c>
      <c r="C827" s="46" t="inlineStr">
        <is>
          <t>김포지역</t>
        </is>
      </c>
      <c r="D827" s="46" t="inlineStr">
        <is>
          <t>은폐태양광</t>
        </is>
      </c>
      <c r="E827" s="46" t="n">
        <v>95</v>
      </c>
      <c r="F827" s="46" t="inlineStr">
        <is>
          <t>양택리</t>
        </is>
      </c>
      <c r="G827" s="50" t="n"/>
      <c r="H827" s="51" t="n"/>
      <c r="I827" s="46" t="inlineStr">
        <is>
          <t>서수형</t>
        </is>
      </c>
      <c r="K827" s="46" t="n">
        <v>826</v>
      </c>
      <c r="L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8">
      <c r="A828" s="229" t="n">
        <v>45737</v>
      </c>
      <c r="B828" s="46" t="inlineStr">
        <is>
          <t>메모</t>
        </is>
      </c>
      <c r="C828" s="46" t="inlineStr">
        <is>
          <t>부천지역</t>
        </is>
      </c>
      <c r="D828" s="46" t="inlineStr">
        <is>
          <t>안받음</t>
        </is>
      </c>
      <c r="E828" s="46" t="n"/>
      <c r="F828" s="46" t="n"/>
      <c r="G828" s="50" t="n"/>
      <c r="H828" s="51" t="n"/>
      <c r="I828" s="46" t="n"/>
      <c r="K828" s="46" t="n">
        <v>827</v>
      </c>
      <c r="L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9">
      <c r="A829" s="229" t="n">
        <v>45737</v>
      </c>
      <c r="B829" s="46" t="inlineStr">
        <is>
          <t>메모</t>
        </is>
      </c>
      <c r="C829" s="46" t="inlineStr">
        <is>
          <t>부천지역</t>
        </is>
      </c>
      <c r="D829" s="46" t="inlineStr">
        <is>
          <t>정신배 휴가</t>
        </is>
      </c>
      <c r="E829" s="46" t="n"/>
      <c r="F829" s="46" t="n"/>
      <c r="G829" s="50" t="n"/>
      <c r="H829" s="51" t="n"/>
      <c r="I829" s="46" t="n"/>
      <c r="K829" s="46" t="n">
        <v>828</v>
      </c>
      <c r="L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0">
      <c r="A830" s="229" t="n">
        <v>45738</v>
      </c>
      <c r="B830" s="46" t="inlineStr">
        <is>
          <t>정기검사</t>
        </is>
      </c>
      <c r="C830" s="46" t="inlineStr">
        <is>
          <t>부천지역</t>
        </is>
      </c>
      <c r="D830" s="46" t="inlineStr">
        <is>
          <t>한국만화영상진흥원</t>
        </is>
      </c>
      <c r="E830" s="46" t="inlineStr">
        <is>
          <t>2107/600</t>
        </is>
      </c>
      <c r="F830" s="46" t="inlineStr">
        <is>
          <t>상동</t>
        </is>
      </c>
      <c r="G830" s="50" t="n">
        <v>0.4791666666666667</v>
      </c>
      <c r="H830" s="51" t="n">
        <v>2085490</v>
      </c>
      <c r="I830" s="46" t="inlineStr">
        <is>
          <t>정성관</t>
        </is>
      </c>
      <c r="K830" s="46" t="n">
        <v>829</v>
      </c>
      <c r="L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1">
      <c r="A831" s="229" t="n">
        <v>45738</v>
      </c>
      <c r="B831" s="46" t="inlineStr">
        <is>
          <t>메모</t>
        </is>
      </c>
      <c r="C831" s="46" t="inlineStr">
        <is>
          <t>부천지역</t>
        </is>
      </c>
      <c r="D831" s="46" t="inlineStr">
        <is>
          <t>정신배 휴가</t>
        </is>
      </c>
      <c r="E831" s="46" t="n"/>
      <c r="F831" s="46" t="n"/>
      <c r="G831" s="50" t="n"/>
      <c r="H831" s="51" t="n"/>
      <c r="I831" s="46" t="n"/>
      <c r="K831" s="46" t="n">
        <v>830</v>
      </c>
      <c r="L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2">
      <c r="A832" s="229" t="n">
        <v>45739</v>
      </c>
      <c r="B832" s="46" t="inlineStr">
        <is>
          <t>정기검사</t>
        </is>
      </c>
      <c r="C832" s="46" t="inlineStr">
        <is>
          <t>부천지역</t>
        </is>
      </c>
      <c r="D832" s="46" t="inlineStr">
        <is>
          <t>로데오타운</t>
        </is>
      </c>
      <c r="E832" s="46" t="inlineStr">
        <is>
          <t>400/209</t>
        </is>
      </c>
      <c r="F832" s="46" t="inlineStr">
        <is>
          <t>중동</t>
        </is>
      </c>
      <c r="G832" s="50" t="n">
        <v>0.3958333333333333</v>
      </c>
      <c r="H832" s="51" t="n">
        <v>901560</v>
      </c>
      <c r="I832" s="46" t="inlineStr">
        <is>
          <t>한태희</t>
        </is>
      </c>
      <c r="K832" s="46" t="n">
        <v>831</v>
      </c>
      <c r="L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3">
      <c r="A833" s="229" t="n">
        <v>45739</v>
      </c>
      <c r="B833" s="46" t="inlineStr">
        <is>
          <t>정기검사</t>
        </is>
      </c>
      <c r="C833" s="46" t="inlineStr">
        <is>
          <t>부천지역</t>
        </is>
      </c>
      <c r="D833" s="46" t="inlineStr">
        <is>
          <t>대야하이빌</t>
        </is>
      </c>
      <c r="E833" s="46" t="inlineStr">
        <is>
          <t>957/300</t>
        </is>
      </c>
      <c r="F833" s="46" t="inlineStr">
        <is>
          <t>중동</t>
        </is>
      </c>
      <c r="G833" s="50" t="n">
        <v>0.3333333333333333</v>
      </c>
      <c r="H833" s="51" t="n">
        <v>1532740</v>
      </c>
      <c r="I833" s="46" t="inlineStr">
        <is>
          <t>이종석</t>
        </is>
      </c>
      <c r="K833" s="46" t="n">
        <v>832</v>
      </c>
      <c r="L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4">
      <c r="A834" s="229" t="n">
        <v>45739</v>
      </c>
      <c r="B834" s="46" t="inlineStr">
        <is>
          <t>정기검사</t>
        </is>
      </c>
      <c r="C834" s="46" t="inlineStr">
        <is>
          <t>부천지역</t>
        </is>
      </c>
      <c r="D834" s="46" t="inlineStr">
        <is>
          <t>승윤노블리안</t>
        </is>
      </c>
      <c r="E834" s="46" t="inlineStr">
        <is>
          <t>500/364</t>
        </is>
      </c>
      <c r="F834" s="46" t="inlineStr">
        <is>
          <t>심곡본동</t>
        </is>
      </c>
      <c r="G834" s="50" t="n">
        <v>0.4166666666666667</v>
      </c>
      <c r="H834" s="51" t="n">
        <v>964920</v>
      </c>
      <c r="I834" s="46" t="inlineStr">
        <is>
          <t>민경수</t>
        </is>
      </c>
      <c r="K834" s="46" t="n">
        <v>833</v>
      </c>
      <c r="L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5">
      <c r="A835" s="229" t="n">
        <v>45739</v>
      </c>
      <c r="B835" s="46" t="inlineStr">
        <is>
          <t>정기검사</t>
        </is>
      </c>
      <c r="C835" s="46" t="inlineStr">
        <is>
          <t>김포지역</t>
        </is>
      </c>
      <c r="D835" s="46" t="inlineStr">
        <is>
          <t>미도하드웨어</t>
        </is>
      </c>
      <c r="E835" s="46" t="n">
        <v>290</v>
      </c>
      <c r="F835" s="46" t="inlineStr">
        <is>
          <t>학운리</t>
        </is>
      </c>
      <c r="G835" s="50" t="n">
        <v>0.4166666666666667</v>
      </c>
      <c r="H835" s="51" t="n">
        <v>515130</v>
      </c>
      <c r="I835" s="46" t="inlineStr">
        <is>
          <t>서수형</t>
        </is>
      </c>
      <c r="K835" s="46" t="n">
        <v>834</v>
      </c>
      <c r="L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6">
      <c r="A836" s="229" t="n">
        <v>45739</v>
      </c>
      <c r="B836" s="46" t="inlineStr">
        <is>
          <t>정기검사</t>
        </is>
      </c>
      <c r="C836" s="46" t="inlineStr">
        <is>
          <t>김포지역</t>
        </is>
      </c>
      <c r="D836" s="46" t="inlineStr">
        <is>
          <t>로마네</t>
        </is>
      </c>
      <c r="E836" s="46" t="n">
        <v>500</v>
      </c>
      <c r="F836" s="46" t="inlineStr">
        <is>
          <t>옹정리</t>
        </is>
      </c>
      <c r="G836" s="50" t="n">
        <v>0.5</v>
      </c>
      <c r="H836" s="51" t="n">
        <v>737000</v>
      </c>
      <c r="I836" s="46" t="inlineStr">
        <is>
          <t>송낙명</t>
        </is>
      </c>
      <c r="K836" s="46" t="n">
        <v>835</v>
      </c>
      <c r="L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7">
      <c r="A837" s="229" t="n">
        <v>45739</v>
      </c>
      <c r="B837" s="46" t="inlineStr">
        <is>
          <t>정기검사</t>
        </is>
      </c>
      <c r="C837" s="46" t="inlineStr">
        <is>
          <t>김포지역</t>
        </is>
      </c>
      <c r="D837" s="46" t="inlineStr">
        <is>
          <t>탑스리빙</t>
        </is>
      </c>
      <c r="E837" s="46" t="n">
        <v>550</v>
      </c>
      <c r="F837" s="46" t="inlineStr">
        <is>
          <t>개곡리</t>
        </is>
      </c>
      <c r="G837" s="50" t="n">
        <v>0.5</v>
      </c>
      <c r="H837" s="51" t="n">
        <v>753940</v>
      </c>
      <c r="I837" s="46" t="inlineStr">
        <is>
          <t>민재홍</t>
        </is>
      </c>
      <c r="K837" s="46" t="n">
        <v>836</v>
      </c>
      <c r="L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8">
      <c r="A838" s="229" t="n">
        <v>45739</v>
      </c>
      <c r="B838" s="46" t="inlineStr">
        <is>
          <t>정기검사</t>
        </is>
      </c>
      <c r="C838" s="46" t="inlineStr">
        <is>
          <t>김포지역</t>
        </is>
      </c>
      <c r="D838" s="46" t="inlineStr">
        <is>
          <t>골든팩키지</t>
        </is>
      </c>
      <c r="E838" s="46" t="n">
        <v>499</v>
      </c>
      <c r="F838" s="46" t="inlineStr">
        <is>
          <t>귀전리</t>
        </is>
      </c>
      <c r="G838" s="50" t="n">
        <v>0.5208333333333334</v>
      </c>
      <c r="H838" s="51" t="n">
        <v>736560</v>
      </c>
      <c r="I838" s="46" t="inlineStr">
        <is>
          <t>김영권</t>
        </is>
      </c>
      <c r="K838" s="46" t="n">
        <v>837</v>
      </c>
      <c r="L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9">
      <c r="A839" s="229" t="n">
        <v>45739</v>
      </c>
      <c r="B839" s="46" t="inlineStr">
        <is>
          <t>정기검사</t>
        </is>
      </c>
      <c r="C839" s="46" t="inlineStr">
        <is>
          <t>김포지역</t>
        </is>
      </c>
      <c r="D839" s="46" t="inlineStr">
        <is>
          <t>세진프라스틱</t>
        </is>
      </c>
      <c r="E839" s="46" t="n">
        <v>290</v>
      </c>
      <c r="F839" s="46" t="inlineStr">
        <is>
          <t>송마리</t>
        </is>
      </c>
      <c r="G839" s="50" t="n">
        <v>0.3958333333333333</v>
      </c>
      <c r="H839" s="51" t="n">
        <v>515130</v>
      </c>
      <c r="I839" s="46" t="inlineStr">
        <is>
          <t>허창수</t>
        </is>
      </c>
      <c r="K839" s="46" t="n">
        <v>838</v>
      </c>
      <c r="L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0">
      <c r="A840" s="229" t="n">
        <v>45739</v>
      </c>
      <c r="B840" s="46" t="inlineStr">
        <is>
          <t>정기검사</t>
        </is>
      </c>
      <c r="C840" s="46" t="inlineStr">
        <is>
          <t>김포지역</t>
        </is>
      </c>
      <c r="D840" s="46" t="inlineStr">
        <is>
          <t>샛빛마을</t>
        </is>
      </c>
      <c r="E840" s="46" t="n">
        <v>3</v>
      </c>
      <c r="F840" s="46" t="inlineStr">
        <is>
          <t>대벽리</t>
        </is>
      </c>
      <c r="G840" s="50" t="n">
        <v>0.6666666666666666</v>
      </c>
      <c r="H840" s="51" t="n">
        <v>90310</v>
      </c>
      <c r="I840" s="46" t="inlineStr">
        <is>
          <t>정신배</t>
        </is>
      </c>
      <c r="K840" s="46" t="n">
        <v>839</v>
      </c>
      <c r="L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1">
      <c r="A841" s="229" t="n">
        <v>45739</v>
      </c>
      <c r="B841" s="46" t="inlineStr">
        <is>
          <t>정기검사</t>
        </is>
      </c>
      <c r="C841" s="46" t="inlineStr">
        <is>
          <t>김포지역</t>
        </is>
      </c>
      <c r="D841" s="46" t="inlineStr">
        <is>
          <t>샛빛마을</t>
        </is>
      </c>
      <c r="E841" s="46" t="n">
        <v>4</v>
      </c>
      <c r="F841" s="46" t="inlineStr">
        <is>
          <t>대벽리</t>
        </is>
      </c>
      <c r="G841" s="50" t="n">
        <v>0.7083333333333334</v>
      </c>
      <c r="H841" s="51" t="n">
        <v>89210</v>
      </c>
      <c r="I841" s="46" t="inlineStr">
        <is>
          <t>정신배</t>
        </is>
      </c>
      <c r="K841" s="46" t="n">
        <v>840</v>
      </c>
      <c r="L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2">
      <c r="A842" s="229" t="n">
        <v>45739</v>
      </c>
      <c r="B842" s="46" t="inlineStr">
        <is>
          <t>정기검사</t>
        </is>
      </c>
      <c r="C842" s="46" t="inlineStr">
        <is>
          <t>김포지역</t>
        </is>
      </c>
      <c r="D842" s="46" t="inlineStr">
        <is>
          <t>샛빛마을</t>
        </is>
      </c>
      <c r="E842" s="46" t="n">
        <v>5</v>
      </c>
      <c r="F842" s="46" t="inlineStr">
        <is>
          <t>대벽리</t>
        </is>
      </c>
      <c r="G842" s="50" t="n">
        <v>0.75</v>
      </c>
      <c r="H842" s="51" t="n">
        <v>81100</v>
      </c>
      <c r="I842" s="46" t="inlineStr">
        <is>
          <t>정신배</t>
        </is>
      </c>
      <c r="K842" s="46" t="n">
        <v>841</v>
      </c>
      <c r="L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3">
      <c r="A843" s="229" t="n">
        <v>45739</v>
      </c>
      <c r="B843" s="46" t="inlineStr">
        <is>
          <t>정기검사</t>
        </is>
      </c>
      <c r="C843" s="46" t="inlineStr">
        <is>
          <t>김포지역</t>
        </is>
      </c>
      <c r="D843" s="46" t="inlineStr">
        <is>
          <t>코리아슬롯</t>
        </is>
      </c>
      <c r="E843" s="46" t="n">
        <v>250</v>
      </c>
      <c r="F843" s="46" t="inlineStr">
        <is>
          <t>송마리</t>
        </is>
      </c>
      <c r="G843" s="50" t="n">
        <v>0.5</v>
      </c>
      <c r="H843" s="51" t="n">
        <v>489170</v>
      </c>
      <c r="I843" s="46" t="inlineStr">
        <is>
          <t>서수형</t>
        </is>
      </c>
      <c r="K843" s="46" t="n">
        <v>842</v>
      </c>
      <c r="L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4">
      <c r="A844" s="229" t="n">
        <v>45739</v>
      </c>
      <c r="B844" s="46" t="inlineStr">
        <is>
          <t>정기검사</t>
        </is>
      </c>
      <c r="C844" s="46" t="inlineStr">
        <is>
          <t>김포지역</t>
        </is>
      </c>
      <c r="D844" s="46" t="inlineStr">
        <is>
          <t>김포개발</t>
        </is>
      </c>
      <c r="E844" s="46" t="n">
        <v>250</v>
      </c>
      <c r="F844" s="46" t="inlineStr">
        <is>
          <t>북변동</t>
        </is>
      </c>
      <c r="G844" s="50" t="n">
        <v>0.3958333333333333</v>
      </c>
      <c r="H844" s="51" t="n">
        <v>489170</v>
      </c>
      <c r="I844" s="46" t="inlineStr">
        <is>
          <t>송낙명</t>
        </is>
      </c>
      <c r="K844" s="46" t="n">
        <v>843</v>
      </c>
      <c r="L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5">
      <c r="A845" s="229" t="n">
        <v>45739</v>
      </c>
      <c r="B845" s="46" t="inlineStr">
        <is>
          <t>사용전검사</t>
        </is>
      </c>
      <c r="C845" s="46" t="inlineStr">
        <is>
          <t>부천지역</t>
        </is>
      </c>
      <c r="D845" s="46" t="inlineStr">
        <is>
          <t>덕인</t>
        </is>
      </c>
      <c r="E845" s="46" t="n">
        <v>30</v>
      </c>
      <c r="F845" s="46" t="inlineStr">
        <is>
          <t>오정동</t>
        </is>
      </c>
      <c r="G845" s="50" t="n"/>
      <c r="H845" s="51" t="n"/>
      <c r="I845" s="46" t="inlineStr">
        <is>
          <t>송두기</t>
        </is>
      </c>
      <c r="K845" s="46" t="n">
        <v>844</v>
      </c>
      <c r="L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6">
      <c r="A846" s="229" t="n">
        <v>45739</v>
      </c>
      <c r="B846" s="46" t="inlineStr">
        <is>
          <t>메모</t>
        </is>
      </c>
      <c r="C846" s="46" t="inlineStr">
        <is>
          <t>부천지역</t>
        </is>
      </c>
      <c r="D846" s="46" t="inlineStr">
        <is>
          <t>우승택휴가</t>
        </is>
      </c>
      <c r="E846" s="46" t="n"/>
      <c r="F846" s="46" t="n"/>
      <c r="G846" s="50" t="n"/>
      <c r="H846" s="51" t="n"/>
      <c r="I846" s="46" t="n"/>
      <c r="K846" s="46" t="n">
        <v>845</v>
      </c>
      <c r="L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7">
      <c r="A847" s="229" t="n">
        <v>45739</v>
      </c>
      <c r="B847" s="46" t="inlineStr">
        <is>
          <t>사용전검사</t>
        </is>
      </c>
      <c r="C847" s="46" t="inlineStr">
        <is>
          <t>김포지역</t>
        </is>
      </c>
      <c r="D847" s="46" t="inlineStr">
        <is>
          <t>코스믹대영1호</t>
        </is>
      </c>
      <c r="E847" s="46" t="n">
        <v>89</v>
      </c>
      <c r="F847" s="46" t="inlineStr">
        <is>
          <t>학운리</t>
        </is>
      </c>
      <c r="G847" s="50" t="n"/>
      <c r="H847" s="51" t="n"/>
      <c r="I847" s="46" t="inlineStr">
        <is>
          <t>이덕기</t>
        </is>
      </c>
      <c r="K847" s="46" t="n">
        <v>846</v>
      </c>
      <c r="L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8">
      <c r="A848" s="229" t="n">
        <v>45739</v>
      </c>
      <c r="B848" s="46" t="inlineStr">
        <is>
          <t>사용전검사</t>
        </is>
      </c>
      <c r="C848" s="46" t="inlineStr">
        <is>
          <t>김포지역</t>
        </is>
      </c>
      <c r="D848" s="46" t="inlineStr">
        <is>
          <t>코스믹대영2호</t>
        </is>
      </c>
      <c r="E848" s="46" t="n">
        <v>90</v>
      </c>
      <c r="F848" s="46" t="inlineStr">
        <is>
          <t>학운리</t>
        </is>
      </c>
      <c r="G848" s="50" t="n"/>
      <c r="H848" s="51" t="n"/>
      <c r="I848" s="46" t="inlineStr">
        <is>
          <t>이덕기</t>
        </is>
      </c>
      <c r="K848" s="46" t="n">
        <v>847</v>
      </c>
      <c r="L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9">
      <c r="A849" s="229" t="n">
        <v>45739</v>
      </c>
      <c r="B849" s="46" t="inlineStr">
        <is>
          <t>사용전검사</t>
        </is>
      </c>
      <c r="C849" s="46" t="inlineStr">
        <is>
          <t>김포지역</t>
        </is>
      </c>
      <c r="D849" s="46" t="inlineStr">
        <is>
          <t>코스믹대영3호</t>
        </is>
      </c>
      <c r="E849" s="46" t="n">
        <v>91</v>
      </c>
      <c r="F849" s="46" t="inlineStr">
        <is>
          <t>학운리</t>
        </is>
      </c>
      <c r="G849" s="50" t="n"/>
      <c r="H849" s="51" t="n"/>
      <c r="I849" s="46" t="inlineStr">
        <is>
          <t>이덕기</t>
        </is>
      </c>
      <c r="K849" s="46" t="n">
        <v>848</v>
      </c>
      <c r="L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0">
      <c r="A850" s="229" t="n">
        <v>45739</v>
      </c>
      <c r="B850" s="46" t="inlineStr">
        <is>
          <t>사용전검사</t>
        </is>
      </c>
      <c r="C850" s="46" t="inlineStr">
        <is>
          <t>김포지역</t>
        </is>
      </c>
      <c r="D850" s="46" t="inlineStr">
        <is>
          <t>코스믹대영4호</t>
        </is>
      </c>
      <c r="E850" s="46" t="n">
        <v>92</v>
      </c>
      <c r="F850" s="46" t="inlineStr">
        <is>
          <t>학운리</t>
        </is>
      </c>
      <c r="G850" s="50" t="n"/>
      <c r="H850" s="51" t="n"/>
      <c r="I850" s="46" t="inlineStr">
        <is>
          <t>정성관</t>
        </is>
      </c>
      <c r="K850" s="46" t="n">
        <v>849</v>
      </c>
      <c r="L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1">
      <c r="A851" s="229" t="n">
        <v>45739</v>
      </c>
      <c r="B851" s="46" t="inlineStr">
        <is>
          <t>사용전검사</t>
        </is>
      </c>
      <c r="C851" s="46" t="inlineStr">
        <is>
          <t>김포지역</t>
        </is>
      </c>
      <c r="D851" s="46" t="inlineStr">
        <is>
          <t>코스믹대영5호</t>
        </is>
      </c>
      <c r="E851" s="46" t="n">
        <v>93</v>
      </c>
      <c r="F851" s="46" t="inlineStr">
        <is>
          <t>학운리</t>
        </is>
      </c>
      <c r="G851" s="50" t="n"/>
      <c r="H851" s="51" t="n"/>
      <c r="I851" s="46" t="inlineStr">
        <is>
          <t>정성관</t>
        </is>
      </c>
      <c r="K851" s="46" t="n">
        <v>850</v>
      </c>
      <c r="L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2">
      <c r="A852" s="229" t="n">
        <v>45739</v>
      </c>
      <c r="B852" s="46" t="inlineStr">
        <is>
          <t>사용전검사</t>
        </is>
      </c>
      <c r="C852" s="46" t="inlineStr">
        <is>
          <t>김포지역</t>
        </is>
      </c>
      <c r="D852" s="46" t="inlineStr">
        <is>
          <t>태성철강</t>
        </is>
      </c>
      <c r="E852" s="46" t="n">
        <v>290</v>
      </c>
      <c r="F852" s="46" t="inlineStr">
        <is>
          <t>학운리</t>
        </is>
      </c>
      <c r="G852" s="50" t="n"/>
      <c r="H852" s="51" t="n"/>
      <c r="I852" s="46" t="inlineStr">
        <is>
          <t>정성관</t>
        </is>
      </c>
      <c r="K852" s="46" t="n">
        <v>851</v>
      </c>
      <c r="L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3">
      <c r="A853" s="229" t="n">
        <v>45739</v>
      </c>
      <c r="B853" s="46" t="inlineStr">
        <is>
          <t>사용전검사</t>
        </is>
      </c>
      <c r="C853" s="46" t="inlineStr">
        <is>
          <t>김포지역</t>
        </is>
      </c>
      <c r="D853" s="46" t="inlineStr">
        <is>
          <t>굿웰재가복지용구3</t>
        </is>
      </c>
      <c r="E853" s="46" t="n">
        <v>3</v>
      </c>
      <c r="F853" s="46" t="inlineStr">
        <is>
          <t>장기동</t>
        </is>
      </c>
      <c r="G853" s="50" t="n"/>
      <c r="H853" s="51" t="n"/>
      <c r="I853" s="46" t="inlineStr">
        <is>
          <t>허창수</t>
        </is>
      </c>
      <c r="K853" s="46" t="n">
        <v>852</v>
      </c>
      <c r="L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4">
      <c r="A854" s="229" t="n">
        <v>45739</v>
      </c>
      <c r="B854" s="46" t="inlineStr">
        <is>
          <t>사용전검사</t>
        </is>
      </c>
      <c r="C854" s="46" t="inlineStr">
        <is>
          <t>김포지역</t>
        </is>
      </c>
      <c r="D854" s="46" t="inlineStr">
        <is>
          <t>크레투윅스</t>
        </is>
      </c>
      <c r="E854" s="46" t="n">
        <v>15</v>
      </c>
      <c r="F854" s="46" t="inlineStr">
        <is>
          <t>고촌</t>
        </is>
      </c>
      <c r="G854" s="50" t="n"/>
      <c r="H854" s="51" t="n"/>
      <c r="I854" s="46" t="inlineStr">
        <is>
          <t>이덕기</t>
        </is>
      </c>
      <c r="K854" s="46" t="n">
        <v>853</v>
      </c>
      <c r="L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5">
      <c r="A855" s="229" t="n">
        <v>45740</v>
      </c>
      <c r="B855" s="46" t="inlineStr">
        <is>
          <t>정기검사</t>
        </is>
      </c>
      <c r="C855" s="46" t="inlineStr">
        <is>
          <t>부천지역</t>
        </is>
      </c>
      <c r="D855" s="46" t="inlineStr">
        <is>
          <t>비투엠</t>
        </is>
      </c>
      <c r="E855" s="46" t="n">
        <v>290</v>
      </c>
      <c r="F855" s="46" t="inlineStr">
        <is>
          <t>삼정동</t>
        </is>
      </c>
      <c r="G855" s="50" t="n">
        <v>0.5</v>
      </c>
      <c r="H855" s="51" t="n">
        <v>515130</v>
      </c>
      <c r="I855" s="46" t="inlineStr">
        <is>
          <t>허창수</t>
        </is>
      </c>
      <c r="K855" s="46" t="n">
        <v>854</v>
      </c>
      <c r="L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6">
      <c r="A856" s="229" t="n">
        <v>45740</v>
      </c>
      <c r="B856" s="46" t="inlineStr">
        <is>
          <t>정기검사</t>
        </is>
      </c>
      <c r="C856" s="46" t="inlineStr">
        <is>
          <t>부천지역</t>
        </is>
      </c>
      <c r="D856" s="46" t="inlineStr">
        <is>
          <t>무지개마을동신아파트</t>
        </is>
      </c>
      <c r="E856" s="46" t="inlineStr">
        <is>
          <t>1450/235</t>
        </is>
      </c>
      <c r="F856" s="46" t="inlineStr">
        <is>
          <t>중동</t>
        </is>
      </c>
      <c r="G856" s="50" t="n">
        <v>0.3958333333333333</v>
      </c>
      <c r="H856" s="51" t="n">
        <v>1178320</v>
      </c>
      <c r="I856" s="46" t="inlineStr">
        <is>
          <t>김영권</t>
        </is>
      </c>
      <c r="K856" s="46" t="n">
        <v>855</v>
      </c>
      <c r="L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7">
      <c r="A857" s="229" t="n">
        <v>45740</v>
      </c>
      <c r="B857" s="46" t="inlineStr">
        <is>
          <t>정기검사</t>
        </is>
      </c>
      <c r="C857" s="46" t="inlineStr">
        <is>
          <t>부천지역</t>
        </is>
      </c>
      <c r="D857" s="46" t="inlineStr">
        <is>
          <t>라일락서해</t>
        </is>
      </c>
      <c r="E857" s="46" t="n">
        <v>7</v>
      </c>
      <c r="F857" s="46" t="inlineStr">
        <is>
          <t>상동</t>
        </is>
      </c>
      <c r="G857" s="50" t="n">
        <v>0.5833333333333334</v>
      </c>
      <c r="H857" s="51" t="n">
        <v>182820</v>
      </c>
      <c r="I857" s="46" t="inlineStr">
        <is>
          <t>허창수</t>
        </is>
      </c>
      <c r="K857" s="46" t="n">
        <v>856</v>
      </c>
      <c r="L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8">
      <c r="A858" s="229" t="n">
        <v>45740</v>
      </c>
      <c r="B858" s="46" t="inlineStr">
        <is>
          <t>정기검사</t>
        </is>
      </c>
      <c r="C858" s="46" t="inlineStr">
        <is>
          <t>부천지역</t>
        </is>
      </c>
      <c r="D858" s="46" t="inlineStr">
        <is>
          <t>은성정밀</t>
        </is>
      </c>
      <c r="E858" s="46" t="n">
        <v>290</v>
      </c>
      <c r="F858" s="46" t="inlineStr">
        <is>
          <t>삼정동</t>
        </is>
      </c>
      <c r="G858" s="50" t="n">
        <v>0.5</v>
      </c>
      <c r="H858" s="51" t="n">
        <v>515130</v>
      </c>
      <c r="I858" s="46" t="inlineStr">
        <is>
          <t>송낙명</t>
        </is>
      </c>
      <c r="K858" s="46" t="n">
        <v>857</v>
      </c>
      <c r="L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9">
      <c r="A859" s="229" t="n">
        <v>45740</v>
      </c>
      <c r="B859" s="46" t="inlineStr">
        <is>
          <t>정기검사</t>
        </is>
      </c>
      <c r="C859" s="46" t="inlineStr">
        <is>
          <t>부천지역</t>
        </is>
      </c>
      <c r="D859" s="46" t="inlineStr">
        <is>
          <t>창대산업</t>
        </is>
      </c>
      <c r="E859" s="46" t="n">
        <v>350</v>
      </c>
      <c r="F859" s="46" t="inlineStr">
        <is>
          <t>고양리</t>
        </is>
      </c>
      <c r="G859" s="50" t="n">
        <v>0.5416666666666666</v>
      </c>
      <c r="H859" s="51" t="n">
        <v>686180</v>
      </c>
      <c r="I859" s="46" t="inlineStr">
        <is>
          <t>이종석</t>
        </is>
      </c>
      <c r="K859" s="46" t="n">
        <v>858</v>
      </c>
      <c r="L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0">
      <c r="A860" s="229" t="n">
        <v>45740</v>
      </c>
      <c r="B860" s="46" t="inlineStr">
        <is>
          <t>정기검사</t>
        </is>
      </c>
      <c r="C860" s="46" t="inlineStr">
        <is>
          <t>부천지역</t>
        </is>
      </c>
      <c r="D860" s="46" t="inlineStr">
        <is>
          <t>MK</t>
        </is>
      </c>
      <c r="E860" s="46" t="inlineStr">
        <is>
          <t>273G</t>
        </is>
      </c>
      <c r="F860" s="46" t="inlineStr">
        <is>
          <t>양곡리</t>
        </is>
      </c>
      <c r="G860" s="50" t="n">
        <v>0.4166666666666667</v>
      </c>
      <c r="H860" s="51" t="n">
        <v>217360</v>
      </c>
      <c r="I860" s="46" t="inlineStr">
        <is>
          <t>민재홍</t>
        </is>
      </c>
      <c r="K860" s="46" t="n">
        <v>859</v>
      </c>
      <c r="L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1">
      <c r="A861" s="229" t="n">
        <v>45740</v>
      </c>
      <c r="B861" s="46" t="inlineStr">
        <is>
          <t>정기검사</t>
        </is>
      </c>
      <c r="C861" s="46" t="inlineStr">
        <is>
          <t>김포지역</t>
        </is>
      </c>
      <c r="D861" s="46" t="inlineStr">
        <is>
          <t>지프라자</t>
        </is>
      </c>
      <c r="E861" s="46" t="inlineStr">
        <is>
          <t>950/200</t>
        </is>
      </c>
      <c r="F861" s="46" t="inlineStr">
        <is>
          <t>학운리</t>
        </is>
      </c>
      <c r="G861" s="50" t="n">
        <v>0.2916666666666667</v>
      </c>
      <c r="H861" s="51" t="n">
        <v>1410750</v>
      </c>
      <c r="I861" s="46" t="inlineStr">
        <is>
          <t>민경수</t>
        </is>
      </c>
      <c r="K861" s="46" t="n">
        <v>860</v>
      </c>
      <c r="L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2">
      <c r="A862" s="229" t="n">
        <v>45740</v>
      </c>
      <c r="B862" s="46" t="inlineStr">
        <is>
          <t>정기검사</t>
        </is>
      </c>
      <c r="C862" s="46" t="inlineStr">
        <is>
          <t>김포지역</t>
        </is>
      </c>
      <c r="D862" s="46" t="inlineStr">
        <is>
          <t>티알에스이화</t>
        </is>
      </c>
      <c r="E862" s="46" t="n">
        <v>150</v>
      </c>
      <c r="F862" s="46" t="inlineStr">
        <is>
          <t>풍무동</t>
        </is>
      </c>
      <c r="G862" s="50" t="n">
        <v>0.4791666666666667</v>
      </c>
      <c r="H862" s="51" t="n">
        <v>424160</v>
      </c>
      <c r="I862" s="46" t="inlineStr">
        <is>
          <t>송두기</t>
        </is>
      </c>
      <c r="K862" s="46" t="n">
        <v>861</v>
      </c>
      <c r="L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3">
      <c r="A863" s="229" t="n">
        <v>45740</v>
      </c>
      <c r="B863" s="46" t="inlineStr">
        <is>
          <t>정기검사</t>
        </is>
      </c>
      <c r="C863" s="46" t="inlineStr">
        <is>
          <t>김포지역</t>
        </is>
      </c>
      <c r="D863" s="46" t="inlineStr">
        <is>
          <t>현대메티칼</t>
        </is>
      </c>
      <c r="E863" s="46" t="inlineStr">
        <is>
          <t>950/155</t>
        </is>
      </c>
      <c r="F863" s="46" t="inlineStr">
        <is>
          <t>장기동</t>
        </is>
      </c>
      <c r="G863" s="50" t="n">
        <v>0.2916666666666667</v>
      </c>
      <c r="H863" s="51" t="n">
        <v>1393480</v>
      </c>
      <c r="I863" s="46" t="inlineStr">
        <is>
          <t>정신배</t>
        </is>
      </c>
      <c r="K863" s="46" t="n">
        <v>862</v>
      </c>
      <c r="L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4">
      <c r="A864" s="229" t="n">
        <v>45740</v>
      </c>
      <c r="B864" s="46" t="inlineStr">
        <is>
          <t>정기검사</t>
        </is>
      </c>
      <c r="C864" s="46" t="inlineStr">
        <is>
          <t>김포지역</t>
        </is>
      </c>
      <c r="D864" s="46" t="inlineStr">
        <is>
          <t>라베니체상가</t>
        </is>
      </c>
      <c r="E864" s="46" t="inlineStr">
        <is>
          <t>950/227</t>
        </is>
      </c>
      <c r="F864" s="46" t="inlineStr">
        <is>
          <t>장기동</t>
        </is>
      </c>
      <c r="G864" s="50" t="n">
        <v>0.3958333333333333</v>
      </c>
      <c r="H864" s="51" t="n">
        <v>1093180</v>
      </c>
      <c r="I864" s="46" t="inlineStr">
        <is>
          <t>서수형</t>
        </is>
      </c>
      <c r="K864" s="46" t="n">
        <v>863</v>
      </c>
      <c r="L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5">
      <c r="A865" s="229" t="n">
        <v>45740</v>
      </c>
      <c r="B865" s="46" t="inlineStr">
        <is>
          <t>정기검사</t>
        </is>
      </c>
      <c r="C865" s="46" t="inlineStr">
        <is>
          <t>김포지역</t>
        </is>
      </c>
      <c r="D865" s="46" t="inlineStr">
        <is>
          <t>한솔팩</t>
        </is>
      </c>
      <c r="E865" s="46" t="n">
        <v>600</v>
      </c>
      <c r="F865" s="46" t="inlineStr">
        <is>
          <t>송마리</t>
        </is>
      </c>
      <c r="G865" s="50" t="n">
        <v>0.3958333333333333</v>
      </c>
      <c r="H865" s="51" t="n">
        <v>770880</v>
      </c>
      <c r="I865" s="46" t="inlineStr">
        <is>
          <t>민경수</t>
        </is>
      </c>
      <c r="K865" s="46" t="n">
        <v>864</v>
      </c>
      <c r="L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6">
      <c r="A866" s="229" t="n">
        <v>45740</v>
      </c>
      <c r="B866" s="46" t="inlineStr">
        <is>
          <t>정기검사</t>
        </is>
      </c>
      <c r="C866" s="46" t="inlineStr">
        <is>
          <t>김포지역</t>
        </is>
      </c>
      <c r="D866" s="46" t="inlineStr">
        <is>
          <t>경화태양광</t>
        </is>
      </c>
      <c r="E866" s="46" t="n">
        <v>29</v>
      </c>
      <c r="F866" s="46" t="inlineStr">
        <is>
          <t>향산리</t>
        </is>
      </c>
      <c r="G866" s="50" t="n">
        <v>0.5625</v>
      </c>
      <c r="H866" s="51" t="n">
        <v>182050</v>
      </c>
      <c r="I866" s="46" t="inlineStr">
        <is>
          <t>정신배</t>
        </is>
      </c>
      <c r="K866" s="46" t="n">
        <v>865</v>
      </c>
      <c r="L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7">
      <c r="A867" s="229" t="n">
        <v>45740</v>
      </c>
      <c r="B867" s="46" t="inlineStr">
        <is>
          <t>정기검사</t>
        </is>
      </c>
      <c r="C867" s="46" t="inlineStr">
        <is>
          <t>김포지역</t>
        </is>
      </c>
      <c r="D867" s="46" t="inlineStr">
        <is>
          <t>경화태양광</t>
        </is>
      </c>
      <c r="E867" s="46" t="n">
        <v>30</v>
      </c>
      <c r="F867" s="46" t="inlineStr">
        <is>
          <t>향산리</t>
        </is>
      </c>
      <c r="G867" s="50" t="n">
        <v>0.5625</v>
      </c>
      <c r="H867" s="51" t="n">
        <v>182050</v>
      </c>
      <c r="I867" s="46" t="inlineStr">
        <is>
          <t>정신배</t>
        </is>
      </c>
      <c r="K867" s="46" t="n">
        <v>866</v>
      </c>
      <c r="L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8">
      <c r="A868" s="229" t="n">
        <v>45740</v>
      </c>
      <c r="B868" s="46" t="inlineStr">
        <is>
          <t>정기검사</t>
        </is>
      </c>
      <c r="C868" s="46" t="inlineStr">
        <is>
          <t>김포지역</t>
        </is>
      </c>
      <c r="D868" s="46" t="inlineStr">
        <is>
          <t>경화태양광</t>
        </is>
      </c>
      <c r="E868" s="46" t="n">
        <v>15</v>
      </c>
      <c r="F868" s="46" t="inlineStr">
        <is>
          <t>향산리</t>
        </is>
      </c>
      <c r="G868" s="50" t="n">
        <v>0.5625</v>
      </c>
      <c r="H868" s="51" t="n">
        <v>93060</v>
      </c>
      <c r="I868" s="46" t="inlineStr">
        <is>
          <t>정신배</t>
        </is>
      </c>
      <c r="K868" s="46" t="n">
        <v>867</v>
      </c>
      <c r="L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9">
      <c r="A869" s="229" t="n">
        <v>45740</v>
      </c>
      <c r="B869" s="46" t="inlineStr">
        <is>
          <t>정기검사</t>
        </is>
      </c>
      <c r="C869" s="46" t="inlineStr">
        <is>
          <t>김포지역</t>
        </is>
      </c>
      <c r="D869" s="46" t="inlineStr">
        <is>
          <t>차량기지검수고</t>
        </is>
      </c>
      <c r="E869" s="46" t="inlineStr">
        <is>
          <t>9500/360</t>
        </is>
      </c>
      <c r="F869" s="46" t="inlineStr">
        <is>
          <t>양촌</t>
        </is>
      </c>
      <c r="G869" s="50" t="n"/>
      <c r="H869" s="51" t="n">
        <v>2536820</v>
      </c>
      <c r="I869" s="46" t="inlineStr">
        <is>
          <t>송낙명</t>
        </is>
      </c>
      <c r="K869" s="46" t="n">
        <v>868</v>
      </c>
      <c r="L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0">
      <c r="A870" s="229" t="n">
        <v>45740</v>
      </c>
      <c r="B870" s="46" t="inlineStr">
        <is>
          <t>메모</t>
        </is>
      </c>
      <c r="C870" s="46" t="inlineStr">
        <is>
          <t>부천지역</t>
        </is>
      </c>
      <c r="D870" s="46" t="inlineStr">
        <is>
          <t>우승택휴가</t>
        </is>
      </c>
      <c r="E870" s="46" t="n"/>
      <c r="F870" s="46" t="n"/>
      <c r="G870" s="50" t="n"/>
      <c r="H870" s="51" t="n"/>
      <c r="I870" s="46" t="n"/>
      <c r="K870" s="46" t="n">
        <v>869</v>
      </c>
      <c r="L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1">
      <c r="A871" s="229" t="n">
        <v>45740</v>
      </c>
      <c r="B871" s="46" t="inlineStr">
        <is>
          <t>메모</t>
        </is>
      </c>
      <c r="C871" s="46" t="inlineStr">
        <is>
          <t>부천지역</t>
        </is>
      </c>
      <c r="D871" s="46" t="inlineStr">
        <is>
          <t>한태희휴가</t>
        </is>
      </c>
      <c r="E871" s="46" t="n"/>
      <c r="F871" s="46" t="n"/>
      <c r="G871" s="50" t="n"/>
      <c r="H871" s="51" t="n"/>
      <c r="I871" s="46" t="n"/>
      <c r="K871" s="46" t="n">
        <v>870</v>
      </c>
      <c r="L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2">
      <c r="A872" s="229" t="n">
        <v>45740</v>
      </c>
      <c r="B872" s="46" t="inlineStr">
        <is>
          <t>메모</t>
        </is>
      </c>
      <c r="C872" s="46" t="inlineStr">
        <is>
          <t>부천지역</t>
        </is>
      </c>
      <c r="D872" s="46" t="inlineStr">
        <is>
          <t>이종석-민재홍</t>
        </is>
      </c>
      <c r="E872" s="46" t="n"/>
      <c r="F872" s="46" t="n"/>
      <c r="G872" s="50" t="n"/>
      <c r="H872" s="51" t="n"/>
      <c r="I872" s="46" t="n"/>
      <c r="K872" s="46" t="n">
        <v>871</v>
      </c>
      <c r="L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3">
      <c r="A873" s="229" t="n">
        <v>45740</v>
      </c>
      <c r="B873" s="46" t="inlineStr">
        <is>
          <t>메모</t>
        </is>
      </c>
      <c r="C873" s="46" t="inlineStr">
        <is>
          <t>김포지역</t>
        </is>
      </c>
      <c r="D873" s="46" t="inlineStr">
        <is>
          <t>이덕기 정성관</t>
        </is>
      </c>
      <c r="E873" s="46" t="n"/>
      <c r="F873" s="46" t="n"/>
      <c r="G873" s="50" t="n"/>
      <c r="H873" s="51" t="n"/>
      <c r="I873" s="46" t="n"/>
      <c r="K873" s="46" t="n">
        <v>872</v>
      </c>
      <c r="L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4">
      <c r="A874" s="229" t="n">
        <v>45741</v>
      </c>
      <c r="B874" s="46" t="inlineStr">
        <is>
          <t>정기검사</t>
        </is>
      </c>
      <c r="C874" s="46" t="inlineStr">
        <is>
          <t>부천지역</t>
        </is>
      </c>
      <c r="D874" s="46" t="inlineStr">
        <is>
          <t>정다음아파트</t>
        </is>
      </c>
      <c r="E874" s="46" t="inlineStr">
        <is>
          <t>200/77</t>
        </is>
      </c>
      <c r="F874" s="46" t="inlineStr">
        <is>
          <t>괴안동</t>
        </is>
      </c>
      <c r="G874" s="50" t="n">
        <v>0.4166666666666667</v>
      </c>
      <c r="H874" s="51" t="n">
        <v>616110</v>
      </c>
      <c r="I874" s="46" t="inlineStr">
        <is>
          <t>한태희</t>
        </is>
      </c>
      <c r="K874" s="46" t="n">
        <v>873</v>
      </c>
      <c r="L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5">
      <c r="A875" s="229" t="n">
        <v>45741</v>
      </c>
      <c r="B875" s="46" t="inlineStr">
        <is>
          <t>정기검사</t>
        </is>
      </c>
      <c r="C875" s="46" t="inlineStr">
        <is>
          <t>부천지역</t>
        </is>
      </c>
      <c r="D875" s="46" t="inlineStr">
        <is>
          <t>부천영상행복</t>
        </is>
      </c>
      <c r="E875" s="46" t="inlineStr">
        <is>
          <t>2600/1000</t>
        </is>
      </c>
      <c r="F875" s="46" t="inlineStr">
        <is>
          <t>상동</t>
        </is>
      </c>
      <c r="G875" s="50" t="n">
        <v>0.5625</v>
      </c>
      <c r="H875" s="51" t="n">
        <v>1501170</v>
      </c>
      <c r="I875" s="46" t="inlineStr">
        <is>
          <t>이종석</t>
        </is>
      </c>
      <c r="K875" s="46" t="n">
        <v>874</v>
      </c>
      <c r="L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6">
      <c r="A876" s="229" t="n">
        <v>45741</v>
      </c>
      <c r="B876" s="46" t="inlineStr">
        <is>
          <t>정기검사</t>
        </is>
      </c>
      <c r="C876" s="46" t="inlineStr">
        <is>
          <t>부천지역</t>
        </is>
      </c>
      <c r="D876" s="46" t="inlineStr">
        <is>
          <t>훼미리타운</t>
        </is>
      </c>
      <c r="E876" s="46" t="inlineStr">
        <is>
          <t>550/113</t>
        </is>
      </c>
      <c r="F876" s="46" t="inlineStr">
        <is>
          <t>상동</t>
        </is>
      </c>
      <c r="G876" s="50" t="n">
        <v>0.3958333333333333</v>
      </c>
      <c r="H876" s="51" t="n">
        <v>923890</v>
      </c>
      <c r="I876" s="46" t="inlineStr">
        <is>
          <t>우승택</t>
        </is>
      </c>
      <c r="K876" s="46" t="n">
        <v>875</v>
      </c>
      <c r="L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7">
      <c r="A877" s="229" t="n">
        <v>45741</v>
      </c>
      <c r="B877" s="46" t="inlineStr">
        <is>
          <t>정기검사</t>
        </is>
      </c>
      <c r="C877" s="46" t="inlineStr">
        <is>
          <t>부천지역</t>
        </is>
      </c>
      <c r="D877" s="46" t="inlineStr">
        <is>
          <t>에이티컴퍼니</t>
        </is>
      </c>
      <c r="E877" s="46" t="n">
        <v>290</v>
      </c>
      <c r="F877" s="46" t="inlineStr">
        <is>
          <t>도당동</t>
        </is>
      </c>
      <c r="G877" s="50" t="n">
        <v>0.5</v>
      </c>
      <c r="H877" s="51" t="n">
        <v>515130</v>
      </c>
      <c r="I877" s="46" t="inlineStr">
        <is>
          <t>한태희</t>
        </is>
      </c>
      <c r="K877" s="46" t="n">
        <v>876</v>
      </c>
      <c r="L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8">
      <c r="A878" s="229" t="n">
        <v>45741</v>
      </c>
      <c r="B878" s="46" t="inlineStr">
        <is>
          <t>정기검사</t>
        </is>
      </c>
      <c r="C878" s="46" t="inlineStr">
        <is>
          <t>김포지역</t>
        </is>
      </c>
      <c r="D878" s="46" t="inlineStr">
        <is>
          <t>대형화학</t>
        </is>
      </c>
      <c r="E878" s="46" t="n">
        <v>500</v>
      </c>
      <c r="F878" s="46" t="inlineStr">
        <is>
          <t>옹정리</t>
        </is>
      </c>
      <c r="G878" s="50" t="n">
        <v>0.4166666666666667</v>
      </c>
      <c r="H878" s="51" t="n">
        <v>737000</v>
      </c>
      <c r="I878" s="46" t="inlineStr">
        <is>
          <t>민경수</t>
        </is>
      </c>
      <c r="K878" s="46" t="n">
        <v>877</v>
      </c>
      <c r="L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9">
      <c r="A879" s="229" t="n">
        <v>45741</v>
      </c>
      <c r="B879" s="46" t="inlineStr">
        <is>
          <t>정기검사</t>
        </is>
      </c>
      <c r="C879" s="46" t="inlineStr">
        <is>
          <t>김포지역</t>
        </is>
      </c>
      <c r="D879" s="46" t="inlineStr">
        <is>
          <t>계림엠스퀘어</t>
        </is>
      </c>
      <c r="E879" s="46" t="inlineStr">
        <is>
          <t>1600/364</t>
        </is>
      </c>
      <c r="F879" s="46" t="inlineStr">
        <is>
          <t>구래동</t>
        </is>
      </c>
      <c r="G879" s="50" t="n">
        <v>0.2708333333333333</v>
      </c>
      <c r="H879" s="51" t="n">
        <v>1588840</v>
      </c>
      <c r="I879" s="46" t="inlineStr">
        <is>
          <t>김영권</t>
        </is>
      </c>
      <c r="K879" s="46" t="n">
        <v>878</v>
      </c>
      <c r="L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0">
      <c r="A880" s="229" t="n">
        <v>45741</v>
      </c>
      <c r="B880" s="46" t="inlineStr">
        <is>
          <t>정기검사</t>
        </is>
      </c>
      <c r="C880" s="46" t="inlineStr">
        <is>
          <t>김포지역</t>
        </is>
      </c>
      <c r="D880" s="46" t="inlineStr">
        <is>
          <t>지수철강</t>
        </is>
      </c>
      <c r="E880" s="46" t="n">
        <v>300</v>
      </c>
      <c r="F880" s="46" t="inlineStr">
        <is>
          <t>대벽리</t>
        </is>
      </c>
      <c r="G880" s="50" t="n">
        <v>0.5</v>
      </c>
      <c r="H880" s="51" t="n">
        <v>521730</v>
      </c>
      <c r="I880" s="46" t="inlineStr">
        <is>
          <t>허창수</t>
        </is>
      </c>
      <c r="K880" s="46" t="n">
        <v>879</v>
      </c>
      <c r="L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1">
      <c r="A881" s="229" t="n">
        <v>45741</v>
      </c>
      <c r="B881" s="46" t="inlineStr">
        <is>
          <t>정기검사</t>
        </is>
      </c>
      <c r="C881" s="46" t="inlineStr">
        <is>
          <t>김포지역</t>
        </is>
      </c>
      <c r="D881" s="46" t="inlineStr">
        <is>
          <t>태현성례용품</t>
        </is>
      </c>
      <c r="E881" s="46" t="n">
        <v>300</v>
      </c>
      <c r="F881" s="46" t="inlineStr">
        <is>
          <t>마곡리</t>
        </is>
      </c>
      <c r="G881" s="50" t="n">
        <v>0.5</v>
      </c>
      <c r="H881" s="51" t="n">
        <v>521730</v>
      </c>
      <c r="I881" s="46" t="inlineStr">
        <is>
          <t>민경수</t>
        </is>
      </c>
      <c r="K881" s="46" t="n">
        <v>880</v>
      </c>
      <c r="L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2">
      <c r="A882" s="229" t="n">
        <v>45741</v>
      </c>
      <c r="B882" s="46" t="inlineStr">
        <is>
          <t>정기검사</t>
        </is>
      </c>
      <c r="C882" s="46" t="inlineStr">
        <is>
          <t>김포지역</t>
        </is>
      </c>
      <c r="D882" s="46" t="inlineStr">
        <is>
          <t>세라본</t>
        </is>
      </c>
      <c r="E882" s="46" t="n">
        <v>150</v>
      </c>
      <c r="F882" s="46" t="inlineStr">
        <is>
          <t>가현리</t>
        </is>
      </c>
      <c r="G882" s="50" t="n">
        <v>0.3958333333333333</v>
      </c>
      <c r="H882" s="51" t="n">
        <v>424160</v>
      </c>
      <c r="I882" s="46" t="inlineStr">
        <is>
          <t>허창수</t>
        </is>
      </c>
      <c r="K882" s="46" t="n">
        <v>881</v>
      </c>
      <c r="L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3">
      <c r="A883" s="229" t="n">
        <v>45741</v>
      </c>
      <c r="B883" s="46" t="inlineStr">
        <is>
          <t>정기검사</t>
        </is>
      </c>
      <c r="C883" s="46" t="inlineStr">
        <is>
          <t>김포지역</t>
        </is>
      </c>
      <c r="D883" s="46" t="inlineStr">
        <is>
          <t>대신푸드밸리</t>
        </is>
      </c>
      <c r="E883" s="46" t="n">
        <v>100</v>
      </c>
      <c r="F883" s="46" t="inlineStr">
        <is>
          <t>향산리</t>
        </is>
      </c>
      <c r="G883" s="50" t="n">
        <v>0.4583333333333333</v>
      </c>
      <c r="H883" s="51" t="n">
        <v>391710</v>
      </c>
      <c r="I883" s="46" t="inlineStr">
        <is>
          <t>송낙명</t>
        </is>
      </c>
      <c r="K883" s="46" t="n">
        <v>882</v>
      </c>
      <c r="L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4">
      <c r="A884" s="229" t="n">
        <v>45741</v>
      </c>
      <c r="B884" s="46" t="inlineStr">
        <is>
          <t>정기검사</t>
        </is>
      </c>
      <c r="C884" s="46" t="inlineStr">
        <is>
          <t>김포지역</t>
        </is>
      </c>
      <c r="D884" s="46" t="inlineStr">
        <is>
          <t>신진네트윅스</t>
        </is>
      </c>
      <c r="E884" s="46" t="n">
        <v>990</v>
      </c>
      <c r="F884" s="46" t="inlineStr">
        <is>
          <t>구래리</t>
        </is>
      </c>
      <c r="G884" s="50" t="n">
        <v>0.3958333333333333</v>
      </c>
      <c r="H884" s="51" t="n">
        <v>902990</v>
      </c>
      <c r="I884" s="46" t="inlineStr">
        <is>
          <t>이덕기</t>
        </is>
      </c>
      <c r="K884" s="46" t="n">
        <v>883</v>
      </c>
      <c r="L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5">
      <c r="A885" s="229" t="n">
        <v>45741</v>
      </c>
      <c r="B885" s="46" t="inlineStr">
        <is>
          <t>정기검사</t>
        </is>
      </c>
      <c r="C885" s="46" t="inlineStr">
        <is>
          <t>김포지역</t>
        </is>
      </c>
      <c r="D885" s="46" t="inlineStr">
        <is>
          <t>농어민문화센터</t>
        </is>
      </c>
      <c r="E885" s="46" t="inlineStr">
        <is>
          <t>600/200</t>
        </is>
      </c>
      <c r="F885" s="46" t="inlineStr">
        <is>
          <t>마송리</t>
        </is>
      </c>
      <c r="G885" s="50" t="n">
        <v>0.5416666666666666</v>
      </c>
      <c r="H885" s="51" t="n">
        <v>966680</v>
      </c>
      <c r="I885" s="46" t="inlineStr">
        <is>
          <t>이덕기</t>
        </is>
      </c>
      <c r="K885" s="46" t="n">
        <v>884</v>
      </c>
      <c r="L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6">
      <c r="A886" s="229" t="n">
        <v>45741</v>
      </c>
      <c r="B886" s="46" t="inlineStr">
        <is>
          <t>정기검사</t>
        </is>
      </c>
      <c r="C886" s="46" t="inlineStr">
        <is>
          <t>김포지역</t>
        </is>
      </c>
      <c r="D886" s="46" t="inlineStr">
        <is>
          <t>건우기업-배부</t>
        </is>
      </c>
      <c r="E886" s="46" t="n">
        <v>290</v>
      </c>
      <c r="F886" s="46" t="inlineStr">
        <is>
          <t>거물대리</t>
        </is>
      </c>
      <c r="G886" s="50" t="n">
        <v>0.5</v>
      </c>
      <c r="H886" s="51" t="n">
        <v>515130</v>
      </c>
      <c r="I886" s="46" t="inlineStr">
        <is>
          <t>정성관</t>
        </is>
      </c>
      <c r="K886" s="46" t="n">
        <v>885</v>
      </c>
      <c r="L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7">
      <c r="A887" s="229" t="n">
        <v>45741</v>
      </c>
      <c r="B887" s="46" t="inlineStr">
        <is>
          <t>사용전검사</t>
        </is>
      </c>
      <c r="C887" s="46" t="inlineStr">
        <is>
          <t>부천지역</t>
        </is>
      </c>
      <c r="D887" s="46" t="inlineStr">
        <is>
          <t>두리</t>
        </is>
      </c>
      <c r="E887" s="46" t="n">
        <v>290</v>
      </c>
      <c r="F887" s="46" t="inlineStr">
        <is>
          <t>삼정동</t>
        </is>
      </c>
      <c r="G887" s="50" t="n"/>
      <c r="H887" s="51" t="n"/>
      <c r="I887" s="46" t="inlineStr">
        <is>
          <t>송낙명</t>
        </is>
      </c>
      <c r="K887" s="46" t="n">
        <v>886</v>
      </c>
      <c r="L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8">
      <c r="A888" s="229" t="n">
        <v>45741</v>
      </c>
      <c r="B888" s="46" t="inlineStr">
        <is>
          <t>메모</t>
        </is>
      </c>
      <c r="C888" s="46" t="inlineStr">
        <is>
          <t>부천지역</t>
        </is>
      </c>
      <c r="D888" s="46" t="inlineStr">
        <is>
          <t>서수형휴가</t>
        </is>
      </c>
      <c r="E888" s="46" t="n"/>
      <c r="F888" s="46" t="n"/>
      <c r="G888" s="50" t="n"/>
      <c r="H888" s="51" t="n"/>
      <c r="I888" s="46" t="n"/>
      <c r="K888" s="46" t="n">
        <v>887</v>
      </c>
      <c r="L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9">
      <c r="A889" s="229" t="n">
        <v>45741</v>
      </c>
      <c r="B889" s="46" t="inlineStr">
        <is>
          <t>메모</t>
        </is>
      </c>
      <c r="C889" s="46" t="inlineStr">
        <is>
          <t>부천지역</t>
        </is>
      </c>
      <c r="D889" s="46" t="inlineStr">
        <is>
          <t>정신배휴가</t>
        </is>
      </c>
      <c r="E889" s="46" t="n"/>
      <c r="F889" s="46" t="n"/>
      <c r="G889" s="50" t="n"/>
      <c r="H889" s="51" t="n"/>
      <c r="I889" s="46" t="n"/>
      <c r="K889" s="46" t="n">
        <v>888</v>
      </c>
      <c r="L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0">
      <c r="A890" s="229" t="n">
        <v>45741</v>
      </c>
      <c r="B890" s="46" t="inlineStr">
        <is>
          <t>사용전검사</t>
        </is>
      </c>
      <c r="C890" s="46" t="inlineStr">
        <is>
          <t>김포지역</t>
        </is>
      </c>
      <c r="D890" s="46" t="inlineStr">
        <is>
          <t>상보</t>
        </is>
      </c>
      <c r="E890" s="46" t="n">
        <v>499</v>
      </c>
      <c r="F890" s="46" t="inlineStr">
        <is>
          <t>원산리</t>
        </is>
      </c>
      <c r="G890" s="50" t="n"/>
      <c r="H890" s="51" t="n"/>
      <c r="I890" s="46" t="inlineStr">
        <is>
          <t>송두기</t>
        </is>
      </c>
      <c r="K890" s="46" t="n">
        <v>889</v>
      </c>
      <c r="L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1">
      <c r="A891" s="229" t="n">
        <v>45741</v>
      </c>
      <c r="B891" s="46" t="inlineStr">
        <is>
          <t>사용전검사</t>
        </is>
      </c>
      <c r="C891" s="46" t="inlineStr">
        <is>
          <t>김포지역</t>
        </is>
      </c>
      <c r="D891" s="46" t="inlineStr">
        <is>
          <t>우주자원</t>
        </is>
      </c>
      <c r="E891" s="46" t="n">
        <v>600</v>
      </c>
      <c r="F891" s="46" t="inlineStr">
        <is>
          <t>율생리</t>
        </is>
      </c>
      <c r="G891" s="50" t="n"/>
      <c r="H891" s="51" t="n"/>
      <c r="I891" s="46" t="inlineStr">
        <is>
          <t>정성관</t>
        </is>
      </c>
      <c r="K891" s="46" t="n">
        <v>890</v>
      </c>
      <c r="L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2">
      <c r="A892" s="229" t="n">
        <v>45741</v>
      </c>
      <c r="B892" s="46" t="inlineStr">
        <is>
          <t>사용전검사</t>
        </is>
      </c>
      <c r="C892" s="46" t="inlineStr">
        <is>
          <t>김포지역</t>
        </is>
      </c>
      <c r="D892" s="46" t="inlineStr">
        <is>
          <t>상진</t>
        </is>
      </c>
      <c r="E892" s="46" t="n">
        <v>499</v>
      </c>
      <c r="F892" s="46" t="inlineStr">
        <is>
          <t>쇄암리</t>
        </is>
      </c>
      <c r="G892" s="50" t="n"/>
      <c r="H892" s="51" t="n"/>
      <c r="I892" s="46" t="inlineStr">
        <is>
          <t>허창수</t>
        </is>
      </c>
      <c r="K892" s="46" t="n">
        <v>891</v>
      </c>
      <c r="L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3">
      <c r="A893" s="229" t="n">
        <v>45742</v>
      </c>
      <c r="B893" s="46" t="inlineStr">
        <is>
          <t>정기검사</t>
        </is>
      </c>
      <c r="C893" s="46" t="inlineStr">
        <is>
          <t>부천지역</t>
        </is>
      </c>
      <c r="D893" s="46" t="inlineStr">
        <is>
          <t>대호정밀</t>
        </is>
      </c>
      <c r="E893" s="46" t="n">
        <v>290</v>
      </c>
      <c r="F893" s="46" t="inlineStr">
        <is>
          <t>내동</t>
        </is>
      </c>
      <c r="G893" s="50" t="n">
        <v>0.4791666666666667</v>
      </c>
      <c r="H893" s="51" t="n">
        <v>515130</v>
      </c>
      <c r="I893" s="46" t="inlineStr">
        <is>
          <t>송두기</t>
        </is>
      </c>
      <c r="K893" s="46" t="n">
        <v>892</v>
      </c>
      <c r="L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4">
      <c r="A894" s="229" t="n">
        <v>45742</v>
      </c>
      <c r="B894" s="46" t="inlineStr">
        <is>
          <t>정기검사</t>
        </is>
      </c>
      <c r="C894" s="46" t="inlineStr">
        <is>
          <t>부천지역</t>
        </is>
      </c>
      <c r="D894" s="46" t="inlineStr">
        <is>
          <t>서해아파트</t>
        </is>
      </c>
      <c r="E894" s="46" t="inlineStr">
        <is>
          <t>2250/545</t>
        </is>
      </c>
      <c r="F894" s="46" t="inlineStr">
        <is>
          <t>상동</t>
        </is>
      </c>
      <c r="G894" s="50" t="n">
        <v>0.5833333333333334</v>
      </c>
      <c r="H894" s="51" t="n">
        <v>1364880</v>
      </c>
      <c r="I894" s="46" t="inlineStr">
        <is>
          <t>민경수</t>
        </is>
      </c>
      <c r="K894" s="46" t="n">
        <v>893</v>
      </c>
      <c r="L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5">
      <c r="A895" s="229" t="n">
        <v>45742</v>
      </c>
      <c r="B895" s="46" t="inlineStr">
        <is>
          <t>정기검사</t>
        </is>
      </c>
      <c r="C895" s="46" t="inlineStr">
        <is>
          <t>부천지역</t>
        </is>
      </c>
      <c r="D895" s="46" t="inlineStr">
        <is>
          <t>동성테크</t>
        </is>
      </c>
      <c r="E895" s="46" t="n">
        <v>290</v>
      </c>
      <c r="F895" s="46" t="inlineStr">
        <is>
          <t>도당동</t>
        </is>
      </c>
      <c r="G895" s="50" t="n">
        <v>0.5</v>
      </c>
      <c r="H895" s="51" t="n">
        <v>515130</v>
      </c>
      <c r="I895" s="46" t="inlineStr">
        <is>
          <t>우승택</t>
        </is>
      </c>
      <c r="K895" s="46" t="n">
        <v>894</v>
      </c>
      <c r="L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6">
      <c r="A896" s="229" t="n">
        <v>45742</v>
      </c>
      <c r="B896" s="46" t="inlineStr">
        <is>
          <t>정기검사</t>
        </is>
      </c>
      <c r="C896" s="46" t="inlineStr">
        <is>
          <t>부천지역</t>
        </is>
      </c>
      <c r="D896" s="46" t="inlineStr">
        <is>
          <t>역곡하이뷰</t>
        </is>
      </c>
      <c r="E896" s="46" t="inlineStr">
        <is>
          <t>2000/541</t>
        </is>
      </c>
      <c r="F896" s="46" t="inlineStr">
        <is>
          <t>역곡동</t>
        </is>
      </c>
      <c r="G896" s="50" t="n">
        <v>0.2916666666666667</v>
      </c>
      <c r="H896" s="51" t="n">
        <v>1725790</v>
      </c>
      <c r="I896" s="46" t="inlineStr">
        <is>
          <t>민재홍</t>
        </is>
      </c>
      <c r="K896" s="46" t="n">
        <v>895</v>
      </c>
      <c r="L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7">
      <c r="A897" s="229" t="n">
        <v>45742</v>
      </c>
      <c r="B897" s="46" t="inlineStr">
        <is>
          <t>정기검사</t>
        </is>
      </c>
      <c r="C897" s="46" t="inlineStr">
        <is>
          <t>부천지역</t>
        </is>
      </c>
      <c r="D897" s="46" t="inlineStr">
        <is>
          <t>하이팰리스</t>
        </is>
      </c>
      <c r="E897" s="46" t="inlineStr">
        <is>
          <t>G225</t>
        </is>
      </c>
      <c r="F897" s="46" t="inlineStr">
        <is>
          <t>심곡동</t>
        </is>
      </c>
      <c r="G897" s="50" t="n">
        <v>0.3958333333333333</v>
      </c>
      <c r="H897" s="51" t="n">
        <v>203170</v>
      </c>
      <c r="I897" s="46" t="inlineStr">
        <is>
          <t>송낙명</t>
        </is>
      </c>
      <c r="K897" s="46" t="n">
        <v>896</v>
      </c>
      <c r="L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8">
      <c r="A898" s="229" t="n">
        <v>45742</v>
      </c>
      <c r="B898" s="46" t="inlineStr">
        <is>
          <t>정기검사</t>
        </is>
      </c>
      <c r="C898" s="46" t="inlineStr">
        <is>
          <t>부천지역</t>
        </is>
      </c>
      <c r="D898" s="46" t="inlineStr">
        <is>
          <t>하이파킹</t>
        </is>
      </c>
      <c r="E898" s="46" t="inlineStr">
        <is>
          <t>650/260</t>
        </is>
      </c>
      <c r="F898" s="46" t="inlineStr">
        <is>
          <t>중동</t>
        </is>
      </c>
      <c r="G898" s="50" t="n">
        <v>0.3958333333333333</v>
      </c>
      <c r="H898" s="51" t="n">
        <v>1001330</v>
      </c>
      <c r="I898" s="46" t="inlineStr">
        <is>
          <t>우승택</t>
        </is>
      </c>
      <c r="K898" s="46" t="n">
        <v>897</v>
      </c>
      <c r="L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9">
      <c r="A899" s="229" t="n">
        <v>45742</v>
      </c>
      <c r="B899" s="46" t="inlineStr">
        <is>
          <t>정기검사</t>
        </is>
      </c>
      <c r="C899" s="46" t="inlineStr">
        <is>
          <t>부천지역</t>
        </is>
      </c>
      <c r="D899" s="46" t="inlineStr">
        <is>
          <t>태양금속</t>
        </is>
      </c>
      <c r="E899" s="46" t="n">
        <v>400</v>
      </c>
      <c r="F899" s="46" t="inlineStr">
        <is>
          <t>쇄암리</t>
        </is>
      </c>
      <c r="G899" s="50" t="n">
        <v>0.4791666666666667</v>
      </c>
      <c r="H899" s="51" t="n">
        <v>703120</v>
      </c>
      <c r="I899" s="46" t="inlineStr">
        <is>
          <t>김영권</t>
        </is>
      </c>
      <c r="K899" s="46" t="n">
        <v>898</v>
      </c>
      <c r="L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0">
      <c r="A900" s="229" t="n">
        <v>45742</v>
      </c>
      <c r="B900" s="46" t="inlineStr">
        <is>
          <t>정기검사</t>
        </is>
      </c>
      <c r="C900" s="46" t="inlineStr">
        <is>
          <t>김포지역</t>
        </is>
      </c>
      <c r="D900" s="46" t="inlineStr">
        <is>
          <t>가인이에스티</t>
        </is>
      </c>
      <c r="E900" s="46" t="n">
        <v>200</v>
      </c>
      <c r="F900" s="46" t="inlineStr">
        <is>
          <t>개곡리</t>
        </is>
      </c>
      <c r="G900" s="50" t="n">
        <v>0.4791666666666667</v>
      </c>
      <c r="H900" s="51" t="n">
        <v>456720</v>
      </c>
      <c r="I900" s="46" t="inlineStr">
        <is>
          <t>이덕기</t>
        </is>
      </c>
      <c r="K900" s="46" t="n">
        <v>899</v>
      </c>
      <c r="L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1">
      <c r="A901" s="229" t="n">
        <v>45742</v>
      </c>
      <c r="B901" s="46" t="inlineStr">
        <is>
          <t>정기검사</t>
        </is>
      </c>
      <c r="C901" s="46" t="inlineStr">
        <is>
          <t>김포지역</t>
        </is>
      </c>
      <c r="D901" s="46" t="inlineStr">
        <is>
          <t>이지더원아파트</t>
        </is>
      </c>
      <c r="E901" s="46" t="inlineStr">
        <is>
          <t>950/291</t>
        </is>
      </c>
      <c r="F901" s="46" t="inlineStr">
        <is>
          <t>구래동</t>
        </is>
      </c>
      <c r="G901" s="50" t="n">
        <v>0.4166666666666667</v>
      </c>
      <c r="H901" s="51" t="n">
        <v>1112100</v>
      </c>
      <c r="I901" s="46" t="inlineStr">
        <is>
          <t>정성관</t>
        </is>
      </c>
      <c r="K901" s="46" t="n">
        <v>900</v>
      </c>
      <c r="L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2">
      <c r="A902" s="229" t="n">
        <v>45742</v>
      </c>
      <c r="B902" s="46" t="inlineStr">
        <is>
          <t>정기검사</t>
        </is>
      </c>
      <c r="C902" s="46" t="inlineStr">
        <is>
          <t>김포지역</t>
        </is>
      </c>
      <c r="D902" s="46" t="inlineStr">
        <is>
          <t>반도유보라</t>
        </is>
      </c>
      <c r="E902" s="46" t="inlineStr">
        <is>
          <t>2418/364</t>
        </is>
      </c>
      <c r="F902" s="46" t="inlineStr">
        <is>
          <t>구래동</t>
        </is>
      </c>
      <c r="G902" s="50" t="n">
        <v>0.3958333333333333</v>
      </c>
      <c r="H902" s="51" t="n">
        <v>1513490</v>
      </c>
      <c r="I902" s="46" t="inlineStr">
        <is>
          <t>허창수</t>
        </is>
      </c>
      <c r="K902" s="46" t="n">
        <v>901</v>
      </c>
      <c r="L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3">
      <c r="A903" s="229" t="n">
        <v>45742</v>
      </c>
      <c r="B903" s="46" t="inlineStr">
        <is>
          <t>정기검사</t>
        </is>
      </c>
      <c r="C903" s="46" t="inlineStr">
        <is>
          <t>김포지역</t>
        </is>
      </c>
      <c r="D903" s="46" t="inlineStr">
        <is>
          <t>명진비앤에스</t>
        </is>
      </c>
      <c r="E903" s="46" t="inlineStr">
        <is>
          <t>950/364</t>
        </is>
      </c>
      <c r="F903" s="46" t="inlineStr">
        <is>
          <t>풍무동</t>
        </is>
      </c>
      <c r="G903" s="50" t="n">
        <v>0.6041666666666666</v>
      </c>
      <c r="H903" s="51" t="n">
        <v>1117380</v>
      </c>
      <c r="I903" s="46" t="inlineStr">
        <is>
          <t>이덕기</t>
        </is>
      </c>
      <c r="K903" s="46" t="n">
        <v>902</v>
      </c>
      <c r="L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4">
      <c r="A904" s="229" t="n">
        <v>45742</v>
      </c>
      <c r="B904" s="46" t="inlineStr">
        <is>
          <t>정기검사</t>
        </is>
      </c>
      <c r="C904" s="46" t="inlineStr">
        <is>
          <t>김포지역</t>
        </is>
      </c>
      <c r="D904" s="46" t="inlineStr">
        <is>
          <t>구래역</t>
        </is>
      </c>
      <c r="E904" s="46" t="n">
        <v>1690</v>
      </c>
      <c r="F904" s="46" t="inlineStr">
        <is>
          <t>구래동</t>
        </is>
      </c>
      <c r="G904" s="50" t="n"/>
      <c r="H904" s="51" t="n">
        <v>1365100</v>
      </c>
      <c r="I904" s="46" t="inlineStr">
        <is>
          <t>이종석</t>
        </is>
      </c>
      <c r="K904" s="46" t="n">
        <v>903</v>
      </c>
      <c r="L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5">
      <c r="A905" s="229" t="n">
        <v>45742</v>
      </c>
      <c r="B905" s="46" t="inlineStr">
        <is>
          <t>정기검사</t>
        </is>
      </c>
      <c r="C905" s="46" t="inlineStr">
        <is>
          <t>김포지역</t>
        </is>
      </c>
      <c r="D905" s="46" t="inlineStr">
        <is>
          <t>비상대피로</t>
        </is>
      </c>
      <c r="E905" s="46" t="n">
        <v>250</v>
      </c>
      <c r="F905" s="46" t="inlineStr">
        <is>
          <t>마산동</t>
        </is>
      </c>
      <c r="G905" s="50" t="n"/>
      <c r="H905" s="51" t="n">
        <v>691460</v>
      </c>
      <c r="I905" s="46" t="inlineStr">
        <is>
          <t>한태희</t>
        </is>
      </c>
      <c r="K905" s="46" t="n">
        <v>904</v>
      </c>
      <c r="L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6">
      <c r="A906" s="229" t="n">
        <v>45742</v>
      </c>
      <c r="B906" s="46" t="inlineStr">
        <is>
          <t>정기검사</t>
        </is>
      </c>
      <c r="C906" s="46" t="inlineStr">
        <is>
          <t>김포지역</t>
        </is>
      </c>
      <c r="D906" s="46" t="inlineStr">
        <is>
          <t>샐빛마을</t>
        </is>
      </c>
      <c r="E906" s="46" t="n">
        <v>3</v>
      </c>
      <c r="F906" s="46" t="inlineStr">
        <is>
          <t>대벽리</t>
        </is>
      </c>
      <c r="G906" s="50" t="inlineStr">
        <is>
          <t>배부함</t>
        </is>
      </c>
      <c r="H906" s="51" t="n">
        <v>89210</v>
      </c>
      <c r="I906" s="46" t="inlineStr">
        <is>
          <t>정신배</t>
        </is>
      </c>
      <c r="K906" s="46" t="n">
        <v>905</v>
      </c>
      <c r="L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7">
      <c r="A907" s="229" t="n">
        <v>45742</v>
      </c>
      <c r="B907" s="46" t="inlineStr">
        <is>
          <t>정기검사</t>
        </is>
      </c>
      <c r="C907" s="46" t="inlineStr">
        <is>
          <t>김포지역</t>
        </is>
      </c>
      <c r="D907" s="46" t="inlineStr">
        <is>
          <t>샐빛마을</t>
        </is>
      </c>
      <c r="E907" s="46" t="n">
        <v>4</v>
      </c>
      <c r="F907" s="46" t="inlineStr">
        <is>
          <t>대벽리</t>
        </is>
      </c>
      <c r="G907" s="50" t="inlineStr">
        <is>
          <t>배부함</t>
        </is>
      </c>
      <c r="H907" s="51" t="n">
        <v>89210</v>
      </c>
      <c r="I907" s="46" t="inlineStr">
        <is>
          <t>정신배</t>
        </is>
      </c>
      <c r="K907" s="46" t="n">
        <v>906</v>
      </c>
      <c r="L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8">
      <c r="A908" s="229" t="n">
        <v>45742</v>
      </c>
      <c r="B908" s="46" t="inlineStr">
        <is>
          <t>정기검사</t>
        </is>
      </c>
      <c r="C908" s="46" t="inlineStr">
        <is>
          <t>김포지역</t>
        </is>
      </c>
      <c r="D908" s="46" t="inlineStr">
        <is>
          <t>샐빛마을</t>
        </is>
      </c>
      <c r="E908" s="46" t="n">
        <v>5</v>
      </c>
      <c r="F908" s="46" t="inlineStr">
        <is>
          <t>대벽리</t>
        </is>
      </c>
      <c r="G908" s="50" t="inlineStr">
        <is>
          <t>배부함</t>
        </is>
      </c>
      <c r="H908" s="51" t="n">
        <v>89870</v>
      </c>
      <c r="I908" s="46" t="inlineStr">
        <is>
          <t>정신배</t>
        </is>
      </c>
      <c r="K908" s="46" t="n">
        <v>907</v>
      </c>
      <c r="L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9">
      <c r="A909" s="229" t="n">
        <v>45742</v>
      </c>
      <c r="B909" s="46" t="inlineStr">
        <is>
          <t>정기검사</t>
        </is>
      </c>
      <c r="C909" s="46" t="inlineStr">
        <is>
          <t>김포지역</t>
        </is>
      </c>
      <c r="D909" s="46" t="inlineStr">
        <is>
          <t>박상태</t>
        </is>
      </c>
      <c r="E909" s="46" t="n">
        <v>38</v>
      </c>
      <c r="F909" s="46" t="inlineStr">
        <is>
          <t>대벽리</t>
        </is>
      </c>
      <c r="G909" s="50" t="inlineStr">
        <is>
          <t>배부함</t>
        </is>
      </c>
      <c r="H909" s="51" t="n">
        <v>190630</v>
      </c>
      <c r="I909" s="46" t="inlineStr">
        <is>
          <t>정신배</t>
        </is>
      </c>
      <c r="K909" s="46" t="n">
        <v>908</v>
      </c>
      <c r="L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0">
      <c r="A910" s="229" t="n">
        <v>45742</v>
      </c>
      <c r="B910" s="46" t="inlineStr">
        <is>
          <t>사용전검사</t>
        </is>
      </c>
      <c r="C910" s="46" t="inlineStr">
        <is>
          <t>부천지역</t>
        </is>
      </c>
      <c r="D910" s="46" t="inlineStr">
        <is>
          <t>남광토건</t>
        </is>
      </c>
      <c r="E910" s="46" t="n">
        <v>800</v>
      </c>
      <c r="F910" s="46" t="inlineStr">
        <is>
          <t>대장동</t>
        </is>
      </c>
      <c r="G910" s="50" t="n"/>
      <c r="H910" s="51" t="n"/>
      <c r="I910" s="46" t="inlineStr">
        <is>
          <t>송두기</t>
        </is>
      </c>
      <c r="K910" s="46" t="n">
        <v>909</v>
      </c>
      <c r="L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1">
      <c r="A911" s="229" t="n">
        <v>45742</v>
      </c>
      <c r="B911" s="46" t="inlineStr">
        <is>
          <t>메모</t>
        </is>
      </c>
      <c r="C911" s="46" t="inlineStr">
        <is>
          <t>부천지역</t>
        </is>
      </c>
      <c r="D911" s="46" t="inlineStr">
        <is>
          <t>서수형휴가</t>
        </is>
      </c>
      <c r="E911" s="46" t="n"/>
      <c r="F911" s="46" t="n"/>
      <c r="G911" s="50" t="n"/>
      <c r="H911" s="51" t="n"/>
      <c r="I911" s="46" t="n"/>
      <c r="K911" s="46" t="n">
        <v>910</v>
      </c>
      <c r="L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2">
      <c r="A912" s="229" t="n">
        <v>45743</v>
      </c>
      <c r="B912" s="46" t="inlineStr">
        <is>
          <t>정기검사</t>
        </is>
      </c>
      <c r="C912" s="46" t="inlineStr">
        <is>
          <t>부천지역</t>
        </is>
      </c>
      <c r="D912" s="46" t="inlineStr">
        <is>
          <t>성신모텍</t>
        </is>
      </c>
      <c r="E912" s="46" t="n">
        <v>400</v>
      </c>
      <c r="F912" s="46" t="inlineStr">
        <is>
          <t>삼정동</t>
        </is>
      </c>
      <c r="G912" s="50" t="n">
        <v>0.5138888888888888</v>
      </c>
      <c r="H912" s="51" t="n">
        <v>703120</v>
      </c>
      <c r="I912" s="46" t="inlineStr">
        <is>
          <t>정성관</t>
        </is>
      </c>
      <c r="K912" s="46" t="n">
        <v>911</v>
      </c>
      <c r="L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3">
      <c r="A913" s="229" t="n">
        <v>45743</v>
      </c>
      <c r="B913" s="46" t="inlineStr">
        <is>
          <t>정기검사</t>
        </is>
      </c>
      <c r="C913" s="46" t="inlineStr">
        <is>
          <t>부천지역</t>
        </is>
      </c>
      <c r="D913" s="46" t="inlineStr">
        <is>
          <t>알팥테크</t>
        </is>
      </c>
      <c r="E913" s="46" t="n">
        <v>290</v>
      </c>
      <c r="F913" s="46" t="inlineStr">
        <is>
          <t>내동</t>
        </is>
      </c>
      <c r="G913" s="50" t="n">
        <v>0.5</v>
      </c>
      <c r="H913" s="51" t="n">
        <v>515130</v>
      </c>
      <c r="I913" s="46" t="inlineStr">
        <is>
          <t>송낙명</t>
        </is>
      </c>
      <c r="K913" s="46" t="n">
        <v>912</v>
      </c>
      <c r="L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4">
      <c r="A914" s="229" t="n">
        <v>45743</v>
      </c>
      <c r="B914" s="46" t="inlineStr">
        <is>
          <t>정기검사</t>
        </is>
      </c>
      <c r="C914" s="46" t="inlineStr">
        <is>
          <t>부천지역</t>
        </is>
      </c>
      <c r="D914" s="46" t="inlineStr">
        <is>
          <t>보경산업</t>
        </is>
      </c>
      <c r="E914" s="46" t="n">
        <v>950</v>
      </c>
      <c r="F914" s="46" t="inlineStr">
        <is>
          <t>도당동</t>
        </is>
      </c>
      <c r="G914" s="50" t="n">
        <v>0.5833333333333334</v>
      </c>
      <c r="H914" s="51" t="n">
        <v>889460</v>
      </c>
      <c r="I914" s="46" t="inlineStr">
        <is>
          <t>정성관</t>
        </is>
      </c>
      <c r="K914" s="46" t="n">
        <v>913</v>
      </c>
      <c r="L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5">
      <c r="A915" s="229" t="n">
        <v>45743</v>
      </c>
      <c r="B915" s="46" t="inlineStr">
        <is>
          <t>정기검사</t>
        </is>
      </c>
      <c r="C915" s="46" t="inlineStr">
        <is>
          <t>부천지역</t>
        </is>
      </c>
      <c r="D915" s="46" t="inlineStr">
        <is>
          <t>극광전자</t>
        </is>
      </c>
      <c r="E915" s="46" t="n">
        <v>250</v>
      </c>
      <c r="F915" s="46" t="inlineStr">
        <is>
          <t>원미동</t>
        </is>
      </c>
      <c r="G915" s="50" t="n">
        <v>0.4791666666666667</v>
      </c>
      <c r="H915" s="51" t="n">
        <v>489170</v>
      </c>
      <c r="I915" s="46" t="inlineStr">
        <is>
          <t>이덕기</t>
        </is>
      </c>
      <c r="K915" s="46" t="n">
        <v>914</v>
      </c>
      <c r="L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6">
      <c r="A916" s="229" t="n">
        <v>45743</v>
      </c>
      <c r="B916" s="46" t="inlineStr">
        <is>
          <t>정기검사</t>
        </is>
      </c>
      <c r="C916" s="46" t="inlineStr">
        <is>
          <t>부천지역</t>
        </is>
      </c>
      <c r="D916" s="46" t="inlineStr">
        <is>
          <t>동하정밀</t>
        </is>
      </c>
      <c r="E916" s="46" t="n">
        <v>990</v>
      </c>
      <c r="F916" s="46" t="inlineStr">
        <is>
          <t>삼정동</t>
        </is>
      </c>
      <c r="G916" s="50" t="n">
        <v>0.5</v>
      </c>
      <c r="H916" s="51" t="n">
        <v>902990</v>
      </c>
      <c r="I916" s="46" t="inlineStr">
        <is>
          <t>송낙명</t>
        </is>
      </c>
      <c r="K916" s="46" t="n">
        <v>915</v>
      </c>
      <c r="L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7">
      <c r="A917" s="229" t="n">
        <v>45743</v>
      </c>
      <c r="B917" s="46" t="inlineStr">
        <is>
          <t>정기검사</t>
        </is>
      </c>
      <c r="C917" s="46" t="inlineStr">
        <is>
          <t>부천지역</t>
        </is>
      </c>
      <c r="D917" s="46" t="inlineStr">
        <is>
          <t>동하글로벌</t>
        </is>
      </c>
      <c r="E917" s="46" t="n">
        <v>500</v>
      </c>
      <c r="F917" s="46" t="inlineStr">
        <is>
          <t>삼정동</t>
        </is>
      </c>
      <c r="G917" s="50" t="n">
        <v>0.5</v>
      </c>
      <c r="H917" s="51" t="n">
        <v>737000</v>
      </c>
      <c r="I917" s="46" t="inlineStr">
        <is>
          <t>송낙명</t>
        </is>
      </c>
      <c r="K917" s="46" t="n">
        <v>916</v>
      </c>
      <c r="L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8">
      <c r="A918" s="229" t="n">
        <v>45743</v>
      </c>
      <c r="B918" s="46" t="inlineStr">
        <is>
          <t>정기검사</t>
        </is>
      </c>
      <c r="C918" s="46" t="inlineStr">
        <is>
          <t>김포지역</t>
        </is>
      </c>
      <c r="D918" s="46" t="inlineStr">
        <is>
          <t>다우몰딩</t>
        </is>
      </c>
      <c r="E918" s="46" t="n">
        <v>150</v>
      </c>
      <c r="F918" s="46" t="inlineStr">
        <is>
          <t>가현리</t>
        </is>
      </c>
      <c r="G918" s="50" t="n">
        <v>0.4583333333333333</v>
      </c>
      <c r="H918" s="51" t="n">
        <v>424160</v>
      </c>
      <c r="I918" s="46" t="inlineStr">
        <is>
          <t>우승택</t>
        </is>
      </c>
      <c r="K918" s="46" t="n">
        <v>917</v>
      </c>
      <c r="L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9">
      <c r="A919" s="229" t="n">
        <v>45743</v>
      </c>
      <c r="B919" s="46" t="inlineStr">
        <is>
          <t>정기검사</t>
        </is>
      </c>
      <c r="C919" s="46" t="inlineStr">
        <is>
          <t>김포지역</t>
        </is>
      </c>
      <c r="D919" s="46" t="inlineStr">
        <is>
          <t>태성특수금속</t>
        </is>
      </c>
      <c r="E919" s="46" t="n">
        <v>600</v>
      </c>
      <c r="F919" s="46" t="inlineStr">
        <is>
          <t>쇄암리</t>
        </is>
      </c>
      <c r="G919" s="50" t="n">
        <v>0.4791666666666667</v>
      </c>
      <c r="H919" s="51" t="n">
        <v>770880</v>
      </c>
      <c r="I919" s="46" t="inlineStr">
        <is>
          <t>김영권</t>
        </is>
      </c>
      <c r="K919" s="46" t="n">
        <v>918</v>
      </c>
      <c r="L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0">
      <c r="A920" s="229" t="n">
        <v>45743</v>
      </c>
      <c r="B920" s="46" t="inlineStr">
        <is>
          <t>정기검사</t>
        </is>
      </c>
      <c r="C920" s="46" t="inlineStr">
        <is>
          <t>김포지역</t>
        </is>
      </c>
      <c r="D920" s="46" t="inlineStr">
        <is>
          <t>대명화학</t>
        </is>
      </c>
      <c r="E920" s="46" t="n">
        <v>500</v>
      </c>
      <c r="F920" s="46" t="inlineStr">
        <is>
          <t>귀전리</t>
        </is>
      </c>
      <c r="G920" s="50" t="n">
        <v>0.4375</v>
      </c>
      <c r="H920" s="51" t="n">
        <v>737000</v>
      </c>
      <c r="I920" s="46" t="inlineStr">
        <is>
          <t>이종석</t>
        </is>
      </c>
      <c r="K920" s="46" t="n">
        <v>919</v>
      </c>
      <c r="L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1">
      <c r="A921" s="229" t="n">
        <v>45743</v>
      </c>
      <c r="B921" s="46" t="inlineStr">
        <is>
          <t>정기검사</t>
        </is>
      </c>
      <c r="C921" s="46" t="inlineStr">
        <is>
          <t>김포지역</t>
        </is>
      </c>
      <c r="D921" s="46" t="inlineStr">
        <is>
          <t>케이비컴퍼니</t>
        </is>
      </c>
      <c r="E921" s="46" t="n">
        <v>200</v>
      </c>
      <c r="F921" s="46" t="inlineStr">
        <is>
          <t>고양리</t>
        </is>
      </c>
      <c r="G921" s="50" t="n">
        <v>0.5208333333333334</v>
      </c>
      <c r="H921" s="51" t="n">
        <v>456720</v>
      </c>
      <c r="I921" s="46" t="inlineStr">
        <is>
          <t>한태희</t>
        </is>
      </c>
      <c r="K921" s="46" t="n">
        <v>920</v>
      </c>
      <c r="L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2">
      <c r="A922" s="229" t="n">
        <v>45743</v>
      </c>
      <c r="B922" s="46" t="inlineStr">
        <is>
          <t>정기검사</t>
        </is>
      </c>
      <c r="C922" s="46" t="inlineStr">
        <is>
          <t>김포지역</t>
        </is>
      </c>
      <c r="D922" s="46" t="inlineStr">
        <is>
          <t>삼보메탈</t>
        </is>
      </c>
      <c r="E922" s="46" t="n">
        <v>700</v>
      </c>
      <c r="F922" s="46" t="inlineStr">
        <is>
          <t>고양리</t>
        </is>
      </c>
      <c r="G922" s="50" t="n">
        <v>0.5</v>
      </c>
      <c r="H922" s="51" t="n">
        <v>748770</v>
      </c>
      <c r="I922" s="46" t="inlineStr">
        <is>
          <t>민재홍</t>
        </is>
      </c>
      <c r="K922" s="46" t="n">
        <v>921</v>
      </c>
      <c r="L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3">
      <c r="A923" s="229" t="n">
        <v>45743</v>
      </c>
      <c r="B923" s="46" t="inlineStr">
        <is>
          <t>정기검사</t>
        </is>
      </c>
      <c r="C923" s="46" t="inlineStr">
        <is>
          <t>김포지역</t>
        </is>
      </c>
      <c r="D923" s="46" t="inlineStr">
        <is>
          <t>향산2펌프장</t>
        </is>
      </c>
      <c r="E923" s="46" t="n">
        <v>7900</v>
      </c>
      <c r="F923" s="46" t="inlineStr">
        <is>
          <t>향산리</t>
        </is>
      </c>
      <c r="G923" s="50" t="n"/>
      <c r="H923" s="51" t="n">
        <v>1697080</v>
      </c>
      <c r="I923" s="46" t="inlineStr">
        <is>
          <t>김영권</t>
        </is>
      </c>
      <c r="K923" s="46" t="n">
        <v>922</v>
      </c>
      <c r="L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4">
      <c r="A924" s="229" t="n">
        <v>45743</v>
      </c>
      <c r="B924" s="46" t="inlineStr">
        <is>
          <t>정기검사</t>
        </is>
      </c>
      <c r="C924" s="46" t="inlineStr">
        <is>
          <t>김포지역</t>
        </is>
      </c>
      <c r="D924" s="46" t="inlineStr">
        <is>
          <t>걸포펌프장</t>
        </is>
      </c>
      <c r="E924" s="46" t="n">
        <v>1800</v>
      </c>
      <c r="F924" s="46" t="inlineStr">
        <is>
          <t>걸포동</t>
        </is>
      </c>
      <c r="G924" s="50" t="n"/>
      <c r="H924" s="51" t="n">
        <v>1078990</v>
      </c>
      <c r="I924" s="46" t="inlineStr">
        <is>
          <t>허창수</t>
        </is>
      </c>
      <c r="K924" s="46" t="n">
        <v>923</v>
      </c>
      <c r="L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5">
      <c r="A925" s="229" t="n">
        <v>45743</v>
      </c>
      <c r="B925" s="46" t="inlineStr">
        <is>
          <t>정기검사</t>
        </is>
      </c>
      <c r="C925" s="46" t="inlineStr">
        <is>
          <t>김포지역</t>
        </is>
      </c>
      <c r="D925" s="46" t="inlineStr">
        <is>
          <t>봉성1</t>
        </is>
      </c>
      <c r="E925" s="46" t="n">
        <v>1000</v>
      </c>
      <c r="F925" s="46" t="inlineStr">
        <is>
          <t>누산리</t>
        </is>
      </c>
      <c r="G925" s="50" t="n"/>
      <c r="H925" s="51" t="n">
        <v>961950</v>
      </c>
      <c r="I925" s="46" t="inlineStr">
        <is>
          <t>민경수</t>
        </is>
      </c>
      <c r="K925" s="46" t="n">
        <v>924</v>
      </c>
      <c r="L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6">
      <c r="A926" s="229" t="n">
        <v>45743</v>
      </c>
      <c r="B926" s="46" t="inlineStr">
        <is>
          <t>정기검사</t>
        </is>
      </c>
      <c r="C926" s="46" t="inlineStr">
        <is>
          <t>김포지역</t>
        </is>
      </c>
      <c r="D926" s="46" t="inlineStr">
        <is>
          <t>봉성3</t>
        </is>
      </c>
      <c r="E926" s="46" t="n"/>
      <c r="F926" s="46" t="n"/>
      <c r="G926" s="50" t="n"/>
      <c r="H926" s="51" t="n">
        <v>2483000</v>
      </c>
      <c r="I926" s="46" t="inlineStr">
        <is>
          <t>정신배</t>
        </is>
      </c>
      <c r="K926" s="46" t="n">
        <v>925</v>
      </c>
      <c r="L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7">
      <c r="A927" s="229" t="n">
        <v>45743</v>
      </c>
      <c r="B927" s="46" t="inlineStr">
        <is>
          <t>사용전검사</t>
        </is>
      </c>
      <c r="C927" s="46" t="inlineStr">
        <is>
          <t>부천지역</t>
        </is>
      </c>
      <c r="D927" s="46" t="inlineStr">
        <is>
          <t>부천물류</t>
        </is>
      </c>
      <c r="E927" s="46" t="inlineStr">
        <is>
          <t>부분</t>
        </is>
      </c>
      <c r="F927" s="46" t="n"/>
      <c r="G927" s="50" t="n"/>
      <c r="H927" s="51" t="n"/>
      <c r="I927" s="46" t="inlineStr">
        <is>
          <t>민경수</t>
        </is>
      </c>
      <c r="K927" s="46" t="n">
        <v>926</v>
      </c>
      <c r="L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8">
      <c r="A928" s="229" t="n">
        <v>45743</v>
      </c>
      <c r="B928" s="46" t="inlineStr">
        <is>
          <t>메모</t>
        </is>
      </c>
      <c r="C928" s="46" t="inlineStr">
        <is>
          <t>부천지역</t>
        </is>
      </c>
      <c r="D928" s="46" t="inlineStr">
        <is>
          <t>정신배-민경수</t>
        </is>
      </c>
      <c r="E928" s="46" t="n"/>
      <c r="F928" s="46" t="n"/>
      <c r="G928" s="50" t="n"/>
      <c r="H928" s="51" t="n"/>
      <c r="I928" s="46" t="n"/>
      <c r="K928" s="46" t="n">
        <v>927</v>
      </c>
      <c r="L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9">
      <c r="A929" s="229" t="n">
        <v>45743</v>
      </c>
      <c r="B929" s="46" t="inlineStr">
        <is>
          <t>메모</t>
        </is>
      </c>
      <c r="C929" s="46" t="inlineStr">
        <is>
          <t>부천지역</t>
        </is>
      </c>
      <c r="D929" s="46" t="inlineStr">
        <is>
          <t>송두기휴가</t>
        </is>
      </c>
      <c r="E929" s="46" t="n"/>
      <c r="F929" s="46" t="n"/>
      <c r="G929" s="50" t="n"/>
      <c r="H929" s="51" t="n"/>
      <c r="I929" s="46" t="n"/>
      <c r="K929" s="46" t="n">
        <v>928</v>
      </c>
      <c r="L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0">
      <c r="A930" s="229" t="n">
        <v>45743</v>
      </c>
      <c r="B930" s="46" t="inlineStr">
        <is>
          <t>메모</t>
        </is>
      </c>
      <c r="C930" s="46" t="inlineStr">
        <is>
          <t>부천지역</t>
        </is>
      </c>
      <c r="D930" s="46" t="inlineStr">
        <is>
          <t>서수형휴가</t>
        </is>
      </c>
      <c r="E930" s="46" t="n"/>
      <c r="F930" s="46" t="n"/>
      <c r="G930" s="50" t="n"/>
      <c r="H930" s="51" t="n"/>
      <c r="I930" s="46" t="n"/>
      <c r="K930" s="46" t="n">
        <v>929</v>
      </c>
      <c r="L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1">
      <c r="A931" s="229" t="n">
        <v>45743</v>
      </c>
      <c r="B931" s="46" t="inlineStr">
        <is>
          <t>사용전검사</t>
        </is>
      </c>
      <c r="C931" s="46" t="inlineStr">
        <is>
          <t>김포지역</t>
        </is>
      </c>
      <c r="D931" s="46" t="inlineStr">
        <is>
          <t>한전남서울</t>
        </is>
      </c>
      <c r="E931" s="46" t="n">
        <v>400</v>
      </c>
      <c r="F931" s="46" t="inlineStr">
        <is>
          <t>마송리</t>
        </is>
      </c>
      <c r="G931" s="50" t="n"/>
      <c r="H931" s="51" t="n"/>
      <c r="I931" s="46" t="inlineStr">
        <is>
          <t>허창수</t>
        </is>
      </c>
      <c r="K931" s="46" t="n">
        <v>930</v>
      </c>
      <c r="L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2">
      <c r="A932" s="229" t="n">
        <v>45744</v>
      </c>
      <c r="B932" s="46" t="inlineStr">
        <is>
          <t>정기검사</t>
        </is>
      </c>
      <c r="C932" s="46" t="inlineStr">
        <is>
          <t>부천지역</t>
        </is>
      </c>
      <c r="D932" s="46" t="inlineStr">
        <is>
          <t>세진실업</t>
        </is>
      </c>
      <c r="E932" s="46" t="n">
        <v>290</v>
      </c>
      <c r="F932" s="46" t="inlineStr">
        <is>
          <t>내동</t>
        </is>
      </c>
      <c r="G932" s="50" t="n">
        <v>0.4166666666666667</v>
      </c>
      <c r="H932" s="51" t="n">
        <v>669790</v>
      </c>
      <c r="I932" s="46" t="inlineStr">
        <is>
          <t>김영권</t>
        </is>
      </c>
      <c r="K932" s="46" t="n">
        <v>931</v>
      </c>
      <c r="L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3">
      <c r="A933" s="229" t="n">
        <v>45744</v>
      </c>
      <c r="B933" s="46" t="inlineStr">
        <is>
          <t>정기검사</t>
        </is>
      </c>
      <c r="C933" s="46" t="inlineStr">
        <is>
          <t>부천지역</t>
        </is>
      </c>
      <c r="D933" s="46" t="inlineStr">
        <is>
          <t>한국산업은행</t>
        </is>
      </c>
      <c r="E933" s="46" t="n"/>
      <c r="F933" s="46" t="inlineStr">
        <is>
          <t>상동</t>
        </is>
      </c>
      <c r="G933" s="50" t="n">
        <v>0.4583333333333333</v>
      </c>
      <c r="H933" s="51" t="n">
        <v>1120020</v>
      </c>
      <c r="I933" s="46" t="inlineStr">
        <is>
          <t>송두기</t>
        </is>
      </c>
      <c r="K933" s="46" t="n">
        <v>932</v>
      </c>
      <c r="L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4">
      <c r="A934" s="229" t="n">
        <v>45744</v>
      </c>
      <c r="B934" s="46" t="inlineStr">
        <is>
          <t>정기검사</t>
        </is>
      </c>
      <c r="C934" s="46" t="inlineStr">
        <is>
          <t>부천지역</t>
        </is>
      </c>
      <c r="D934" s="46" t="inlineStr">
        <is>
          <t>소사구청</t>
        </is>
      </c>
      <c r="E934" s="46" t="inlineStr">
        <is>
          <t>1200/400</t>
        </is>
      </c>
      <c r="F934" s="46" t="inlineStr">
        <is>
          <t>소사본동</t>
        </is>
      </c>
      <c r="G934" s="50" t="n">
        <v>0.3958333333333333</v>
      </c>
      <c r="H934" s="51" t="n"/>
      <c r="I934" s="46" t="inlineStr">
        <is>
          <t>허창수</t>
        </is>
      </c>
      <c r="K934" s="46" t="n">
        <v>933</v>
      </c>
      <c r="L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5">
      <c r="A935" s="229" t="n">
        <v>45744</v>
      </c>
      <c r="B935" s="46" t="inlineStr">
        <is>
          <t>정기검사</t>
        </is>
      </c>
      <c r="C935" s="46" t="inlineStr">
        <is>
          <t>김포지역</t>
        </is>
      </c>
      <c r="D935" s="46" t="inlineStr">
        <is>
          <t>마산역</t>
        </is>
      </c>
      <c r="E935" s="46" t="n">
        <v>5600</v>
      </c>
      <c r="F935" s="46" t="inlineStr">
        <is>
          <t>마산동</t>
        </is>
      </c>
      <c r="G935" s="50" t="n"/>
      <c r="H935" s="51" t="n">
        <v>2034890</v>
      </c>
      <c r="I935" s="46" t="inlineStr">
        <is>
          <t>우승택</t>
        </is>
      </c>
      <c r="K935" s="46" t="n">
        <v>934</v>
      </c>
      <c r="L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6">
      <c r="A936" s="229" t="n">
        <v>45744</v>
      </c>
      <c r="B936" s="46" t="inlineStr">
        <is>
          <t>정기검사</t>
        </is>
      </c>
      <c r="C936" s="46" t="inlineStr">
        <is>
          <t>김포지역</t>
        </is>
      </c>
      <c r="D936" s="46" t="inlineStr">
        <is>
          <t>환기구</t>
        </is>
      </c>
      <c r="E936" s="46" t="n">
        <v>600</v>
      </c>
      <c r="F936" s="46" t="inlineStr">
        <is>
          <t>장기동</t>
        </is>
      </c>
      <c r="G936" s="50" t="n"/>
      <c r="H936" s="51" t="n">
        <v>1057650</v>
      </c>
      <c r="I936" s="46" t="inlineStr">
        <is>
          <t>민재홍</t>
        </is>
      </c>
      <c r="K936" s="46" t="n">
        <v>935</v>
      </c>
      <c r="L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7">
      <c r="A937" s="229" t="n">
        <v>45744</v>
      </c>
      <c r="B937" s="46" t="inlineStr">
        <is>
          <t>정기검사</t>
        </is>
      </c>
      <c r="C937" s="46" t="inlineStr">
        <is>
          <t>김포지역</t>
        </is>
      </c>
      <c r="D937" s="46" t="inlineStr">
        <is>
          <t>다올</t>
        </is>
      </c>
      <c r="E937" s="46" t="n">
        <v>700</v>
      </c>
      <c r="F937" s="46" t="inlineStr">
        <is>
          <t>마송리</t>
        </is>
      </c>
      <c r="G937" s="50" t="n"/>
      <c r="H937" s="51" t="n">
        <v>1046100</v>
      </c>
      <c r="I937" s="46" t="inlineStr">
        <is>
          <t>이덕기</t>
        </is>
      </c>
      <c r="K937" s="46" t="n">
        <v>936</v>
      </c>
      <c r="L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8">
      <c r="A938" s="229" t="n">
        <v>45744</v>
      </c>
      <c r="B938" s="46" t="inlineStr">
        <is>
          <t>메모</t>
        </is>
      </c>
      <c r="C938" s="46" t="inlineStr">
        <is>
          <t>부천지역</t>
        </is>
      </c>
      <c r="D938" s="46" t="inlineStr">
        <is>
          <t>서수형휴가</t>
        </is>
      </c>
      <c r="E938" s="46" t="n"/>
      <c r="F938" s="46" t="n"/>
      <c r="G938" s="50" t="n"/>
      <c r="H938" s="51" t="n"/>
      <c r="I938" s="46" t="n"/>
      <c r="K938" s="46" t="n">
        <v>937</v>
      </c>
      <c r="L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9">
      <c r="A939" s="229" t="n">
        <v>45744</v>
      </c>
      <c r="B939" s="46" t="inlineStr">
        <is>
          <t>사용전검사</t>
        </is>
      </c>
      <c r="C939" s="46" t="inlineStr">
        <is>
          <t>김포지역</t>
        </is>
      </c>
      <c r="D939" s="46" t="inlineStr">
        <is>
          <t>동아전기</t>
        </is>
      </c>
      <c r="E939" s="46" t="n">
        <v>295</v>
      </c>
      <c r="F939" s="46" t="inlineStr">
        <is>
          <t>양택리</t>
        </is>
      </c>
      <c r="G939" s="50" t="n">
        <v>0.4166666666666667</v>
      </c>
      <c r="H939" s="51" t="n"/>
      <c r="I939" s="46" t="inlineStr">
        <is>
          <t>정성관</t>
        </is>
      </c>
      <c r="K939" s="46" t="n">
        <v>938</v>
      </c>
      <c r="L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0">
      <c r="A940" s="229" t="n">
        <v>45745</v>
      </c>
      <c r="B940" s="46" t="inlineStr">
        <is>
          <t>메모</t>
        </is>
      </c>
      <c r="C940" s="46" t="inlineStr">
        <is>
          <t>부천지역</t>
        </is>
      </c>
      <c r="D940" s="46" t="inlineStr">
        <is>
          <t>안받음</t>
        </is>
      </c>
      <c r="E940" s="46" t="n"/>
      <c r="F940" s="46" t="n"/>
      <c r="G940" s="50" t="n"/>
      <c r="H940" s="51" t="n"/>
      <c r="I940" s="46" t="n"/>
      <c r="K940" s="46" t="n">
        <v>939</v>
      </c>
      <c r="L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1">
      <c r="A941" s="229" t="n">
        <v>45745</v>
      </c>
      <c r="B941" s="46" t="inlineStr">
        <is>
          <t>메모</t>
        </is>
      </c>
      <c r="C941" s="46" t="inlineStr">
        <is>
          <t>부천지역</t>
        </is>
      </c>
      <c r="D941" s="46" t="inlineStr">
        <is>
          <t>서수형휴가</t>
        </is>
      </c>
      <c r="E941" s="46" t="n"/>
      <c r="F941" s="46" t="n"/>
      <c r="G941" s="50" t="n"/>
      <c r="H941" s="51" t="n"/>
      <c r="I941" s="46" t="n"/>
      <c r="K941" s="46" t="n">
        <v>940</v>
      </c>
      <c r="L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2">
      <c r="A942" s="229" t="n">
        <v>45746</v>
      </c>
      <c r="B942" s="46" t="inlineStr">
        <is>
          <t>정기검사</t>
        </is>
      </c>
      <c r="C942" s="46" t="inlineStr">
        <is>
          <t>부천지역</t>
        </is>
      </c>
      <c r="D942" s="46" t="inlineStr">
        <is>
          <t>라일락마을</t>
        </is>
      </c>
      <c r="E942" s="46" t="n">
        <v>7</v>
      </c>
      <c r="F942" s="46" t="inlineStr">
        <is>
          <t>상동</t>
        </is>
      </c>
      <c r="G942" s="50" t="n">
        <v>0.4375</v>
      </c>
      <c r="H942" s="51" t="n">
        <v>89650</v>
      </c>
      <c r="I942" s="46" t="inlineStr">
        <is>
          <t>민재홍</t>
        </is>
      </c>
      <c r="K942" s="46" t="n">
        <v>941</v>
      </c>
      <c r="L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3">
      <c r="A943" s="229" t="n">
        <v>45746</v>
      </c>
      <c r="B943" s="46" t="inlineStr">
        <is>
          <t>정기검사</t>
        </is>
      </c>
      <c r="C943" s="46" t="inlineStr">
        <is>
          <t>부천지역</t>
        </is>
      </c>
      <c r="D943" s="46" t="inlineStr">
        <is>
          <t>양신영</t>
        </is>
      </c>
      <c r="E943" s="46" t="n">
        <v>300</v>
      </c>
      <c r="F943" s="46" t="inlineStr">
        <is>
          <t>내동</t>
        </is>
      </c>
      <c r="G943" s="50" t="n">
        <v>0.5</v>
      </c>
      <c r="H943" s="51" t="n">
        <v>521730</v>
      </c>
      <c r="I943" s="46" t="inlineStr">
        <is>
          <t>송낙명</t>
        </is>
      </c>
      <c r="K943" s="46" t="n">
        <v>942</v>
      </c>
      <c r="L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4">
      <c r="A944" s="229" t="n">
        <v>45746</v>
      </c>
      <c r="B944" s="46" t="inlineStr">
        <is>
          <t>정기검사</t>
        </is>
      </c>
      <c r="C944" s="46" t="inlineStr">
        <is>
          <t>부천지역</t>
        </is>
      </c>
      <c r="D944" s="46" t="inlineStr">
        <is>
          <t>삼환홈빌리지</t>
        </is>
      </c>
      <c r="E944" s="46" t="inlineStr">
        <is>
          <t>300/115</t>
        </is>
      </c>
      <c r="F944" s="46" t="inlineStr">
        <is>
          <t>원미동</t>
        </is>
      </c>
      <c r="G944" s="50" t="n">
        <v>0.3958333333333333</v>
      </c>
      <c r="H944" s="51" t="n">
        <v>692340</v>
      </c>
      <c r="I944" s="46" t="inlineStr">
        <is>
          <t>정신배</t>
        </is>
      </c>
      <c r="K944" s="46" t="n">
        <v>943</v>
      </c>
      <c r="L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5">
      <c r="A945" s="229" t="n">
        <v>45746</v>
      </c>
      <c r="B945" s="46" t="inlineStr">
        <is>
          <t>정기검사</t>
        </is>
      </c>
      <c r="C945" s="46" t="inlineStr">
        <is>
          <t>부천지역</t>
        </is>
      </c>
      <c r="D945" s="46" t="inlineStr">
        <is>
          <t>상진금속</t>
        </is>
      </c>
      <c r="E945" s="46" t="n">
        <v>300</v>
      </c>
      <c r="F945" s="46" t="inlineStr">
        <is>
          <t>삼정동</t>
        </is>
      </c>
      <c r="G945" s="50" t="n">
        <v>0.625</v>
      </c>
      <c r="H945" s="51" t="n">
        <v>521730</v>
      </c>
      <c r="I945" s="46" t="inlineStr">
        <is>
          <t>민경수</t>
        </is>
      </c>
      <c r="K945" s="46" t="n">
        <v>944</v>
      </c>
      <c r="L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6">
      <c r="A946" s="229" t="n">
        <v>45746</v>
      </c>
      <c r="B946" s="46" t="inlineStr">
        <is>
          <t>정기검사</t>
        </is>
      </c>
      <c r="C946" s="46" t="inlineStr">
        <is>
          <t>부천지역</t>
        </is>
      </c>
      <c r="D946" s="46" t="inlineStr">
        <is>
          <t>대창식품</t>
        </is>
      </c>
      <c r="E946" s="46" t="n">
        <v>700</v>
      </c>
      <c r="F946" s="46" t="inlineStr">
        <is>
          <t>내동</t>
        </is>
      </c>
      <c r="G946" s="50" t="n">
        <v>0.4791666666666667</v>
      </c>
      <c r="H946" s="51" t="n">
        <v>804760</v>
      </c>
      <c r="I946" s="46" t="inlineStr">
        <is>
          <t>우승택</t>
        </is>
      </c>
      <c r="K946" s="46" t="n">
        <v>945</v>
      </c>
      <c r="L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7">
      <c r="A947" s="229" t="n">
        <v>45746</v>
      </c>
      <c r="B947" s="46" t="inlineStr">
        <is>
          <t>정기검사</t>
        </is>
      </c>
      <c r="C947" s="46" t="inlineStr">
        <is>
          <t>부천지역</t>
        </is>
      </c>
      <c r="D947" s="46" t="inlineStr">
        <is>
          <t>티코스</t>
        </is>
      </c>
      <c r="E947" s="46" t="n">
        <v>290</v>
      </c>
      <c r="F947" s="46" t="inlineStr">
        <is>
          <t>춘의동</t>
        </is>
      </c>
      <c r="G947" s="50" t="n">
        <v>0.5</v>
      </c>
      <c r="H947" s="51" t="n">
        <v>515130</v>
      </c>
      <c r="I947" s="46" t="inlineStr">
        <is>
          <t>서수형</t>
        </is>
      </c>
      <c r="K947" s="46" t="n">
        <v>946</v>
      </c>
      <c r="L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8">
      <c r="A948" s="229" t="n">
        <v>45746</v>
      </c>
      <c r="B948" s="46" t="inlineStr">
        <is>
          <t>정기검사</t>
        </is>
      </c>
      <c r="C948" s="46" t="inlineStr">
        <is>
          <t>부천지역</t>
        </is>
      </c>
      <c r="D948" s="46" t="inlineStr">
        <is>
          <t>반달</t>
        </is>
      </c>
      <c r="E948" s="46" t="inlineStr">
        <is>
          <t>전기차</t>
        </is>
      </c>
      <c r="F948" s="46" t="n"/>
      <c r="G948" s="50" t="n"/>
      <c r="H948" s="51" t="n">
        <v>98120</v>
      </c>
      <c r="I948" s="46" t="inlineStr">
        <is>
          <t>정성관</t>
        </is>
      </c>
      <c r="K948" s="46" t="n">
        <v>947</v>
      </c>
      <c r="L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9">
      <c r="A949" s="229" t="n">
        <v>45746</v>
      </c>
      <c r="B949" s="46" t="inlineStr">
        <is>
          <t>정기검사</t>
        </is>
      </c>
      <c r="C949" s="46" t="inlineStr">
        <is>
          <t>김포지역</t>
        </is>
      </c>
      <c r="D949" s="46" t="inlineStr">
        <is>
          <t>대능리</t>
        </is>
      </c>
      <c r="E949" s="46" t="n">
        <v>19</v>
      </c>
      <c r="F949" s="46" t="inlineStr">
        <is>
          <t>대능리</t>
        </is>
      </c>
      <c r="G949" s="50" t="n"/>
      <c r="H949" s="51" t="n">
        <v>94380</v>
      </c>
      <c r="I949" s="46" t="inlineStr">
        <is>
          <t>한태희</t>
        </is>
      </c>
      <c r="K949" s="46" t="n">
        <v>948</v>
      </c>
      <c r="L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0">
      <c r="A950" s="229" t="n">
        <v>45746</v>
      </c>
      <c r="B950" s="46" t="inlineStr">
        <is>
          <t>정기검사</t>
        </is>
      </c>
      <c r="C950" s="46" t="inlineStr">
        <is>
          <t>김포지역</t>
        </is>
      </c>
      <c r="D950" s="46" t="inlineStr">
        <is>
          <t>성은기계</t>
        </is>
      </c>
      <c r="E950" s="46" t="n">
        <v>250</v>
      </c>
      <c r="F950" s="46" t="inlineStr">
        <is>
          <t>학운리</t>
        </is>
      </c>
      <c r="G950" s="50" t="n">
        <v>0.5416666666666666</v>
      </c>
      <c r="H950" s="51" t="n">
        <v>489170</v>
      </c>
      <c r="I950" s="46" t="inlineStr">
        <is>
          <t>김영권</t>
        </is>
      </c>
      <c r="K950" s="46" t="n">
        <v>949</v>
      </c>
      <c r="L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1">
      <c r="A951" s="229" t="n">
        <v>45746</v>
      </c>
      <c r="B951" s="46" t="inlineStr">
        <is>
          <t>정기검사</t>
        </is>
      </c>
      <c r="C951" s="46" t="inlineStr">
        <is>
          <t>김포지역</t>
        </is>
      </c>
      <c r="D951" s="46" t="inlineStr">
        <is>
          <t>장기역</t>
        </is>
      </c>
      <c r="E951" s="46" t="n">
        <v>2000</v>
      </c>
      <c r="F951" s="46" t="inlineStr">
        <is>
          <t>장기동</t>
        </is>
      </c>
      <c r="G951" s="50" t="n"/>
      <c r="H951" s="51" t="n">
        <v>1424060</v>
      </c>
      <c r="I951" s="46" t="inlineStr">
        <is>
          <t>민경수</t>
        </is>
      </c>
      <c r="K951" s="46" t="n">
        <v>950</v>
      </c>
      <c r="L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2">
      <c r="A952" s="229" t="n">
        <v>45746</v>
      </c>
      <c r="B952" s="46" t="inlineStr">
        <is>
          <t>정기검사</t>
        </is>
      </c>
      <c r="C952" s="46" t="inlineStr">
        <is>
          <t>김포지역</t>
        </is>
      </c>
      <c r="D952" s="46" t="inlineStr">
        <is>
          <t>환기구</t>
        </is>
      </c>
      <c r="E952" s="46" t="n">
        <v>400</v>
      </c>
      <c r="F952" s="46" t="inlineStr">
        <is>
          <t>장기동</t>
        </is>
      </c>
      <c r="G952" s="50" t="n"/>
      <c r="H952" s="51" t="n">
        <v>969540</v>
      </c>
      <c r="I952" s="46" t="inlineStr">
        <is>
          <t>송두기</t>
        </is>
      </c>
      <c r="K952" s="46" t="n">
        <v>951</v>
      </c>
      <c r="L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3">
      <c r="A953" s="229" t="n">
        <v>45746</v>
      </c>
      <c r="B953" s="46" t="inlineStr">
        <is>
          <t>정기검사</t>
        </is>
      </c>
      <c r="C953" s="46" t="inlineStr">
        <is>
          <t>김포지역</t>
        </is>
      </c>
      <c r="D953" s="46" t="inlineStr">
        <is>
          <t>성경침례교회</t>
        </is>
      </c>
      <c r="E953" s="46" t="inlineStr">
        <is>
          <t>250G</t>
        </is>
      </c>
      <c r="F953" s="46" t="inlineStr">
        <is>
          <t>고촌</t>
        </is>
      </c>
      <c r="G953" s="50" t="n">
        <v>0.3958333333333333</v>
      </c>
      <c r="H953" s="51" t="n">
        <v>210540</v>
      </c>
      <c r="I953" s="46" t="inlineStr">
        <is>
          <t>이종석</t>
        </is>
      </c>
      <c r="K953" s="46" t="n">
        <v>952</v>
      </c>
      <c r="L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4">
      <c r="A954" s="229" t="n">
        <v>45746</v>
      </c>
      <c r="B954" s="46" t="inlineStr">
        <is>
          <t>정기검사</t>
        </is>
      </c>
      <c r="C954" s="46" t="inlineStr">
        <is>
          <t>김포지역</t>
        </is>
      </c>
      <c r="D954" s="46" t="inlineStr">
        <is>
          <t>제이트로닉스</t>
        </is>
      </c>
      <c r="E954" s="46" t="n">
        <v>7</v>
      </c>
      <c r="F954" s="46" t="inlineStr">
        <is>
          <t>학운리</t>
        </is>
      </c>
      <c r="G954" s="50" t="n">
        <v>0.5833333333333334</v>
      </c>
      <c r="H954" s="51" t="n">
        <v>64240</v>
      </c>
      <c r="I954" s="46" t="inlineStr">
        <is>
          <t>허창수</t>
        </is>
      </c>
      <c r="K954" s="46" t="n">
        <v>953</v>
      </c>
      <c r="L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5">
      <c r="A955" s="229" t="n">
        <v>45746</v>
      </c>
      <c r="B955" s="46" t="inlineStr">
        <is>
          <t>정기검사</t>
        </is>
      </c>
      <c r="C955" s="46" t="inlineStr">
        <is>
          <t>김포지역</t>
        </is>
      </c>
      <c r="D955" s="46" t="inlineStr">
        <is>
          <t>태성산업</t>
        </is>
      </c>
      <c r="E955" s="46" t="n">
        <v>400</v>
      </c>
      <c r="F955" s="46" t="inlineStr">
        <is>
          <t>도사리</t>
        </is>
      </c>
      <c r="G955" s="50" t="n">
        <v>0.6458333333333334</v>
      </c>
      <c r="H955" s="51" t="n">
        <v>703120</v>
      </c>
      <c r="I955" s="46" t="inlineStr">
        <is>
          <t>허창수</t>
        </is>
      </c>
      <c r="K955" s="46" t="n">
        <v>954</v>
      </c>
      <c r="L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6">
      <c r="A956" s="229" t="n">
        <v>45746</v>
      </c>
      <c r="B956" s="46" t="inlineStr">
        <is>
          <t>사용전검사</t>
        </is>
      </c>
      <c r="C956" s="46" t="inlineStr">
        <is>
          <t>김포지역</t>
        </is>
      </c>
      <c r="D956" s="46" t="inlineStr">
        <is>
          <t>맞드림</t>
        </is>
      </c>
      <c r="E956" s="46" t="n">
        <v>15</v>
      </c>
      <c r="F956" s="46" t="inlineStr">
        <is>
          <t>풍무동</t>
        </is>
      </c>
      <c r="G956" s="50" t="n"/>
      <c r="H956" s="51" t="n"/>
      <c r="I956" s="46" t="inlineStr">
        <is>
          <t>한태희</t>
        </is>
      </c>
      <c r="K956" s="46" t="n">
        <v>955</v>
      </c>
      <c r="L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7">
      <c r="A957" s="229" t="n">
        <v>45780</v>
      </c>
      <c r="B957" s="46" t="inlineStr">
        <is>
          <t>메모</t>
        </is>
      </c>
      <c r="C957" s="46" t="inlineStr">
        <is>
          <t>부천지역</t>
        </is>
      </c>
      <c r="D957" s="46" t="inlineStr">
        <is>
          <t>허창수휴가</t>
        </is>
      </c>
      <c r="E957" s="46" t="n"/>
      <c r="F957" s="46" t="n"/>
      <c r="G957" s="50" t="n"/>
      <c r="H957" s="51" t="n"/>
      <c r="I957" s="46" t="n"/>
      <c r="K957" s="46" t="n">
        <v>956</v>
      </c>
      <c r="L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8">
      <c r="A958" s="229" t="n">
        <v>45780</v>
      </c>
      <c r="B958" s="46" t="inlineStr">
        <is>
          <t>메모</t>
        </is>
      </c>
      <c r="C958" s="46" t="inlineStr">
        <is>
          <t>부천지역</t>
        </is>
      </c>
      <c r="D958" s="46" t="inlineStr">
        <is>
          <t>이종석휴가</t>
        </is>
      </c>
      <c r="E958" s="46" t="n"/>
      <c r="F958" s="46" t="n"/>
      <c r="G958" s="50" t="n"/>
      <c r="H958" s="51" t="n"/>
      <c r="I958" s="46" t="n"/>
      <c r="K958" s="46" t="n">
        <v>957</v>
      </c>
      <c r="L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9">
      <c r="A959" s="229" t="n">
        <v>45780</v>
      </c>
      <c r="B959" s="46" t="inlineStr">
        <is>
          <t>메모</t>
        </is>
      </c>
      <c r="C959" s="46" t="inlineStr">
        <is>
          <t>부천지역</t>
        </is>
      </c>
      <c r="D959" s="46" t="inlineStr">
        <is>
          <t>민재홍휴가</t>
        </is>
      </c>
      <c r="E959" s="46" t="n"/>
      <c r="F959" s="46" t="n"/>
      <c r="G959" s="50" t="n"/>
      <c r="H959" s="51" t="n"/>
      <c r="I959" s="46" t="n"/>
      <c r="K959" s="46" t="n">
        <v>958</v>
      </c>
      <c r="L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0">
      <c r="A960" s="229" t="n">
        <v>45780</v>
      </c>
      <c r="B960" s="46" t="inlineStr">
        <is>
          <t>메모</t>
        </is>
      </c>
      <c r="C960" s="46" t="inlineStr">
        <is>
          <t>부천지역</t>
        </is>
      </c>
      <c r="D960" s="46" t="inlineStr">
        <is>
          <t>서수형휴가</t>
        </is>
      </c>
      <c r="E960" s="46" t="n"/>
      <c r="F960" s="46" t="n"/>
      <c r="G960" s="50" t="n"/>
      <c r="H960" s="51" t="n"/>
      <c r="I960" s="46" t="n"/>
      <c r="K960" s="46" t="n">
        <v>959</v>
      </c>
      <c r="L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1">
      <c r="A961" s="229" t="n">
        <v>46112</v>
      </c>
      <c r="B961" s="46" t="inlineStr">
        <is>
          <t>정기검사</t>
        </is>
      </c>
      <c r="C961" s="46" t="inlineStr">
        <is>
          <t>부천지역</t>
        </is>
      </c>
      <c r="D961" s="46" t="inlineStr">
        <is>
          <t>유한프리시전</t>
        </is>
      </c>
      <c r="E961" s="46" t="n">
        <v>290</v>
      </c>
      <c r="F961" s="46" t="inlineStr">
        <is>
          <t>도당동</t>
        </is>
      </c>
      <c r="G961" s="50" t="n">
        <v>0.5208333333333334</v>
      </c>
      <c r="H961" s="51" t="n">
        <v>515130</v>
      </c>
      <c r="I961" s="46" t="inlineStr">
        <is>
          <t>우승택</t>
        </is>
      </c>
      <c r="K961" s="46" t="n">
        <v>960</v>
      </c>
      <c r="L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2">
      <c r="A962" s="229" t="n">
        <v>46112</v>
      </c>
      <c r="B962" s="46" t="inlineStr">
        <is>
          <t>정기검사</t>
        </is>
      </c>
      <c r="C962" s="46" t="inlineStr">
        <is>
          <t>부천지역</t>
        </is>
      </c>
      <c r="D962" s="46" t="inlineStr">
        <is>
          <t>대일뉴테크</t>
        </is>
      </c>
      <c r="E962" s="46" t="n">
        <v>600</v>
      </c>
      <c r="F962" s="46" t="inlineStr">
        <is>
          <t>도당동</t>
        </is>
      </c>
      <c r="G962" s="50" t="n">
        <v>0.5</v>
      </c>
      <c r="H962" s="51" t="n">
        <v>770880</v>
      </c>
      <c r="I962" s="46" t="inlineStr">
        <is>
          <t>김영권</t>
        </is>
      </c>
      <c r="K962" s="46" t="n">
        <v>961</v>
      </c>
      <c r="L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3">
      <c r="A963" s="229" t="n">
        <v>46112</v>
      </c>
      <c r="B963" s="46" t="inlineStr">
        <is>
          <t>정기검사</t>
        </is>
      </c>
      <c r="C963" s="46" t="inlineStr">
        <is>
          <t>부천지역</t>
        </is>
      </c>
      <c r="D963" s="46" t="inlineStr">
        <is>
          <t>초앤유여성병원</t>
        </is>
      </c>
      <c r="E963" s="46" t="inlineStr">
        <is>
          <t>350/104</t>
        </is>
      </c>
      <c r="F963" s="46" t="inlineStr">
        <is>
          <t>중동</t>
        </is>
      </c>
      <c r="G963" s="50" t="n">
        <v>0.4791666666666667</v>
      </c>
      <c r="H963" s="51" t="n">
        <v>853490</v>
      </c>
      <c r="I963" s="46" t="inlineStr">
        <is>
          <t>송낙명</t>
        </is>
      </c>
      <c r="K963" s="46" t="n">
        <v>962</v>
      </c>
      <c r="L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4">
      <c r="A964" s="229" t="n">
        <v>46112</v>
      </c>
      <c r="B964" s="46" t="inlineStr">
        <is>
          <t>정기검사</t>
        </is>
      </c>
      <c r="C964" s="46" t="inlineStr">
        <is>
          <t>부천지역</t>
        </is>
      </c>
      <c r="D964" s="46" t="inlineStr">
        <is>
          <t>프리엠스</t>
        </is>
      </c>
      <c r="E964" s="46" t="n">
        <v>300</v>
      </c>
      <c r="F964" s="46" t="inlineStr">
        <is>
          <t>내동</t>
        </is>
      </c>
      <c r="G964" s="50" t="n">
        <v>0.5208333333333334</v>
      </c>
      <c r="H964" s="51" t="n">
        <v>521730</v>
      </c>
      <c r="I964" s="46" t="inlineStr">
        <is>
          <t>송낙명</t>
        </is>
      </c>
      <c r="K964" s="46" t="n">
        <v>963</v>
      </c>
      <c r="L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5">
      <c r="A965" s="229" t="n">
        <v>46112</v>
      </c>
      <c r="B965" s="46" t="inlineStr">
        <is>
          <t>정기검사</t>
        </is>
      </c>
      <c r="C965" s="46" t="inlineStr">
        <is>
          <t>부천지역</t>
        </is>
      </c>
      <c r="D965" s="46" t="inlineStr">
        <is>
          <t>세한빌라</t>
        </is>
      </c>
      <c r="E965" s="46" t="inlineStr">
        <is>
          <t>400/315</t>
        </is>
      </c>
      <c r="F965" s="46" t="inlineStr">
        <is>
          <t>고강동</t>
        </is>
      </c>
      <c r="G965" s="50" t="n">
        <v>0.4166666666666667</v>
      </c>
      <c r="H965" s="51" t="n">
        <v>920590</v>
      </c>
      <c r="I965" s="46" t="inlineStr">
        <is>
          <t>송낙명</t>
        </is>
      </c>
      <c r="K965" s="46" t="n">
        <v>964</v>
      </c>
      <c r="L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6">
      <c r="A966" s="229" t="n">
        <v>46112</v>
      </c>
      <c r="B966" s="46" t="inlineStr">
        <is>
          <t>정기검사</t>
        </is>
      </c>
      <c r="C966" s="46" t="inlineStr">
        <is>
          <t>부천지역</t>
        </is>
      </c>
      <c r="D966" s="46" t="inlineStr">
        <is>
          <t>케이호텔</t>
        </is>
      </c>
      <c r="E966" s="46" t="inlineStr">
        <is>
          <t>350/104</t>
        </is>
      </c>
      <c r="F966" s="46" t="inlineStr">
        <is>
          <t>상동</t>
        </is>
      </c>
      <c r="G966" s="50" t="n">
        <v>0.4791666666666667</v>
      </c>
      <c r="H966" s="51" t="n">
        <v>736560</v>
      </c>
      <c r="I966" s="46" t="inlineStr">
        <is>
          <t>민재홍</t>
        </is>
      </c>
      <c r="K966" s="46" t="n">
        <v>965</v>
      </c>
      <c r="L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7">
      <c r="A967" s="229" t="n">
        <v>46112</v>
      </c>
      <c r="B967" s="46" t="inlineStr">
        <is>
          <t>정기검사</t>
        </is>
      </c>
      <c r="C967" s="46" t="inlineStr">
        <is>
          <t>부천지역</t>
        </is>
      </c>
      <c r="D967" s="46" t="inlineStr">
        <is>
          <t>진달래대우</t>
        </is>
      </c>
      <c r="E967" s="46" t="inlineStr">
        <is>
          <t>전기차</t>
        </is>
      </c>
      <c r="F967" s="46" t="n"/>
      <c r="G967" s="50" t="n">
        <v>0.625</v>
      </c>
      <c r="H967" s="51" t="n">
        <v>123530</v>
      </c>
      <c r="I967" s="46" t="inlineStr">
        <is>
          <t>정신배</t>
        </is>
      </c>
      <c r="K967" s="46" t="n">
        <v>966</v>
      </c>
      <c r="L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8">
      <c r="A968" s="229" t="n">
        <v>46112</v>
      </c>
      <c r="B968" s="46" t="inlineStr">
        <is>
          <t>정기검사</t>
        </is>
      </c>
      <c r="C968" s="46" t="inlineStr">
        <is>
          <t>김포지역</t>
        </is>
      </c>
      <c r="D968" s="46" t="inlineStr">
        <is>
          <t>아이엘리베이터</t>
        </is>
      </c>
      <c r="E968" s="46" t="n">
        <v>200</v>
      </c>
      <c r="F968" s="46" t="inlineStr">
        <is>
          <t>대명리</t>
        </is>
      </c>
      <c r="G968" s="50" t="n">
        <v>0.5</v>
      </c>
      <c r="H968" s="51" t="n">
        <v>456720</v>
      </c>
      <c r="I968" s="46" t="inlineStr">
        <is>
          <t>한태희</t>
        </is>
      </c>
      <c r="K968" s="46" t="n">
        <v>967</v>
      </c>
      <c r="L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9">
      <c r="A969" s="229" t="n">
        <v>46112</v>
      </c>
      <c r="B969" s="46" t="inlineStr">
        <is>
          <t>정기검사</t>
        </is>
      </c>
      <c r="C969" s="46" t="inlineStr">
        <is>
          <t>김포지역</t>
        </is>
      </c>
      <c r="D969" s="46" t="inlineStr">
        <is>
          <t>운양역</t>
        </is>
      </c>
      <c r="E969" s="46" t="n">
        <v>6070</v>
      </c>
      <c r="F969" s="46" t="inlineStr">
        <is>
          <t>운양동</t>
        </is>
      </c>
      <c r="G969" s="50" t="n"/>
      <c r="H969" s="51" t="n">
        <v>2066460</v>
      </c>
      <c r="I969" s="46" t="inlineStr">
        <is>
          <t>김영권</t>
        </is>
      </c>
      <c r="K969" s="46" t="n">
        <v>968</v>
      </c>
      <c r="L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0">
      <c r="A970" s="229" t="n">
        <v>46112</v>
      </c>
      <c r="B970" s="46" t="inlineStr">
        <is>
          <t>정기검사</t>
        </is>
      </c>
      <c r="C970" s="46" t="inlineStr">
        <is>
          <t>김포지역</t>
        </is>
      </c>
      <c r="D970" s="46" t="inlineStr">
        <is>
          <t>11환기구</t>
        </is>
      </c>
      <c r="E970" s="46" t="n">
        <v>600</v>
      </c>
      <c r="F970" s="46" t="inlineStr">
        <is>
          <t>걸포동</t>
        </is>
      </c>
      <c r="G970" s="50" t="n"/>
      <c r="H970" s="51" t="n">
        <v>1057650</v>
      </c>
      <c r="I970" s="46" t="inlineStr">
        <is>
          <t>허창수</t>
        </is>
      </c>
      <c r="K970" s="46" t="n">
        <v>969</v>
      </c>
      <c r="L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1">
      <c r="A971" s="229" t="n">
        <v>46112</v>
      </c>
      <c r="B971" s="46" t="inlineStr">
        <is>
          <t>정기검사</t>
        </is>
      </c>
      <c r="C971" s="46" t="inlineStr">
        <is>
          <t>김포지역</t>
        </is>
      </c>
      <c r="D971" s="46" t="inlineStr">
        <is>
          <t>디아이엠</t>
        </is>
      </c>
      <c r="E971" s="46" t="n">
        <v>200</v>
      </c>
      <c r="F971" s="46" t="inlineStr">
        <is>
          <t>학운리</t>
        </is>
      </c>
      <c r="G971" s="50" t="n">
        <v>0.4791666666666667</v>
      </c>
      <c r="H971" s="51" t="n">
        <v>456720</v>
      </c>
      <c r="I971" s="46" t="inlineStr">
        <is>
          <t>송두기</t>
        </is>
      </c>
      <c r="K971" s="46" t="n">
        <v>970</v>
      </c>
      <c r="L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2">
      <c r="A972" s="229" t="n">
        <v>46112</v>
      </c>
      <c r="B972" s="46" t="inlineStr">
        <is>
          <t>정기검사</t>
        </is>
      </c>
      <c r="C972" s="46" t="inlineStr">
        <is>
          <t>김포지역</t>
        </is>
      </c>
      <c r="D972" s="46" t="inlineStr">
        <is>
          <t>크린업</t>
        </is>
      </c>
      <c r="E972" s="46" t="n"/>
      <c r="F972" s="46" t="n"/>
      <c r="G972" s="50" t="n"/>
      <c r="H972" s="51" t="n">
        <v>521720</v>
      </c>
      <c r="I972" s="46" t="inlineStr">
        <is>
          <t>이종석</t>
        </is>
      </c>
      <c r="K972" s="46" t="n">
        <v>971</v>
      </c>
      <c r="L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3">
      <c r="A973" s="229" t="n">
        <v>46112</v>
      </c>
      <c r="B973" s="46" t="inlineStr">
        <is>
          <t>정기검사</t>
        </is>
      </c>
      <c r="C973" s="46" t="inlineStr">
        <is>
          <t>김포지역</t>
        </is>
      </c>
      <c r="D973" s="46" t="inlineStr">
        <is>
          <t>디케이테크</t>
        </is>
      </c>
      <c r="E973" s="46" t="n">
        <v>200</v>
      </c>
      <c r="F973" s="46" t="inlineStr">
        <is>
          <t>대명리</t>
        </is>
      </c>
      <c r="G973" s="50" t="n">
        <v>0.4791666666666667</v>
      </c>
      <c r="H973" s="51" t="n">
        <v>456720</v>
      </c>
      <c r="I973" s="46" t="inlineStr">
        <is>
          <t>이종석</t>
        </is>
      </c>
      <c r="K973" s="46" t="n">
        <v>972</v>
      </c>
      <c r="L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4">
      <c r="A974" s="229" t="n">
        <v>46112</v>
      </c>
      <c r="B974" s="46" t="inlineStr">
        <is>
          <t>정기검사</t>
        </is>
      </c>
      <c r="C974" s="46" t="inlineStr">
        <is>
          <t>김포지역</t>
        </is>
      </c>
      <c r="D974" s="46" t="inlineStr">
        <is>
          <t>계림에스퀘어</t>
        </is>
      </c>
      <c r="E974" s="46" t="n">
        <v>7</v>
      </c>
      <c r="F974" s="46" t="inlineStr">
        <is>
          <t>구래동</t>
        </is>
      </c>
      <c r="G974" s="50" t="n"/>
      <c r="H974" s="51" t="n">
        <v>72710</v>
      </c>
      <c r="I974" s="46" t="n"/>
      <c r="J974" t="inlineStr">
        <is>
          <t>실시</t>
        </is>
      </c>
      <c r="K974" s="46" t="n">
        <v>973</v>
      </c>
      <c r="L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5">
      <c r="A975" s="229" t="n">
        <v>46112</v>
      </c>
      <c r="B975" s="46" t="inlineStr">
        <is>
          <t>정기검사</t>
        </is>
      </c>
      <c r="C975" s="46" t="inlineStr">
        <is>
          <t>김포지역</t>
        </is>
      </c>
      <c r="D975" s="46" t="inlineStr">
        <is>
          <t>신대명에너지</t>
        </is>
      </c>
      <c r="E975" s="46" t="n">
        <v>990</v>
      </c>
      <c r="F975" s="46" t="inlineStr">
        <is>
          <t>대포리</t>
        </is>
      </c>
      <c r="G975" s="50" t="n">
        <v>0.4166666666666667</v>
      </c>
      <c r="H975" s="51" t="n">
        <v>902990</v>
      </c>
      <c r="I975" s="46" t="inlineStr">
        <is>
          <t>민경수</t>
        </is>
      </c>
      <c r="K975" s="46" t="n">
        <v>974</v>
      </c>
      <c r="L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6">
      <c r="A976" s="229" t="n">
        <v>46112</v>
      </c>
      <c r="B976" s="46" t="inlineStr">
        <is>
          <t>정기검사</t>
        </is>
      </c>
      <c r="C976" s="46" t="inlineStr">
        <is>
          <t>김포지역</t>
        </is>
      </c>
      <c r="D976" s="46" t="inlineStr">
        <is>
          <t>원광</t>
        </is>
      </c>
      <c r="E976" s="46" t="n">
        <v>290</v>
      </c>
      <c r="F976" s="46" t="inlineStr">
        <is>
          <t>유현리</t>
        </is>
      </c>
      <c r="G976" s="50" t="n">
        <v>0.5</v>
      </c>
      <c r="H976" s="51" t="n">
        <v>515130</v>
      </c>
      <c r="I976" s="46" t="inlineStr">
        <is>
          <t>송두기</t>
        </is>
      </c>
      <c r="K976" s="46" t="n">
        <v>975</v>
      </c>
      <c r="L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7">
      <c r="A977" s="229" t="n">
        <v>46112</v>
      </c>
      <c r="B977" s="46" t="inlineStr">
        <is>
          <t>정기검사</t>
        </is>
      </c>
      <c r="C977" s="46" t="inlineStr">
        <is>
          <t>김포지역</t>
        </is>
      </c>
      <c r="D977" s="46" t="inlineStr">
        <is>
          <t>삼오메탈</t>
        </is>
      </c>
      <c r="E977" s="46" t="n">
        <v>295</v>
      </c>
      <c r="F977" s="46" t="inlineStr">
        <is>
          <t>고양리</t>
        </is>
      </c>
      <c r="G977" s="50" t="n">
        <v>0.5</v>
      </c>
      <c r="H977" s="51" t="n">
        <v>748770</v>
      </c>
      <c r="I977" s="46" t="inlineStr">
        <is>
          <t>정성관</t>
        </is>
      </c>
      <c r="K977" s="46" t="n">
        <v>976</v>
      </c>
      <c r="L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8">
      <c r="A978" s="229" t="n">
        <v>46112</v>
      </c>
      <c r="B978" s="46" t="inlineStr">
        <is>
          <t>사용전검사</t>
        </is>
      </c>
      <c r="C978" s="46" t="inlineStr">
        <is>
          <t>부천지역</t>
        </is>
      </c>
      <c r="D978" s="46" t="inlineStr">
        <is>
          <t>아이스클미</t>
        </is>
      </c>
      <c r="E978" s="46" t="n">
        <v>10</v>
      </c>
      <c r="F978" s="46" t="inlineStr">
        <is>
          <t>도당동</t>
        </is>
      </c>
      <c r="G978" s="50" t="n"/>
      <c r="H978" s="51" t="n"/>
      <c r="I978" s="46" t="inlineStr">
        <is>
          <t>정신배</t>
        </is>
      </c>
      <c r="K978" s="46" t="n">
        <v>977</v>
      </c>
      <c r="L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9">
      <c r="A979" s="229" t="n">
        <v>46112</v>
      </c>
      <c r="B979" s="46" t="inlineStr">
        <is>
          <t>사용전검사</t>
        </is>
      </c>
      <c r="C979" s="46" t="inlineStr">
        <is>
          <t>부천지역</t>
        </is>
      </c>
      <c r="D979" s="46" t="inlineStr">
        <is>
          <t>디엘이앤씨</t>
        </is>
      </c>
      <c r="E979" s="46" t="n">
        <v>750</v>
      </c>
      <c r="F979" s="46" t="inlineStr">
        <is>
          <t>심곡동</t>
        </is>
      </c>
      <c r="G979" s="50" t="n"/>
      <c r="H979" s="51" t="n"/>
      <c r="I979" s="46" t="inlineStr">
        <is>
          <t>민재홍</t>
        </is>
      </c>
      <c r="K979" s="46" t="n">
        <v>978</v>
      </c>
      <c r="L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0">
      <c r="A980" s="229" t="n">
        <v>46112</v>
      </c>
      <c r="B980" s="46" t="inlineStr">
        <is>
          <t>사용전검사</t>
        </is>
      </c>
      <c r="C980" s="46" t="inlineStr">
        <is>
          <t>부천지역</t>
        </is>
      </c>
      <c r="D980" s="46" t="inlineStr">
        <is>
          <t>한림</t>
        </is>
      </c>
      <c r="E980" s="46" t="n">
        <v>30</v>
      </c>
      <c r="F980" s="46" t="inlineStr">
        <is>
          <t>심곡동</t>
        </is>
      </c>
      <c r="G980" s="50" t="n"/>
      <c r="H980" s="51" t="n"/>
      <c r="I980" s="46" t="inlineStr">
        <is>
          <t>정신배</t>
        </is>
      </c>
      <c r="K980" s="46" t="n">
        <v>979</v>
      </c>
      <c r="L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1">
      <c r="A981" s="229" t="n">
        <v>46112</v>
      </c>
      <c r="B981" s="46" t="inlineStr">
        <is>
          <t>사용전검사</t>
        </is>
      </c>
      <c r="C981" s="46" t="inlineStr">
        <is>
          <t>부천지역</t>
        </is>
      </c>
      <c r="D981" s="46" t="n"/>
      <c r="E981" s="46" t="inlineStr">
        <is>
          <t>서수형휴가</t>
        </is>
      </c>
      <c r="F981" s="46" t="n"/>
      <c r="G981" s="50" t="n"/>
      <c r="H981" s="51" t="n"/>
      <c r="I981" s="46" t="n"/>
      <c r="K981" s="46" t="n">
        <v>980</v>
      </c>
      <c r="L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2">
      <c r="A982" s="229" t="n">
        <v>46112</v>
      </c>
      <c r="B982" s="46" t="inlineStr">
        <is>
          <t>사용전검사</t>
        </is>
      </c>
      <c r="C982" s="46" t="inlineStr">
        <is>
          <t>김포지역</t>
        </is>
      </c>
      <c r="D982" s="46" t="inlineStr">
        <is>
          <t>삼웅</t>
        </is>
      </c>
      <c r="E982" s="46" t="n">
        <v>355</v>
      </c>
      <c r="F982" s="46" t="inlineStr">
        <is>
          <t>학운리</t>
        </is>
      </c>
      <c r="G982" s="50" t="n"/>
      <c r="H982" s="51" t="n"/>
      <c r="I982" s="46" t="inlineStr">
        <is>
          <t>이덕기</t>
        </is>
      </c>
      <c r="K982" s="46" t="n">
        <v>981</v>
      </c>
      <c r="L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3">
      <c r="A983" s="229" t="n">
        <v>46113</v>
      </c>
      <c r="B983" s="46" t="inlineStr">
        <is>
          <t>정기검사</t>
        </is>
      </c>
      <c r="C983" s="46" t="inlineStr">
        <is>
          <t>부천지역</t>
        </is>
      </c>
      <c r="D983" s="46" t="inlineStr">
        <is>
          <t>신화정밀</t>
        </is>
      </c>
      <c r="E983" s="46" t="n">
        <v>150</v>
      </c>
      <c r="F983" s="46" t="inlineStr">
        <is>
          <t>원미동</t>
        </is>
      </c>
      <c r="G983" s="50" t="n">
        <v>0.5416666666666666</v>
      </c>
      <c r="H983" s="51" t="n">
        <v>424160</v>
      </c>
      <c r="I983" s="46" t="inlineStr">
        <is>
          <t>우승택</t>
        </is>
      </c>
      <c r="K983" s="46" t="n">
        <v>982</v>
      </c>
      <c r="L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4">
      <c r="A984" s="229" t="n">
        <v>46113</v>
      </c>
      <c r="B984" s="46" t="inlineStr">
        <is>
          <t>정기검사</t>
        </is>
      </c>
      <c r="C984" s="46" t="inlineStr">
        <is>
          <t>부천지역</t>
        </is>
      </c>
      <c r="D984" s="46" t="inlineStr">
        <is>
          <t>대동아이텍</t>
        </is>
      </c>
      <c r="E984" s="46" t="n">
        <v>400</v>
      </c>
      <c r="F984" s="46" t="inlineStr">
        <is>
          <t>삼정동</t>
        </is>
      </c>
      <c r="G984" s="50" t="n">
        <v>0.5416666666666666</v>
      </c>
      <c r="H984" s="51" t="n">
        <v>703120</v>
      </c>
      <c r="I984" s="46" t="inlineStr">
        <is>
          <t>송낙명</t>
        </is>
      </c>
      <c r="K984" s="46" t="n">
        <v>983</v>
      </c>
      <c r="L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5">
      <c r="A985" s="229" t="n">
        <v>46113</v>
      </c>
      <c r="B985" s="46" t="inlineStr">
        <is>
          <t>정기검사</t>
        </is>
      </c>
      <c r="C985" s="46" t="inlineStr">
        <is>
          <t>김포지역</t>
        </is>
      </c>
      <c r="D985" s="46" t="inlineStr">
        <is>
          <t>천현정미소</t>
        </is>
      </c>
      <c r="E985" s="46" t="n">
        <v>400</v>
      </c>
      <c r="F985" s="46" t="inlineStr">
        <is>
          <t>운양동</t>
        </is>
      </c>
      <c r="G985" s="50" t="n">
        <v>0.5416666666666666</v>
      </c>
      <c r="H985" s="51" t="n">
        <v>703120</v>
      </c>
      <c r="I985" s="46" t="inlineStr">
        <is>
          <t>서수형</t>
        </is>
      </c>
      <c r="K985" s="46" t="n">
        <v>984</v>
      </c>
      <c r="L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6">
      <c r="A986" s="229" t="n">
        <v>46113</v>
      </c>
      <c r="B986" s="46" t="inlineStr">
        <is>
          <t>정기검사</t>
        </is>
      </c>
      <c r="C986" s="46" t="inlineStr">
        <is>
          <t>김포지역</t>
        </is>
      </c>
      <c r="D986" s="46" t="inlineStr">
        <is>
          <t>에스에치코리아</t>
        </is>
      </c>
      <c r="E986" s="46" t="n">
        <v>580</v>
      </c>
      <c r="F986" s="46" t="inlineStr">
        <is>
          <t>송마리</t>
        </is>
      </c>
      <c r="G986" s="50" t="n">
        <v>0.5</v>
      </c>
      <c r="H986" s="51" t="n">
        <v>764060</v>
      </c>
      <c r="I986" s="46" t="inlineStr">
        <is>
          <t>민재홍</t>
        </is>
      </c>
      <c r="K986" s="46" t="n">
        <v>985</v>
      </c>
      <c r="L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7">
      <c r="A987" s="229" t="n">
        <v>46113</v>
      </c>
      <c r="B987" s="46" t="inlineStr">
        <is>
          <t>정기검사</t>
        </is>
      </c>
      <c r="C987" s="46" t="inlineStr">
        <is>
          <t>김포지역</t>
        </is>
      </c>
      <c r="D987" s="46" t="inlineStr">
        <is>
          <t>에스엔디패키지</t>
        </is>
      </c>
      <c r="E987" s="46" t="n">
        <v>290</v>
      </c>
      <c r="F987" s="46" t="inlineStr">
        <is>
          <t>대능리</t>
        </is>
      </c>
      <c r="G987" s="50" t="n">
        <v>0.4583333333333333</v>
      </c>
      <c r="H987" s="51" t="n">
        <v>515130</v>
      </c>
      <c r="I987" s="46" t="inlineStr">
        <is>
          <t>이덕기</t>
        </is>
      </c>
      <c r="K987" s="46" t="n">
        <v>986</v>
      </c>
      <c r="L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8">
      <c r="A988" s="229" t="n">
        <v>46113</v>
      </c>
      <c r="B988" s="46" t="inlineStr">
        <is>
          <t>정기검사</t>
        </is>
      </c>
      <c r="C988" s="46" t="inlineStr">
        <is>
          <t>김포지역</t>
        </is>
      </c>
      <c r="D988" s="46" t="inlineStr">
        <is>
          <t>한국기전금</t>
        </is>
      </c>
      <c r="E988" s="46" t="n">
        <v>5250</v>
      </c>
      <c r="F988" s="46" t="inlineStr">
        <is>
          <t>학운리</t>
        </is>
      </c>
      <c r="G988" s="50" t="n">
        <v>0.5</v>
      </c>
      <c r="H988" s="51" t="n">
        <v>1504470</v>
      </c>
      <c r="I988" s="46" t="inlineStr">
        <is>
          <t>이종석</t>
        </is>
      </c>
      <c r="K988" s="46" t="n">
        <v>987</v>
      </c>
      <c r="L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9">
      <c r="A989" s="229" t="n">
        <v>46113</v>
      </c>
      <c r="B989" s="46" t="inlineStr">
        <is>
          <t>정기검사</t>
        </is>
      </c>
      <c r="C989" s="46" t="inlineStr">
        <is>
          <t>김포지역</t>
        </is>
      </c>
      <c r="D989" s="46" t="inlineStr">
        <is>
          <t>김정오태양광</t>
        </is>
      </c>
      <c r="E989" s="46" t="n">
        <v>15</v>
      </c>
      <c r="F989" s="46" t="inlineStr">
        <is>
          <t>쇄암리</t>
        </is>
      </c>
      <c r="G989" s="50" t="n">
        <v>0.4166666666666667</v>
      </c>
      <c r="H989" s="51" t="n">
        <v>92950</v>
      </c>
      <c r="I989" s="46" t="inlineStr">
        <is>
          <t>민경수</t>
        </is>
      </c>
      <c r="K989" s="46" t="n">
        <v>988</v>
      </c>
      <c r="L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0">
      <c r="A990" s="229" t="n">
        <v>46113</v>
      </c>
      <c r="B990" s="46" t="inlineStr">
        <is>
          <t>정기검사</t>
        </is>
      </c>
      <c r="C990" s="46" t="inlineStr">
        <is>
          <t>김포지역</t>
        </is>
      </c>
      <c r="D990" s="46" t="inlineStr">
        <is>
          <t>대기업</t>
        </is>
      </c>
      <c r="E990" s="46" t="n">
        <v>290</v>
      </c>
      <c r="F990" s="46" t="inlineStr">
        <is>
          <t>갈산리</t>
        </is>
      </c>
      <c r="G990" s="50" t="n">
        <v>0.4791666666666667</v>
      </c>
      <c r="H990" s="51" t="n">
        <v>515130</v>
      </c>
      <c r="I990" s="46" t="inlineStr">
        <is>
          <t>김영권</t>
        </is>
      </c>
      <c r="K990" s="46" t="n">
        <v>989</v>
      </c>
      <c r="L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1">
      <c r="A991" s="229" t="n">
        <v>46113</v>
      </c>
      <c r="B991" s="46" t="inlineStr">
        <is>
          <t>정기검사</t>
        </is>
      </c>
      <c r="C991" s="46" t="inlineStr">
        <is>
          <t>김포지역</t>
        </is>
      </c>
      <c r="D991" s="46" t="inlineStr">
        <is>
          <t>유경태양광</t>
        </is>
      </c>
      <c r="E991" s="46" t="n">
        <v>19</v>
      </c>
      <c r="F991" s="46" t="inlineStr">
        <is>
          <t>마곡리</t>
        </is>
      </c>
      <c r="G991" s="50" t="n">
        <v>0.6666666666666666</v>
      </c>
      <c r="H991" s="51" t="n">
        <v>94270</v>
      </c>
      <c r="I991" s="46" t="inlineStr">
        <is>
          <t>송두기</t>
        </is>
      </c>
      <c r="K991" s="46" t="n">
        <v>990</v>
      </c>
      <c r="L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2">
      <c r="A992" s="229" t="n">
        <v>46113</v>
      </c>
      <c r="B992" s="46" t="inlineStr">
        <is>
          <t>정기검사</t>
        </is>
      </c>
      <c r="C992" s="46" t="inlineStr">
        <is>
          <t>김포지역</t>
        </is>
      </c>
      <c r="D992" s="46" t="inlineStr">
        <is>
          <t>김포센트럴</t>
        </is>
      </c>
      <c r="E992" s="46" t="n">
        <v>7</v>
      </c>
      <c r="F992" s="46" t="inlineStr">
        <is>
          <t>감정동</t>
        </is>
      </c>
      <c r="G992" s="50" t="n">
        <v>0.4791666666666667</v>
      </c>
      <c r="H992" s="51" t="n">
        <v>72710</v>
      </c>
      <c r="I992" s="46" t="inlineStr">
        <is>
          <t>정성관</t>
        </is>
      </c>
      <c r="K992" s="46" t="n">
        <v>991</v>
      </c>
      <c r="L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3">
      <c r="A993" s="229" t="n">
        <v>46113</v>
      </c>
      <c r="B993" s="46" t="inlineStr">
        <is>
          <t>사용전검사</t>
        </is>
      </c>
      <c r="C993" s="46" t="inlineStr">
        <is>
          <t>부천지역</t>
        </is>
      </c>
      <c r="D993" s="46" t="inlineStr">
        <is>
          <t>마초스테이크부천점</t>
        </is>
      </c>
      <c r="E993" s="46" t="n">
        <v>18</v>
      </c>
      <c r="F993" s="46" t="inlineStr">
        <is>
          <t>중동</t>
        </is>
      </c>
      <c r="G993" s="50" t="n"/>
      <c r="H993" s="51" t="n"/>
      <c r="I993" s="46" t="inlineStr">
        <is>
          <t>송낙명</t>
        </is>
      </c>
      <c r="K993" s="46" t="n">
        <v>992</v>
      </c>
      <c r="L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4">
      <c r="A994" s="229" t="n">
        <v>46113</v>
      </c>
      <c r="B994" s="46" t="inlineStr">
        <is>
          <t>사용전검사</t>
        </is>
      </c>
      <c r="C994" s="46" t="inlineStr">
        <is>
          <t>부천지역</t>
        </is>
      </c>
      <c r="D994" s="46" t="inlineStr">
        <is>
          <t>유순자</t>
        </is>
      </c>
      <c r="E994" s="46" t="n">
        <v>21</v>
      </c>
      <c r="F994" s="46" t="inlineStr">
        <is>
          <t>춘의동</t>
        </is>
      </c>
      <c r="G994" s="50" t="n"/>
      <c r="H994" s="51" t="n"/>
      <c r="I994" s="46" t="inlineStr">
        <is>
          <t>우승택</t>
        </is>
      </c>
      <c r="K994" s="46" t="n">
        <v>993</v>
      </c>
      <c r="L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5">
      <c r="A995" s="229" t="n">
        <v>46113</v>
      </c>
      <c r="B995" s="46" t="inlineStr">
        <is>
          <t>사용전검사</t>
        </is>
      </c>
      <c r="C995" s="46" t="inlineStr">
        <is>
          <t>부천지역</t>
        </is>
      </c>
      <c r="D995" s="46" t="inlineStr">
        <is>
          <t>우원개발</t>
        </is>
      </c>
      <c r="E995" s="46" t="n">
        <v>200</v>
      </c>
      <c r="F995" s="46" t="inlineStr">
        <is>
          <t>춘의동</t>
        </is>
      </c>
      <c r="G995" s="50" t="n"/>
      <c r="H995" s="51" t="n"/>
      <c r="I995" s="46" t="inlineStr">
        <is>
          <t>우승택</t>
        </is>
      </c>
      <c r="K995" s="46" t="n">
        <v>994</v>
      </c>
      <c r="L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6">
      <c r="A996" s="229" t="n">
        <v>46113</v>
      </c>
      <c r="B996" s="46" t="inlineStr">
        <is>
          <t>메모</t>
        </is>
      </c>
      <c r="C996" s="46" t="inlineStr">
        <is>
          <t>부천지역</t>
        </is>
      </c>
      <c r="D996" s="46" t="inlineStr">
        <is>
          <t>한태희 휴가</t>
        </is>
      </c>
      <c r="E996" s="46" t="n"/>
      <c r="F996" s="46" t="n"/>
      <c r="G996" s="50" t="n"/>
      <c r="H996" s="51" t="n"/>
      <c r="I996" s="46" t="n"/>
      <c r="K996" s="46" t="n">
        <v>995</v>
      </c>
      <c r="L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7">
      <c r="A997" s="229" t="n">
        <v>46113</v>
      </c>
      <c r="B997" s="46" t="inlineStr">
        <is>
          <t>사용전검사</t>
        </is>
      </c>
      <c r="C997" s="46" t="inlineStr">
        <is>
          <t>김포지역</t>
        </is>
      </c>
      <c r="D997" s="46" t="inlineStr">
        <is>
          <t>인천화학</t>
        </is>
      </c>
      <c r="E997" s="46" t="n">
        <v>100</v>
      </c>
      <c r="F997" s="46" t="inlineStr">
        <is>
          <t>대포리</t>
        </is>
      </c>
      <c r="G997" s="50" t="n"/>
      <c r="H997" s="51" t="n"/>
      <c r="I997" s="46" t="inlineStr">
        <is>
          <t>허창수</t>
        </is>
      </c>
      <c r="K997" s="46" t="n">
        <v>996</v>
      </c>
      <c r="L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8">
      <c r="A998" s="229" t="n">
        <v>46113</v>
      </c>
      <c r="B998" s="46" t="inlineStr">
        <is>
          <t>사용전검사</t>
        </is>
      </c>
      <c r="C998" s="46" t="inlineStr">
        <is>
          <t>김포지역</t>
        </is>
      </c>
      <c r="D998" s="46" t="inlineStr">
        <is>
          <t>아산</t>
        </is>
      </c>
      <c r="E998" s="46" t="inlineStr">
        <is>
          <t>변변</t>
        </is>
      </c>
      <c r="F998" s="46" t="inlineStr">
        <is>
          <t>율생리</t>
        </is>
      </c>
      <c r="G998" s="50" t="n"/>
      <c r="H998" s="51" t="n"/>
      <c r="I998" s="46" t="inlineStr">
        <is>
          <t>민경수</t>
        </is>
      </c>
      <c r="K998" s="46" t="n">
        <v>997</v>
      </c>
      <c r="L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9">
      <c r="A999" s="229" t="n">
        <v>46113</v>
      </c>
      <c r="B999" s="46" t="inlineStr">
        <is>
          <t>사용전검사</t>
        </is>
      </c>
      <c r="C999" s="46" t="inlineStr">
        <is>
          <t>김포지역</t>
        </is>
      </c>
      <c r="D999" s="46" t="inlineStr">
        <is>
          <t>이수철강</t>
        </is>
      </c>
      <c r="E999" s="46" t="n">
        <v>290</v>
      </c>
      <c r="F999" s="46" t="inlineStr">
        <is>
          <t>학운리</t>
        </is>
      </c>
      <c r="G999" s="50" t="n"/>
      <c r="H999" s="51" t="n"/>
      <c r="I999" s="46" t="inlineStr">
        <is>
          <t>정신배</t>
        </is>
      </c>
      <c r="K999" s="46" t="n">
        <v>998</v>
      </c>
      <c r="L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0">
      <c r="A1000" s="229" t="n">
        <v>46114</v>
      </c>
      <c r="B1000" s="46" t="inlineStr">
        <is>
          <t>정기검사</t>
        </is>
      </c>
      <c r="C1000" s="46" t="inlineStr">
        <is>
          <t>부천지역</t>
        </is>
      </c>
      <c r="D1000" s="46" t="inlineStr">
        <is>
          <t>중동푸르지오</t>
        </is>
      </c>
      <c r="E1000" s="46" t="inlineStr">
        <is>
          <t>2100/364</t>
        </is>
      </c>
      <c r="F1000" s="46" t="inlineStr">
        <is>
          <t>송내동</t>
        </is>
      </c>
      <c r="G1000" s="50" t="n">
        <v>0.4166666666666667</v>
      </c>
      <c r="H1000" s="51" t="n">
        <v>1295250</v>
      </c>
      <c r="I1000" s="46" t="inlineStr">
        <is>
          <t>민경수</t>
        </is>
      </c>
      <c r="K1000" s="46" t="n">
        <v>999</v>
      </c>
      <c r="L1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1">
      <c r="A1001" s="229" t="n">
        <v>46114</v>
      </c>
      <c r="B1001" s="46" t="inlineStr">
        <is>
          <t>정기검사</t>
        </is>
      </c>
      <c r="C1001" s="46" t="inlineStr">
        <is>
          <t>부천지역</t>
        </is>
      </c>
      <c r="D1001" s="46" t="inlineStr">
        <is>
          <t>중동푸르지오</t>
        </is>
      </c>
      <c r="E1001" s="46" t="inlineStr">
        <is>
          <t>1150/209</t>
        </is>
      </c>
      <c r="F1001" s="46" t="inlineStr">
        <is>
          <t>송내동</t>
        </is>
      </c>
      <c r="G1001" s="50" t="n">
        <v>0.5833333333333334</v>
      </c>
      <c r="H1001" s="51" t="n">
        <v>1126730</v>
      </c>
      <c r="I1001" s="46" t="inlineStr">
        <is>
          <t>민재홍</t>
        </is>
      </c>
      <c r="K1001" s="46" t="n">
        <v>1000</v>
      </c>
      <c r="L1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2">
      <c r="A1002" s="229" t="n">
        <v>46114</v>
      </c>
      <c r="B1002" s="46" t="inlineStr">
        <is>
          <t>정기검사</t>
        </is>
      </c>
      <c r="C1002" s="46" t="inlineStr">
        <is>
          <t>부천지역</t>
        </is>
      </c>
      <c r="D1002" s="46" t="inlineStr">
        <is>
          <t>메가전기차</t>
        </is>
      </c>
      <c r="E1002" s="46" t="n">
        <v>7</v>
      </c>
      <c r="F1002" s="46" t="inlineStr">
        <is>
          <t>상동</t>
        </is>
      </c>
      <c r="G1002" s="50" t="n">
        <v>0.4166666666666667</v>
      </c>
      <c r="H1002" s="51" t="n">
        <v>64240</v>
      </c>
      <c r="I1002" s="46" t="inlineStr">
        <is>
          <t>송낙명</t>
        </is>
      </c>
      <c r="K1002" s="46" t="n">
        <v>1001</v>
      </c>
      <c r="L1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3">
      <c r="A1003" s="229" t="n">
        <v>46114</v>
      </c>
      <c r="B1003" s="46" t="inlineStr">
        <is>
          <t>정기검사</t>
        </is>
      </c>
      <c r="C1003" s="46" t="inlineStr">
        <is>
          <t>부천지역</t>
        </is>
      </c>
      <c r="D1003" s="46" t="inlineStr">
        <is>
          <t>지에스케이이</t>
        </is>
      </c>
      <c r="E1003" s="46" t="n">
        <v>290</v>
      </c>
      <c r="F1003" s="46" t="inlineStr">
        <is>
          <t>도당동</t>
        </is>
      </c>
      <c r="G1003" s="50" t="n">
        <v>0.5833333333333334</v>
      </c>
      <c r="H1003" s="51" t="n">
        <v>515130</v>
      </c>
      <c r="I1003" s="46" t="inlineStr">
        <is>
          <t>송낙명</t>
        </is>
      </c>
      <c r="K1003" s="46" t="n">
        <v>1002</v>
      </c>
      <c r="L1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4">
      <c r="A1004" s="229" t="n">
        <v>46114</v>
      </c>
      <c r="B1004" s="46" t="inlineStr">
        <is>
          <t>정기검사</t>
        </is>
      </c>
      <c r="C1004" s="46" t="inlineStr">
        <is>
          <t>김포지역</t>
        </is>
      </c>
      <c r="D1004" s="46" t="inlineStr">
        <is>
          <t>장기동행복주택</t>
        </is>
      </c>
      <c r="E1004" s="46" t="inlineStr">
        <is>
          <t>550/200</t>
        </is>
      </c>
      <c r="F1004" s="46" t="inlineStr">
        <is>
          <t>구래동</t>
        </is>
      </c>
      <c r="G1004" s="50" t="n">
        <v>0.4166666666666667</v>
      </c>
      <c r="H1004" s="51" t="n">
        <v>949740</v>
      </c>
      <c r="I1004" s="46" t="inlineStr">
        <is>
          <t>서수형</t>
        </is>
      </c>
      <c r="K1004" s="46" t="n">
        <v>1003</v>
      </c>
      <c r="L1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5">
      <c r="A1005" s="229" t="n">
        <v>46114</v>
      </c>
      <c r="B1005" s="46" t="inlineStr">
        <is>
          <t>정기검사</t>
        </is>
      </c>
      <c r="C1005" s="46" t="inlineStr">
        <is>
          <t>김포지역</t>
        </is>
      </c>
      <c r="D1005" s="46" t="inlineStr">
        <is>
          <t>우미린아파트</t>
        </is>
      </c>
      <c r="E1005" s="46" t="inlineStr">
        <is>
          <t>1700/363</t>
        </is>
      </c>
      <c r="F1005" s="46" t="inlineStr">
        <is>
          <t>구래동</t>
        </is>
      </c>
      <c r="G1005" s="50" t="n">
        <v>0.4166666666666667</v>
      </c>
      <c r="H1005" s="51" t="n">
        <v>1236510</v>
      </c>
      <c r="I1005" s="46" t="inlineStr">
        <is>
          <t>김영권</t>
        </is>
      </c>
      <c r="K1005" s="46" t="n">
        <v>1004</v>
      </c>
      <c r="L1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6">
      <c r="A1006" s="229" t="n">
        <v>46114</v>
      </c>
      <c r="B1006" s="46" t="inlineStr">
        <is>
          <t>정기검사</t>
        </is>
      </c>
      <c r="C1006" s="46" t="inlineStr">
        <is>
          <t>김포지역</t>
        </is>
      </c>
      <c r="D1006" s="46" t="inlineStr">
        <is>
          <t>걸포북변역</t>
        </is>
      </c>
      <c r="E1006" s="46" t="n">
        <v>5600</v>
      </c>
      <c r="F1006" s="46" t="inlineStr">
        <is>
          <t>북변동</t>
        </is>
      </c>
      <c r="G1006" s="50" t="n"/>
      <c r="H1006" s="51" t="n">
        <v>2034890</v>
      </c>
      <c r="I1006" s="46" t="inlineStr">
        <is>
          <t>우승택</t>
        </is>
      </c>
      <c r="K1006" s="46" t="n">
        <v>1005</v>
      </c>
      <c r="L1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7">
      <c r="A1007" s="229" t="n">
        <v>46114</v>
      </c>
      <c r="B1007" s="46" t="inlineStr">
        <is>
          <t>정기검사</t>
        </is>
      </c>
      <c r="C1007" s="46" t="inlineStr">
        <is>
          <t>김포지역</t>
        </is>
      </c>
      <c r="D1007" s="46" t="inlineStr">
        <is>
          <t>14환기구</t>
        </is>
      </c>
      <c r="E1007" s="46" t="n">
        <v>400</v>
      </c>
      <c r="F1007" s="46" t="inlineStr">
        <is>
          <t>북변동</t>
        </is>
      </c>
      <c r="G1007" s="50" t="n"/>
      <c r="H1007" s="51" t="n">
        <v>969540</v>
      </c>
      <c r="I1007" s="46" t="inlineStr">
        <is>
          <t>한태희</t>
        </is>
      </c>
      <c r="K1007" s="46" t="n">
        <v>1006</v>
      </c>
      <c r="L1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8">
      <c r="A1008" s="229" t="n">
        <v>46114</v>
      </c>
      <c r="B1008" s="46" t="inlineStr">
        <is>
          <t>정기검사</t>
        </is>
      </c>
      <c r="C1008" s="46" t="inlineStr">
        <is>
          <t>김포지역</t>
        </is>
      </c>
      <c r="D1008" s="46" t="inlineStr">
        <is>
          <t>김포대림아파트</t>
        </is>
      </c>
      <c r="E1008" s="46" t="n">
        <v>1700</v>
      </c>
      <c r="F1008" s="46" t="inlineStr">
        <is>
          <t>북변동</t>
        </is>
      </c>
      <c r="G1008" s="50" t="n">
        <v>0.5625</v>
      </c>
      <c r="H1008" s="51" t="n">
        <v>1231230</v>
      </c>
      <c r="I1008" s="46" t="inlineStr">
        <is>
          <t>이종석</t>
        </is>
      </c>
      <c r="K1008" s="46" t="n">
        <v>1007</v>
      </c>
      <c r="L1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9">
      <c r="A1009" s="229" t="n">
        <v>46114</v>
      </c>
      <c r="B1009" s="46" t="inlineStr">
        <is>
          <t>정기검사</t>
        </is>
      </c>
      <c r="C1009" s="46" t="inlineStr">
        <is>
          <t>김포지역</t>
        </is>
      </c>
      <c r="D1009" s="46" t="inlineStr">
        <is>
          <t>김포대림아파트</t>
        </is>
      </c>
      <c r="E1009" s="46" t="n">
        <v>7</v>
      </c>
      <c r="F1009" s="46" t="inlineStr">
        <is>
          <t>북변동</t>
        </is>
      </c>
      <c r="G1009" s="50" t="n">
        <v>0.6041666666666666</v>
      </c>
      <c r="H1009" s="51" t="n">
        <v>89650</v>
      </c>
      <c r="I1009" s="46" t="inlineStr">
        <is>
          <t>이종석</t>
        </is>
      </c>
      <c r="K1009" s="46" t="n">
        <v>1008</v>
      </c>
      <c r="L1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0">
      <c r="A1010" s="229" t="n">
        <v>46114</v>
      </c>
      <c r="B1010" s="46" t="inlineStr">
        <is>
          <t>정기검사</t>
        </is>
      </c>
      <c r="C1010" s="46" t="inlineStr">
        <is>
          <t>김포지역</t>
        </is>
      </c>
      <c r="D1010" s="46" t="inlineStr">
        <is>
          <t>이원란</t>
        </is>
      </c>
      <c r="E1010" s="46" t="n">
        <v>690</v>
      </c>
      <c r="F1010" s="46" t="inlineStr">
        <is>
          <t>성동리</t>
        </is>
      </c>
      <c r="G1010" s="50" t="n">
        <v>0.4166666666666667</v>
      </c>
      <c r="H1010" s="51" t="n">
        <v>801350</v>
      </c>
      <c r="I1010" s="46" t="inlineStr">
        <is>
          <t>정성관</t>
        </is>
      </c>
      <c r="K1010" s="46" t="n">
        <v>1009</v>
      </c>
      <c r="L1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1">
      <c r="A1011" s="229" t="n">
        <v>46114</v>
      </c>
      <c r="B1011" s="46" t="inlineStr">
        <is>
          <t>정기검사</t>
        </is>
      </c>
      <c r="C1011" s="46" t="inlineStr">
        <is>
          <t>김포지역</t>
        </is>
      </c>
      <c r="D1011" s="46" t="inlineStr">
        <is>
          <t>선보에스피</t>
        </is>
      </c>
      <c r="E1011" s="46" t="n">
        <v>290</v>
      </c>
      <c r="F1011" s="46" t="inlineStr">
        <is>
          <t>학운리</t>
        </is>
      </c>
      <c r="G1011" s="50" t="n">
        <v>0.5</v>
      </c>
      <c r="H1011" s="51" t="n">
        <v>515130</v>
      </c>
      <c r="I1011" s="46" t="inlineStr">
        <is>
          <t>송두기</t>
        </is>
      </c>
      <c r="K1011" s="46" t="n">
        <v>1010</v>
      </c>
      <c r="L1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2">
      <c r="A1012" s="229" t="n">
        <v>46114</v>
      </c>
      <c r="B1012" s="46" t="inlineStr">
        <is>
          <t>정기검사</t>
        </is>
      </c>
      <c r="C1012" s="46" t="inlineStr">
        <is>
          <t>김포지역</t>
        </is>
      </c>
      <c r="D1012" s="46" t="inlineStr">
        <is>
          <t>정일금속</t>
        </is>
      </c>
      <c r="E1012" s="46" t="n">
        <v>290</v>
      </c>
      <c r="F1012" s="46" t="inlineStr">
        <is>
          <t>갈산리</t>
        </is>
      </c>
      <c r="G1012" s="50" t="n">
        <v>0.6458333333333334</v>
      </c>
      <c r="H1012" s="51" t="n">
        <v>515130</v>
      </c>
      <c r="I1012" s="46" t="inlineStr">
        <is>
          <t>정성관</t>
        </is>
      </c>
      <c r="K1012" s="46" t="n">
        <v>1011</v>
      </c>
      <c r="L1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3">
      <c r="A1013" s="229" t="n">
        <v>46114</v>
      </c>
      <c r="B1013" s="46" t="inlineStr">
        <is>
          <t>정기검사</t>
        </is>
      </c>
      <c r="C1013" s="46" t="inlineStr">
        <is>
          <t>김포지역</t>
        </is>
      </c>
      <c r="D1013" s="46" t="inlineStr">
        <is>
          <t>주방114</t>
        </is>
      </c>
      <c r="E1013" s="46" t="n">
        <v>500</v>
      </c>
      <c r="F1013" s="46" t="inlineStr">
        <is>
          <t>송마리</t>
        </is>
      </c>
      <c r="G1013" s="50" t="n">
        <v>0.5208333333333334</v>
      </c>
      <c r="H1013" s="51" t="n">
        <v>737000</v>
      </c>
      <c r="I1013" s="46" t="inlineStr">
        <is>
          <t>이덕기</t>
        </is>
      </c>
      <c r="K1013" s="46" t="n">
        <v>1012</v>
      </c>
      <c r="L1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4">
      <c r="A1014" s="229" t="n">
        <v>46114</v>
      </c>
      <c r="B1014" s="46" t="inlineStr">
        <is>
          <t>사용전검사</t>
        </is>
      </c>
      <c r="C1014" s="46" t="inlineStr">
        <is>
          <t>김포지역</t>
        </is>
      </c>
      <c r="D1014" s="46" t="inlineStr">
        <is>
          <t>호영테크</t>
        </is>
      </c>
      <c r="E1014" s="46" t="n">
        <v>950</v>
      </c>
      <c r="F1014" s="46" t="inlineStr">
        <is>
          <t>귀전리</t>
        </is>
      </c>
      <c r="G1014" s="50" t="n"/>
      <c r="H1014" s="51" t="n"/>
      <c r="I1014" s="46" t="inlineStr">
        <is>
          <t>정신배</t>
        </is>
      </c>
      <c r="K1014" s="46" t="n">
        <v>1013</v>
      </c>
      <c r="L1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5">
      <c r="A1015" s="229" t="n">
        <v>46114</v>
      </c>
      <c r="B1015" s="46" t="inlineStr">
        <is>
          <t>사용전검사</t>
        </is>
      </c>
      <c r="C1015" s="46" t="inlineStr">
        <is>
          <t>김포지역</t>
        </is>
      </c>
      <c r="D1015" s="46" t="inlineStr">
        <is>
          <t>태성철강</t>
        </is>
      </c>
      <c r="E1015" s="46" t="inlineStr">
        <is>
          <t>부분</t>
        </is>
      </c>
      <c r="F1015" s="46" t="n"/>
      <c r="G1015" s="50" t="n"/>
      <c r="H1015" s="51" t="n"/>
      <c r="I1015" s="46" t="inlineStr">
        <is>
          <t>정성관</t>
        </is>
      </c>
      <c r="K1015" s="46" t="n">
        <v>1014</v>
      </c>
      <c r="L1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6">
      <c r="A1016" s="229" t="n">
        <v>46116</v>
      </c>
      <c r="B1016" s="46" t="inlineStr">
        <is>
          <t>정기검사</t>
        </is>
      </c>
      <c r="C1016" s="46" t="inlineStr">
        <is>
          <t>김포지역</t>
        </is>
      </c>
      <c r="D1016" s="46" t="inlineStr">
        <is>
          <t>사우역</t>
        </is>
      </c>
      <c r="E1016" s="46" t="n">
        <v>1600</v>
      </c>
      <c r="F1016" s="46" t="inlineStr">
        <is>
          <t>사우동</t>
        </is>
      </c>
      <c r="G1016" s="50" t="n"/>
      <c r="H1016" s="51" t="n">
        <v>1292390</v>
      </c>
      <c r="I1016" s="46" t="inlineStr">
        <is>
          <t>우승택</t>
        </is>
      </c>
      <c r="K1016" s="46" t="n">
        <v>1015</v>
      </c>
      <c r="L1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7">
      <c r="A1017" s="229" t="n">
        <v>46116</v>
      </c>
      <c r="B1017" s="46" t="inlineStr">
        <is>
          <t>정기검사</t>
        </is>
      </c>
      <c r="C1017" s="46" t="inlineStr">
        <is>
          <t>김포지역</t>
        </is>
      </c>
      <c r="D1017" s="46" t="inlineStr">
        <is>
          <t>17환기구</t>
        </is>
      </c>
      <c r="E1017" s="46" t="n">
        <v>500</v>
      </c>
      <c r="F1017" s="46" t="inlineStr">
        <is>
          <t>사우동</t>
        </is>
      </c>
      <c r="G1017" s="50" t="n"/>
      <c r="H1017" s="51" t="n">
        <v>1013650</v>
      </c>
      <c r="I1017" s="46" t="inlineStr">
        <is>
          <t>정신배</t>
        </is>
      </c>
      <c r="K1017" s="46" t="n">
        <v>1016</v>
      </c>
      <c r="L1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8">
      <c r="A1018" s="229" t="n">
        <v>46116</v>
      </c>
      <c r="B1018" s="46" t="inlineStr">
        <is>
          <t>정기검사</t>
        </is>
      </c>
      <c r="C1018" s="46" t="inlineStr">
        <is>
          <t>김포지역</t>
        </is>
      </c>
      <c r="D1018" s="46" t="inlineStr">
        <is>
          <t>우성패키징</t>
        </is>
      </c>
      <c r="E1018" s="46" t="n">
        <v>4000</v>
      </c>
      <c r="F1018" s="46" t="inlineStr">
        <is>
          <t>고정리</t>
        </is>
      </c>
      <c r="G1018" s="50" t="n"/>
      <c r="H1018" s="51" t="n">
        <v>1748890</v>
      </c>
      <c r="I1018" s="46" t="inlineStr">
        <is>
          <t>김영권</t>
        </is>
      </c>
      <c r="K1018" s="46" t="n">
        <v>1017</v>
      </c>
      <c r="L1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9">
      <c r="A1019" s="229" t="n">
        <v>46116</v>
      </c>
      <c r="B1019" s="46" t="inlineStr">
        <is>
          <t>사용전검사</t>
        </is>
      </c>
      <c r="C1019" s="46" t="inlineStr">
        <is>
          <t>부천지역</t>
        </is>
      </c>
      <c r="D1019" s="46" t="inlineStr">
        <is>
          <t>개성</t>
        </is>
      </c>
      <c r="E1019" s="46" t="n">
        <v>500</v>
      </c>
      <c r="F1019" s="46" t="inlineStr">
        <is>
          <t>도당동</t>
        </is>
      </c>
      <c r="G1019" s="50" t="n"/>
      <c r="H1019" s="51" t="n"/>
      <c r="I1019" s="46" t="inlineStr">
        <is>
          <t>민경수</t>
        </is>
      </c>
      <c r="K1019" s="46" t="n">
        <v>1018</v>
      </c>
      <c r="L1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0">
      <c r="A1020" s="229" t="n">
        <v>46117</v>
      </c>
      <c r="B1020" s="46" t="inlineStr">
        <is>
          <t>정기검사</t>
        </is>
      </c>
      <c r="C1020" s="46" t="inlineStr">
        <is>
          <t>부천지역</t>
        </is>
      </c>
      <c r="D1020" s="46" t="inlineStr">
        <is>
          <t>세종병원</t>
        </is>
      </c>
      <c r="E1020" s="46" t="inlineStr">
        <is>
          <t>4700/910</t>
        </is>
      </c>
      <c r="F1020" s="46" t="inlineStr">
        <is>
          <t>소사동</t>
        </is>
      </c>
      <c r="G1020" s="50" t="n">
        <v>0.3958333333333333</v>
      </c>
      <c r="H1020" s="51" t="n">
        <v>3097270</v>
      </c>
      <c r="I1020" s="46" t="inlineStr">
        <is>
          <t>이종석</t>
        </is>
      </c>
      <c r="K1020" s="46" t="n">
        <v>1019</v>
      </c>
      <c r="L1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1">
      <c r="A1021" s="229" t="n">
        <v>46117</v>
      </c>
      <c r="B1021" s="46" t="inlineStr">
        <is>
          <t>정기검사</t>
        </is>
      </c>
      <c r="C1021" s="46" t="inlineStr">
        <is>
          <t>부천지역</t>
        </is>
      </c>
      <c r="D1021" s="46" t="inlineStr">
        <is>
          <t>인철테크노밸리</t>
        </is>
      </c>
      <c r="E1021" s="46" t="n">
        <v>900</v>
      </c>
      <c r="F1021" s="46" t="inlineStr">
        <is>
          <t>삼정동</t>
        </is>
      </c>
      <c r="G1021" s="50" t="n">
        <v>0.3958333333333333</v>
      </c>
      <c r="H1021" s="51" t="n">
        <v>1134210</v>
      </c>
      <c r="I1021" s="46" t="inlineStr">
        <is>
          <t>민재홍</t>
        </is>
      </c>
      <c r="K1021" s="46" t="n">
        <v>1020</v>
      </c>
      <c r="L1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2">
      <c r="A1022" s="229" t="n">
        <v>46118</v>
      </c>
      <c r="B1022" s="46" t="inlineStr">
        <is>
          <t>정기검사</t>
        </is>
      </c>
      <c r="C1022" s="46" t="inlineStr">
        <is>
          <t>부천지역</t>
        </is>
      </c>
      <c r="D1022" s="46" t="inlineStr">
        <is>
          <t>뉴스타프라자</t>
        </is>
      </c>
      <c r="E1022" s="46" t="inlineStr">
        <is>
          <t>300/69</t>
        </is>
      </c>
      <c r="F1022" s="46" t="inlineStr">
        <is>
          <t>상동</t>
        </is>
      </c>
      <c r="G1022" s="50" t="n">
        <v>0.3958333333333333</v>
      </c>
      <c r="H1022" s="51" t="n">
        <v>678700</v>
      </c>
      <c r="I1022" s="46" t="inlineStr">
        <is>
          <t>이종석</t>
        </is>
      </c>
      <c r="K1022" s="46" t="n">
        <v>1021</v>
      </c>
      <c r="L1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3">
      <c r="A1023" s="229" t="n">
        <v>46118</v>
      </c>
      <c r="B1023" s="46" t="inlineStr">
        <is>
          <t>정기검사</t>
        </is>
      </c>
      <c r="C1023" s="46" t="inlineStr">
        <is>
          <t>부천지역</t>
        </is>
      </c>
      <c r="D1023" s="46" t="inlineStr">
        <is>
          <t>소중민방위</t>
        </is>
      </c>
      <c r="E1023" s="46" t="n">
        <v>18</v>
      </c>
      <c r="F1023" s="46" t="inlineStr">
        <is>
          <t>소사동</t>
        </is>
      </c>
      <c r="G1023" s="50" t="n">
        <v>0.4375</v>
      </c>
      <c r="H1023" s="51" t="n">
        <v>141900</v>
      </c>
      <c r="I1023" s="46" t="inlineStr">
        <is>
          <t>송낙명</t>
        </is>
      </c>
      <c r="K1023" s="46" t="n">
        <v>1022</v>
      </c>
      <c r="L1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4">
      <c r="A1024" s="229" t="n">
        <v>46118</v>
      </c>
      <c r="B1024" s="46" t="inlineStr">
        <is>
          <t>정기검사</t>
        </is>
      </c>
      <c r="C1024" s="46" t="inlineStr">
        <is>
          <t>김포지역</t>
        </is>
      </c>
      <c r="D1024" s="46" t="inlineStr">
        <is>
          <t>양도마을대림아파트</t>
        </is>
      </c>
      <c r="E1024" s="46" t="inlineStr">
        <is>
          <t>1500/327</t>
        </is>
      </c>
      <c r="F1024" s="46" t="inlineStr">
        <is>
          <t>풍무동</t>
        </is>
      </c>
      <c r="G1024" s="50" t="n">
        <v>0.4166666666666667</v>
      </c>
      <c r="H1024" s="51" t="n">
        <v>1199550</v>
      </c>
      <c r="I1024" s="46" t="inlineStr">
        <is>
          <t>정신배</t>
        </is>
      </c>
      <c r="K1024" s="46" t="n">
        <v>1023</v>
      </c>
      <c r="L1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5">
      <c r="A1025" s="229" t="n">
        <v>46118</v>
      </c>
      <c r="B1025" s="46" t="inlineStr">
        <is>
          <t>정기검사</t>
        </is>
      </c>
      <c r="C1025" s="46" t="inlineStr">
        <is>
          <t>김포지역</t>
        </is>
      </c>
      <c r="D1025" s="46" t="inlineStr">
        <is>
          <t>풍무역</t>
        </is>
      </c>
      <c r="E1025" s="46" t="n">
        <v>5590</v>
      </c>
      <c r="F1025" s="46" t="inlineStr">
        <is>
          <t>사우동</t>
        </is>
      </c>
      <c r="G1025" s="50" t="n"/>
      <c r="H1025" s="51" t="n">
        <v>2034230</v>
      </c>
      <c r="I1025" s="46" t="inlineStr">
        <is>
          <t>우승택</t>
        </is>
      </c>
      <c r="K1025" s="46" t="n">
        <v>1024</v>
      </c>
      <c r="L1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6">
      <c r="A1026" s="229" t="n">
        <v>46118</v>
      </c>
      <c r="B1026" s="46" t="inlineStr">
        <is>
          <t>정기검사</t>
        </is>
      </c>
      <c r="C1026" s="46" t="inlineStr">
        <is>
          <t>김포지역</t>
        </is>
      </c>
      <c r="D1026" s="46" t="inlineStr">
        <is>
          <t>원진전자</t>
        </is>
      </c>
      <c r="E1026" s="46" t="n">
        <v>290</v>
      </c>
      <c r="F1026" s="46" t="inlineStr">
        <is>
          <t>송마리</t>
        </is>
      </c>
      <c r="G1026" s="50" t="n">
        <v>0.5416666666666666</v>
      </c>
      <c r="H1026" s="51" t="n">
        <v>515130</v>
      </c>
      <c r="I1026" s="46" t="inlineStr">
        <is>
          <t>정성관</t>
        </is>
      </c>
      <c r="K1026" s="46" t="n">
        <v>1025</v>
      </c>
      <c r="L1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7">
      <c r="A1027" s="229" t="n">
        <v>46118</v>
      </c>
      <c r="B1027" s="46" t="inlineStr">
        <is>
          <t>정기검사</t>
        </is>
      </c>
      <c r="C1027" s="46" t="inlineStr">
        <is>
          <t>김포지역</t>
        </is>
      </c>
      <c r="D1027" s="46" t="inlineStr">
        <is>
          <t>엘지유플러스</t>
        </is>
      </c>
      <c r="E1027" s="46" t="inlineStr">
        <is>
          <t>전기차</t>
        </is>
      </c>
      <c r="F1027" s="46" t="inlineStr">
        <is>
          <t>풍무동</t>
        </is>
      </c>
      <c r="G1027" s="50" t="n"/>
      <c r="H1027" s="51" t="n"/>
      <c r="I1027" s="46" t="inlineStr">
        <is>
          <t>정신배</t>
        </is>
      </c>
      <c r="K1027" s="46" t="n">
        <v>1026</v>
      </c>
      <c r="L1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8">
      <c r="A1028" s="229" t="n">
        <v>46118</v>
      </c>
      <c r="B1028" s="46" t="inlineStr">
        <is>
          <t>정기검사</t>
        </is>
      </c>
      <c r="C1028" s="46" t="inlineStr">
        <is>
          <t>김포지역</t>
        </is>
      </c>
      <c r="D1028" s="46" t="inlineStr">
        <is>
          <t>하늘태양광</t>
        </is>
      </c>
      <c r="E1028" s="46" t="n">
        <v>18</v>
      </c>
      <c r="F1028" s="46" t="inlineStr">
        <is>
          <t>시암리</t>
        </is>
      </c>
      <c r="G1028" s="50" t="n"/>
      <c r="H1028" s="51" t="n">
        <v>140140</v>
      </c>
      <c r="I1028" s="46" t="inlineStr">
        <is>
          <t>김영권</t>
        </is>
      </c>
      <c r="K1028" s="46" t="n">
        <v>1027</v>
      </c>
      <c r="L1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9">
      <c r="A1029" s="229" t="n">
        <v>46118</v>
      </c>
      <c r="B1029" s="46" t="inlineStr">
        <is>
          <t>정기검사</t>
        </is>
      </c>
      <c r="C1029" s="46" t="inlineStr">
        <is>
          <t>김포지역</t>
        </is>
      </c>
      <c r="D1029" s="46" t="inlineStr">
        <is>
          <t>황금의자</t>
        </is>
      </c>
      <c r="E1029" s="46" t="n">
        <v>400</v>
      </c>
      <c r="F1029" s="46" t="inlineStr">
        <is>
          <t>송마리</t>
        </is>
      </c>
      <c r="G1029" s="50" t="inlineStr">
        <is>
          <t>편한시간</t>
        </is>
      </c>
      <c r="H1029" s="51" t="n">
        <v>456720</v>
      </c>
      <c r="I1029" s="46" t="inlineStr">
        <is>
          <t>이덕기</t>
        </is>
      </c>
      <c r="K1029" s="46" t="n">
        <v>1028</v>
      </c>
      <c r="L1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0">
      <c r="A1030" s="229" t="n">
        <v>46118</v>
      </c>
      <c r="B1030" s="46" t="inlineStr">
        <is>
          <t>사용전검사</t>
        </is>
      </c>
      <c r="C1030" s="46" t="inlineStr">
        <is>
          <t>부천지역</t>
        </is>
      </c>
      <c r="D1030" s="46" t="inlineStr">
        <is>
          <t>대성7호</t>
        </is>
      </c>
      <c r="E1030" s="46" t="n">
        <v>89</v>
      </c>
      <c r="F1030" s="46" t="inlineStr">
        <is>
          <t>석탄리</t>
        </is>
      </c>
      <c r="G1030" s="50" t="n"/>
      <c r="H1030" s="51" t="n"/>
      <c r="I1030" s="46" t="inlineStr">
        <is>
          <t>송두기</t>
        </is>
      </c>
      <c r="K1030" s="46" t="n">
        <v>1029</v>
      </c>
      <c r="L1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1">
      <c r="A1031" s="229" t="n">
        <v>46118</v>
      </c>
      <c r="B1031" s="46" t="inlineStr">
        <is>
          <t>사용전검사</t>
        </is>
      </c>
      <c r="C1031" s="46" t="inlineStr">
        <is>
          <t>부천지역</t>
        </is>
      </c>
      <c r="D1031" s="46" t="inlineStr">
        <is>
          <t>대성8호</t>
        </is>
      </c>
      <c r="E1031" s="46" t="n">
        <v>90</v>
      </c>
      <c r="F1031" s="46" t="inlineStr">
        <is>
          <t>석탄리</t>
        </is>
      </c>
      <c r="G1031" s="50" t="n"/>
      <c r="H1031" s="51" t="n"/>
      <c r="I1031" s="46" t="inlineStr">
        <is>
          <t>송두기</t>
        </is>
      </c>
      <c r="K1031" s="46" t="n">
        <v>1030</v>
      </c>
      <c r="L1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2">
      <c r="A1032" s="229" t="n">
        <v>46118</v>
      </c>
      <c r="B1032" s="46" t="inlineStr">
        <is>
          <t>사용전검사</t>
        </is>
      </c>
      <c r="C1032" s="46" t="inlineStr">
        <is>
          <t>부천지역</t>
        </is>
      </c>
      <c r="D1032" s="46" t="inlineStr">
        <is>
          <t>대성9호</t>
        </is>
      </c>
      <c r="E1032" s="46" t="n">
        <v>91</v>
      </c>
      <c r="F1032" s="46" t="inlineStr">
        <is>
          <t>석탄리</t>
        </is>
      </c>
      <c r="G1032" s="50" t="n"/>
      <c r="H1032" s="51" t="n"/>
      <c r="I1032" s="46" t="inlineStr">
        <is>
          <t>송두기</t>
        </is>
      </c>
      <c r="K1032" s="46" t="n">
        <v>1031</v>
      </c>
      <c r="L1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3">
      <c r="A1033" s="229" t="n">
        <v>46118</v>
      </c>
      <c r="B1033" s="46" t="inlineStr">
        <is>
          <t>사용전검사</t>
        </is>
      </c>
      <c r="C1033" s="46" t="inlineStr">
        <is>
          <t>부천지역</t>
        </is>
      </c>
      <c r="D1033" s="46" t="inlineStr">
        <is>
          <t>대성10호</t>
        </is>
      </c>
      <c r="E1033" s="46" t="n">
        <v>92</v>
      </c>
      <c r="F1033" s="46" t="inlineStr">
        <is>
          <t>석탄리</t>
        </is>
      </c>
      <c r="G1033" s="50" t="n"/>
      <c r="H1033" s="51" t="n"/>
      <c r="I1033" s="46" t="inlineStr">
        <is>
          <t>송두기</t>
        </is>
      </c>
      <c r="K1033" s="46" t="n">
        <v>1032</v>
      </c>
      <c r="L1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4">
      <c r="A1034" s="229" t="n">
        <v>46118</v>
      </c>
      <c r="B1034" s="46" t="inlineStr">
        <is>
          <t>사용전검사</t>
        </is>
      </c>
      <c r="C1034" s="46" t="inlineStr">
        <is>
          <t>부천지역</t>
        </is>
      </c>
      <c r="D1034" s="46" t="inlineStr">
        <is>
          <t>대성11호</t>
        </is>
      </c>
      <c r="E1034" s="46" t="n">
        <v>93</v>
      </c>
      <c r="F1034" s="46" t="inlineStr">
        <is>
          <t>석탄리</t>
        </is>
      </c>
      <c r="G1034" s="50" t="n"/>
      <c r="H1034" s="51" t="n"/>
      <c r="I1034" s="46" t="inlineStr">
        <is>
          <t>김영권</t>
        </is>
      </c>
      <c r="K1034" s="46" t="n">
        <v>1033</v>
      </c>
      <c r="L1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5">
      <c r="A1035" s="229" t="n">
        <v>46118</v>
      </c>
      <c r="B1035" s="46" t="inlineStr">
        <is>
          <t>사용전검사</t>
        </is>
      </c>
      <c r="C1035" s="46" t="inlineStr">
        <is>
          <t>부천지역</t>
        </is>
      </c>
      <c r="D1035" s="46" t="inlineStr">
        <is>
          <t>대성12호</t>
        </is>
      </c>
      <c r="E1035" s="46" t="n">
        <v>94</v>
      </c>
      <c r="F1035" s="46" t="inlineStr">
        <is>
          <t>석탄리</t>
        </is>
      </c>
      <c r="G1035" s="50" t="n"/>
      <c r="H1035" s="51" t="n"/>
      <c r="I1035" s="46" t="inlineStr">
        <is>
          <t>김영권</t>
        </is>
      </c>
      <c r="K1035" s="46" t="n">
        <v>1034</v>
      </c>
      <c r="L1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6">
      <c r="A1036" s="229" t="n">
        <v>46118</v>
      </c>
      <c r="B1036" s="46" t="inlineStr">
        <is>
          <t>사용전검사</t>
        </is>
      </c>
      <c r="C1036" s="46" t="inlineStr">
        <is>
          <t>부천지역</t>
        </is>
      </c>
      <c r="D1036" s="46" t="inlineStr">
        <is>
          <t>대성13호</t>
        </is>
      </c>
      <c r="E1036" s="46" t="n">
        <v>95</v>
      </c>
      <c r="F1036" s="46" t="inlineStr">
        <is>
          <t>석탄리</t>
        </is>
      </c>
      <c r="G1036" s="50" t="n"/>
      <c r="H1036" s="51" t="n"/>
      <c r="I1036" s="46" t="inlineStr">
        <is>
          <t>김영권</t>
        </is>
      </c>
      <c r="K1036" s="46" t="n">
        <v>1035</v>
      </c>
      <c r="L1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7">
      <c r="A1037" s="229" t="n">
        <v>46118</v>
      </c>
      <c r="B1037" s="46" t="inlineStr">
        <is>
          <t>사용전검사</t>
        </is>
      </c>
      <c r="C1037" s="46" t="inlineStr">
        <is>
          <t>김포지역</t>
        </is>
      </c>
      <c r="D1037" s="46" t="inlineStr">
        <is>
          <t>대성1호</t>
        </is>
      </c>
      <c r="E1037" s="46" t="n">
        <v>89</v>
      </c>
      <c r="F1037" s="46" t="inlineStr">
        <is>
          <t>석탄리</t>
        </is>
      </c>
      <c r="G1037" s="50" t="n"/>
      <c r="H1037" s="51" t="n"/>
      <c r="I1037" s="46" t="inlineStr">
        <is>
          <t>민경수</t>
        </is>
      </c>
      <c r="K1037" s="46" t="n">
        <v>1036</v>
      </c>
      <c r="L1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8">
      <c r="A1038" s="229" t="n">
        <v>46118</v>
      </c>
      <c r="B1038" s="46" t="inlineStr">
        <is>
          <t>사용전검사</t>
        </is>
      </c>
      <c r="C1038" s="46" t="inlineStr">
        <is>
          <t>김포지역</t>
        </is>
      </c>
      <c r="D1038" s="46" t="inlineStr">
        <is>
          <t>대성2호</t>
        </is>
      </c>
      <c r="E1038" s="46" t="n">
        <v>90</v>
      </c>
      <c r="F1038" s="46" t="inlineStr">
        <is>
          <t>석탄리</t>
        </is>
      </c>
      <c r="G1038" s="50" t="n"/>
      <c r="H1038" s="51" t="n"/>
      <c r="I1038" s="46" t="inlineStr">
        <is>
          <t>민경수</t>
        </is>
      </c>
      <c r="K1038" s="46" t="n">
        <v>1037</v>
      </c>
      <c r="L1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9">
      <c r="A1039" s="229" t="n">
        <v>46118</v>
      </c>
      <c r="B1039" s="46" t="inlineStr">
        <is>
          <t>사용전검사</t>
        </is>
      </c>
      <c r="C1039" s="46" t="inlineStr">
        <is>
          <t>김포지역</t>
        </is>
      </c>
      <c r="D1039" s="46" t="inlineStr">
        <is>
          <t>대성3호</t>
        </is>
      </c>
      <c r="E1039" s="46" t="n">
        <v>91</v>
      </c>
      <c r="F1039" s="46" t="inlineStr">
        <is>
          <t>석탄리</t>
        </is>
      </c>
      <c r="G1039" s="50" t="n"/>
      <c r="H1039" s="51" t="n"/>
      <c r="I1039" s="46" t="inlineStr">
        <is>
          <t>민경수</t>
        </is>
      </c>
      <c r="K1039" s="46" t="n">
        <v>1038</v>
      </c>
      <c r="L1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0">
      <c r="A1040" s="229" t="n">
        <v>46118</v>
      </c>
      <c r="B1040" s="46" t="inlineStr">
        <is>
          <t>사용전검사</t>
        </is>
      </c>
      <c r="C1040" s="46" t="inlineStr">
        <is>
          <t>김포지역</t>
        </is>
      </c>
      <c r="D1040" s="46" t="inlineStr">
        <is>
          <t>대성4호</t>
        </is>
      </c>
      <c r="E1040" s="46" t="n">
        <v>92</v>
      </c>
      <c r="F1040" s="46" t="inlineStr">
        <is>
          <t>석탄리</t>
        </is>
      </c>
      <c r="G1040" s="50" t="n"/>
      <c r="H1040" s="51" t="n"/>
      <c r="I1040" s="46" t="inlineStr">
        <is>
          <t>민재홍</t>
        </is>
      </c>
      <c r="K1040" s="46" t="n">
        <v>1039</v>
      </c>
      <c r="L1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1">
      <c r="A1041" s="229" t="n">
        <v>46118</v>
      </c>
      <c r="B1041" s="46" t="inlineStr">
        <is>
          <t>사용전검사</t>
        </is>
      </c>
      <c r="C1041" s="46" t="inlineStr">
        <is>
          <t>김포지역</t>
        </is>
      </c>
      <c r="D1041" s="46" t="inlineStr">
        <is>
          <t>대성5호</t>
        </is>
      </c>
      <c r="E1041" s="46" t="n">
        <v>93</v>
      </c>
      <c r="F1041" s="46" t="inlineStr">
        <is>
          <t>석탄리</t>
        </is>
      </c>
      <c r="G1041" s="50" t="n"/>
      <c r="H1041" s="51" t="n"/>
      <c r="I1041" s="46" t="inlineStr">
        <is>
          <t>민재홍</t>
        </is>
      </c>
      <c r="K1041" s="46" t="n">
        <v>1040</v>
      </c>
      <c r="L1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2">
      <c r="A1042" s="229" t="n">
        <v>46118</v>
      </c>
      <c r="B1042" s="46" t="inlineStr">
        <is>
          <t>사용전검사</t>
        </is>
      </c>
      <c r="C1042" s="46" t="inlineStr">
        <is>
          <t>김포지역</t>
        </is>
      </c>
      <c r="D1042" s="46" t="inlineStr">
        <is>
          <t>유진기업</t>
        </is>
      </c>
      <c r="E1042" s="46" t="n">
        <v>300</v>
      </c>
      <c r="F1042" s="46" t="inlineStr">
        <is>
          <t>풍무동</t>
        </is>
      </c>
      <c r="G1042" s="50" t="n"/>
      <c r="H1042" s="51" t="n"/>
      <c r="I1042" s="46" t="inlineStr">
        <is>
          <t>서수형</t>
        </is>
      </c>
      <c r="K1042" s="46" t="n">
        <v>1041</v>
      </c>
      <c r="L1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3">
      <c r="A1043" s="229" t="n">
        <v>46118</v>
      </c>
      <c r="B1043" s="46" t="inlineStr">
        <is>
          <t>사용전검사</t>
        </is>
      </c>
      <c r="C1043" s="46" t="inlineStr">
        <is>
          <t>김포지역</t>
        </is>
      </c>
      <c r="D1043" s="46" t="inlineStr">
        <is>
          <t>대성13호</t>
        </is>
      </c>
      <c r="E1043" s="46" t="n">
        <v>95</v>
      </c>
      <c r="F1043" s="46" t="inlineStr">
        <is>
          <t>석탄리</t>
        </is>
      </c>
      <c r="G1043" s="50" t="n"/>
      <c r="H1043" s="51" t="n"/>
      <c r="I1043" s="46" t="inlineStr">
        <is>
          <t>민재홍</t>
        </is>
      </c>
      <c r="K1043" s="46" t="n">
        <v>1042</v>
      </c>
      <c r="L1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4">
      <c r="A1044" s="229" t="n">
        <v>46118</v>
      </c>
      <c r="B1044" s="46" t="inlineStr">
        <is>
          <t>사용전검사</t>
        </is>
      </c>
      <c r="C1044" s="46" t="inlineStr">
        <is>
          <t>김포지역</t>
        </is>
      </c>
      <c r="D1044" s="46" t="inlineStr">
        <is>
          <t>대성14호</t>
        </is>
      </c>
      <c r="E1044" s="46" t="n">
        <v>96</v>
      </c>
      <c r="F1044" s="46" t="inlineStr">
        <is>
          <t>석탄리</t>
        </is>
      </c>
      <c r="G1044" s="50" t="n"/>
      <c r="H1044" s="51" t="n"/>
      <c r="I1044" s="46" t="inlineStr">
        <is>
          <t>민재홍</t>
        </is>
      </c>
      <c r="K1044" s="46" t="n">
        <v>1043</v>
      </c>
      <c r="L1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5">
      <c r="A1045" s="229" t="n">
        <v>46118</v>
      </c>
      <c r="B1045" s="46" t="inlineStr">
        <is>
          <t>사용전검사</t>
        </is>
      </c>
      <c r="C1045" s="46" t="inlineStr">
        <is>
          <t>김포지역</t>
        </is>
      </c>
      <c r="D1045" s="46" t="inlineStr">
        <is>
          <t>하모니오토모빌</t>
        </is>
      </c>
      <c r="E1045" s="46" t="n">
        <v>100</v>
      </c>
      <c r="F1045" s="46" t="inlineStr">
        <is>
          <t>구래동</t>
        </is>
      </c>
      <c r="G1045" s="50" t="n"/>
      <c r="H1045" s="51" t="n"/>
      <c r="I1045" s="46" t="inlineStr">
        <is>
          <t>이덕기</t>
        </is>
      </c>
      <c r="K1045" s="46" t="n">
        <v>1044</v>
      </c>
      <c r="L1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6">
      <c r="A1046" s="229" t="n">
        <v>46118</v>
      </c>
      <c r="B1046" s="46" t="inlineStr">
        <is>
          <t>사용전검사</t>
        </is>
      </c>
      <c r="C1046" s="46" t="inlineStr">
        <is>
          <t>김포지역</t>
        </is>
      </c>
      <c r="D1046" s="46" t="inlineStr">
        <is>
          <t>티엠건설</t>
        </is>
      </c>
      <c r="E1046" s="46" t="n">
        <v>700</v>
      </c>
      <c r="F1046" s="46" t="inlineStr">
        <is>
          <t>사우동</t>
        </is>
      </c>
      <c r="G1046" s="50" t="n"/>
      <c r="H1046" s="51" t="n"/>
      <c r="I1046" s="46" t="inlineStr">
        <is>
          <t>이덕기</t>
        </is>
      </c>
      <c r="K1046" s="46" t="n">
        <v>1045</v>
      </c>
      <c r="L1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7">
      <c r="A1047" s="229" t="n">
        <v>46119</v>
      </c>
      <c r="B1047" s="46" t="inlineStr">
        <is>
          <t>정기검사</t>
        </is>
      </c>
      <c r="C1047" s="46" t="inlineStr">
        <is>
          <t>부천지역</t>
        </is>
      </c>
      <c r="D1047" s="46" t="inlineStr">
        <is>
          <t>설악아파트</t>
        </is>
      </c>
      <c r="E1047" s="46" t="inlineStr">
        <is>
          <t>500/540</t>
        </is>
      </c>
      <c r="F1047" s="46" t="inlineStr">
        <is>
          <t>중동</t>
        </is>
      </c>
      <c r="G1047" s="50" t="n">
        <v>0.5833333333333334</v>
      </c>
      <c r="H1047" s="51" t="n">
        <v>1011670</v>
      </c>
      <c r="I1047" s="46" t="inlineStr">
        <is>
          <t>민재홍</t>
        </is>
      </c>
      <c r="K1047" s="46" t="n">
        <v>1046</v>
      </c>
      <c r="L1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8">
      <c r="A1048" s="229" t="n">
        <v>46119</v>
      </c>
      <c r="B1048" s="46" t="inlineStr">
        <is>
          <t>정기검사</t>
        </is>
      </c>
      <c r="C1048" s="46" t="inlineStr">
        <is>
          <t>부천지역</t>
        </is>
      </c>
      <c r="D1048" s="46" t="inlineStr">
        <is>
          <t>서해철도</t>
        </is>
      </c>
      <c r="E1048" s="46" t="n">
        <v>24000</v>
      </c>
      <c r="F1048" s="46" t="inlineStr">
        <is>
          <t>소사역</t>
        </is>
      </c>
      <c r="G1048" s="50" t="n">
        <v>0.02777777777777778</v>
      </c>
      <c r="H1048" s="51" t="n">
        <v>7547320</v>
      </c>
      <c r="I1048" s="46" t="inlineStr">
        <is>
          <t>이덕기</t>
        </is>
      </c>
      <c r="K1048" s="46" t="n">
        <v>1047</v>
      </c>
      <c r="L1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9">
      <c r="A1049" s="229" t="n">
        <v>46119</v>
      </c>
      <c r="B1049" s="46" t="inlineStr">
        <is>
          <t>정기검사</t>
        </is>
      </c>
      <c r="C1049" s="46" t="inlineStr">
        <is>
          <t>부천지역</t>
        </is>
      </c>
      <c r="D1049" s="46" t="inlineStr">
        <is>
          <t>에이블</t>
        </is>
      </c>
      <c r="E1049" s="46" t="n">
        <v>300</v>
      </c>
      <c r="F1049" s="46" t="inlineStr">
        <is>
          <t>도당동</t>
        </is>
      </c>
      <c r="G1049" s="50" t="n">
        <v>0.3958333333333333</v>
      </c>
      <c r="H1049" s="51" t="n">
        <v>521730</v>
      </c>
      <c r="I1049" s="46" t="inlineStr">
        <is>
          <t>민경수</t>
        </is>
      </c>
      <c r="K1049" s="46" t="n">
        <v>1048</v>
      </c>
      <c r="L1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0">
      <c r="A1050" s="229" t="n">
        <v>46119</v>
      </c>
      <c r="B1050" s="46" t="inlineStr">
        <is>
          <t>정기검사</t>
        </is>
      </c>
      <c r="C1050" s="46" t="inlineStr">
        <is>
          <t>김포지역</t>
        </is>
      </c>
      <c r="D1050" s="46" t="inlineStr">
        <is>
          <t>우리피엔씨</t>
        </is>
      </c>
      <c r="E1050" s="46" t="n">
        <v>250</v>
      </c>
      <c r="F1050" s="46" t="inlineStr">
        <is>
          <t>마송리</t>
        </is>
      </c>
      <c r="G1050" s="50" t="n">
        <v>0.5416666666666666</v>
      </c>
      <c r="H1050" s="51" t="n">
        <v>489170</v>
      </c>
      <c r="I1050" s="46" t="inlineStr">
        <is>
          <t>이종석</t>
        </is>
      </c>
      <c r="K1050" s="46" t="n">
        <v>1049</v>
      </c>
      <c r="L1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1">
      <c r="A1051" s="229" t="n">
        <v>46119</v>
      </c>
      <c r="B1051" s="46" t="inlineStr">
        <is>
          <t>정기검사</t>
        </is>
      </c>
      <c r="C1051" s="46" t="inlineStr">
        <is>
          <t>김포지역</t>
        </is>
      </c>
      <c r="D1051" s="46" t="inlineStr">
        <is>
          <t>조병재발전소</t>
        </is>
      </c>
      <c r="E1051" s="46" t="n">
        <v>29</v>
      </c>
      <c r="F1051" s="46" t="inlineStr">
        <is>
          <t>원산리</t>
        </is>
      </c>
      <c r="G1051" s="50" t="n">
        <v>0.5833333333333334</v>
      </c>
      <c r="H1051" s="51" t="n">
        <v>181830</v>
      </c>
      <c r="I1051" s="46" t="inlineStr">
        <is>
          <t>허창수</t>
        </is>
      </c>
      <c r="K1051" s="46" t="n">
        <v>1050</v>
      </c>
      <c r="L1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2">
      <c r="A1052" s="229" t="n">
        <v>46119</v>
      </c>
      <c r="B1052" s="46" t="inlineStr">
        <is>
          <t>정기검사</t>
        </is>
      </c>
      <c r="C1052" s="46" t="inlineStr">
        <is>
          <t>김포지역</t>
        </is>
      </c>
      <c r="D1052" s="46" t="inlineStr">
        <is>
          <t>조병재발전소</t>
        </is>
      </c>
      <c r="E1052" s="46" t="n">
        <v>30</v>
      </c>
      <c r="F1052" s="46" t="inlineStr">
        <is>
          <t>원산리</t>
        </is>
      </c>
      <c r="G1052" s="50" t="n">
        <v>0.625</v>
      </c>
      <c r="H1052" s="51" t="n">
        <v>181830</v>
      </c>
      <c r="I1052" s="46" t="inlineStr">
        <is>
          <t>허창수</t>
        </is>
      </c>
      <c r="K1052" s="46" t="n">
        <v>1051</v>
      </c>
      <c r="L1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3">
      <c r="A1053" s="229" t="n">
        <v>46119</v>
      </c>
      <c r="B1053" s="46" t="inlineStr">
        <is>
          <t>정기검사</t>
        </is>
      </c>
      <c r="C1053" s="46" t="inlineStr">
        <is>
          <t>김포지역</t>
        </is>
      </c>
      <c r="D1053" s="46" t="inlineStr">
        <is>
          <t>수현재발전소</t>
        </is>
      </c>
      <c r="E1053" s="46" t="n">
        <v>31</v>
      </c>
      <c r="F1053" s="46" t="inlineStr">
        <is>
          <t>원산리</t>
        </is>
      </c>
      <c r="G1053" s="50" t="n">
        <v>0.6666666666666666</v>
      </c>
      <c r="H1053" s="51" t="n">
        <v>181830</v>
      </c>
      <c r="I1053" s="46" t="inlineStr">
        <is>
          <t>허창수</t>
        </is>
      </c>
      <c r="K1053" s="46" t="n">
        <v>1052</v>
      </c>
      <c r="L1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4">
      <c r="A1054" s="229" t="n">
        <v>46119</v>
      </c>
      <c r="B1054" s="46" t="inlineStr">
        <is>
          <t>정기검사</t>
        </is>
      </c>
      <c r="C1054" s="46" t="inlineStr">
        <is>
          <t>김포지역</t>
        </is>
      </c>
      <c r="D1054" s="46" t="inlineStr">
        <is>
          <t>조병재발전소</t>
        </is>
      </c>
      <c r="E1054" s="46" t="n">
        <v>32</v>
      </c>
      <c r="F1054" s="46" t="inlineStr">
        <is>
          <t>원산리</t>
        </is>
      </c>
      <c r="G1054" s="50" t="n">
        <v>0.7083333333333334</v>
      </c>
      <c r="H1054" s="51" t="n">
        <v>181830</v>
      </c>
      <c r="I1054" s="46" t="inlineStr">
        <is>
          <t>허창수</t>
        </is>
      </c>
      <c r="K1054" s="46" t="n">
        <v>1053</v>
      </c>
      <c r="L1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5">
      <c r="A1055" s="229" t="n">
        <v>46119</v>
      </c>
      <c r="B1055" s="46" t="inlineStr">
        <is>
          <t>정기검사</t>
        </is>
      </c>
      <c r="C1055" s="46" t="inlineStr">
        <is>
          <t>김포지역</t>
        </is>
      </c>
      <c r="D1055" s="46" t="inlineStr">
        <is>
          <t>신동길태양광</t>
        </is>
      </c>
      <c r="E1055" s="46" t="n">
        <v>34</v>
      </c>
      <c r="F1055" s="46" t="inlineStr">
        <is>
          <t>사우동</t>
        </is>
      </c>
      <c r="G1055" s="50" t="n">
        <v>0.4166666666666667</v>
      </c>
      <c r="H1055" s="51" t="n">
        <v>187330</v>
      </c>
      <c r="I1055" s="46" t="inlineStr">
        <is>
          <t>한태희</t>
        </is>
      </c>
      <c r="K1055" s="46" t="n">
        <v>1054</v>
      </c>
      <c r="L1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6">
      <c r="A1056" s="229" t="n">
        <v>46119</v>
      </c>
      <c r="B1056" s="46" t="inlineStr">
        <is>
          <t>정기검사</t>
        </is>
      </c>
      <c r="C1056" s="46" t="inlineStr">
        <is>
          <t>김포지역</t>
        </is>
      </c>
      <c r="D1056" s="46" t="inlineStr">
        <is>
          <t>에이치디엘</t>
        </is>
      </c>
      <c r="E1056" s="46" t="n">
        <v>130</v>
      </c>
      <c r="F1056" s="46" t="inlineStr">
        <is>
          <t>학운리</t>
        </is>
      </c>
      <c r="G1056" s="50" t="n">
        <v>0.5416666666666666</v>
      </c>
      <c r="H1056" s="51" t="n">
        <v>215160</v>
      </c>
      <c r="I1056" s="46" t="inlineStr">
        <is>
          <t>한태희</t>
        </is>
      </c>
      <c r="K1056" s="46" t="n">
        <v>1055</v>
      </c>
      <c r="L1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7">
      <c r="A1057" s="229" t="n">
        <v>46119</v>
      </c>
      <c r="B1057" s="46" t="inlineStr">
        <is>
          <t>정기검사</t>
        </is>
      </c>
      <c r="C1057" s="46" t="inlineStr">
        <is>
          <t>김포지역</t>
        </is>
      </c>
      <c r="D1057" s="46" t="inlineStr">
        <is>
          <t>태성다이캐스팅</t>
        </is>
      </c>
      <c r="E1057" s="46" t="n">
        <v>290</v>
      </c>
      <c r="F1057" s="46" t="inlineStr">
        <is>
          <t>옹정리</t>
        </is>
      </c>
      <c r="G1057" s="50" t="n">
        <v>0.5</v>
      </c>
      <c r="H1057" s="51" t="n">
        <v>515130</v>
      </c>
      <c r="I1057" s="46" t="inlineStr">
        <is>
          <t>김영권</t>
        </is>
      </c>
      <c r="K1057" s="46" t="n">
        <v>1056</v>
      </c>
      <c r="L1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8">
      <c r="A1058" s="229" t="n">
        <v>46119</v>
      </c>
      <c r="B1058" s="46" t="inlineStr">
        <is>
          <t>정기검사</t>
        </is>
      </c>
      <c r="C1058" s="46" t="inlineStr">
        <is>
          <t>김포지역</t>
        </is>
      </c>
      <c r="D1058" s="46" t="inlineStr">
        <is>
          <t>대성씨앤씨</t>
        </is>
      </c>
      <c r="E1058" s="46" t="n">
        <v>700</v>
      </c>
      <c r="F1058" s="46" t="inlineStr">
        <is>
          <t>학운리</t>
        </is>
      </c>
      <c r="G1058" s="50" t="n">
        <v>0.4791666666666667</v>
      </c>
      <c r="H1058" s="51" t="n">
        <v>804760</v>
      </c>
      <c r="I1058" s="46" t="inlineStr">
        <is>
          <t>우승택</t>
        </is>
      </c>
      <c r="K1058" s="46" t="n">
        <v>1057</v>
      </c>
      <c r="L1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9">
      <c r="A1059" s="229" t="n">
        <v>46119</v>
      </c>
      <c r="B1059" s="46" t="inlineStr">
        <is>
          <t>정기검사</t>
        </is>
      </c>
      <c r="C1059" s="46" t="inlineStr">
        <is>
          <t>김포지역</t>
        </is>
      </c>
      <c r="D1059" s="46" t="inlineStr">
        <is>
          <t>신한포장</t>
        </is>
      </c>
      <c r="E1059" s="46" t="n">
        <v>597</v>
      </c>
      <c r="F1059" s="46" t="inlineStr">
        <is>
          <t>송마리</t>
        </is>
      </c>
      <c r="G1059" s="50" t="n">
        <v>0.4791666666666667</v>
      </c>
      <c r="H1059" s="51" t="n">
        <v>840180</v>
      </c>
      <c r="I1059" s="46" t="inlineStr">
        <is>
          <t>정신배</t>
        </is>
      </c>
      <c r="K1059" s="46" t="n">
        <v>1058</v>
      </c>
      <c r="L1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0">
      <c r="A1060" s="229" t="n">
        <v>46119</v>
      </c>
      <c r="B1060" s="46" t="inlineStr">
        <is>
          <t>사용전검사</t>
        </is>
      </c>
      <c r="C1060" s="46" t="inlineStr">
        <is>
          <t>김포지역</t>
        </is>
      </c>
      <c r="D1060" s="46" t="inlineStr">
        <is>
          <t>성신유합기기</t>
        </is>
      </c>
      <c r="E1060" s="46" t="n">
        <v>290</v>
      </c>
      <c r="F1060" s="46" t="inlineStr">
        <is>
          <t>개곡리</t>
        </is>
      </c>
      <c r="G1060" s="50" t="n"/>
      <c r="H1060" s="51" t="n"/>
      <c r="I1060" s="46" t="inlineStr">
        <is>
          <t>송두기</t>
        </is>
      </c>
      <c r="K1060" s="46" t="n">
        <v>1059</v>
      </c>
      <c r="L1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1">
      <c r="A1061" s="229" t="n">
        <v>46119</v>
      </c>
      <c r="B1061" s="46" t="inlineStr">
        <is>
          <t>사용전검사</t>
        </is>
      </c>
      <c r="C1061" s="46" t="inlineStr">
        <is>
          <t>김포지역</t>
        </is>
      </c>
      <c r="D1061" s="46" t="inlineStr">
        <is>
          <t>보경이엠케이</t>
        </is>
      </c>
      <c r="E1061" s="46" t="inlineStr">
        <is>
          <t>부분</t>
        </is>
      </c>
      <c r="F1061" s="46" t="inlineStr">
        <is>
          <t>석정리</t>
        </is>
      </c>
      <c r="G1061" s="50" t="n"/>
      <c r="H1061" s="51" t="n"/>
      <c r="I1061" s="46" t="inlineStr">
        <is>
          <t>정성관</t>
        </is>
      </c>
      <c r="K1061" s="46" t="n">
        <v>1060</v>
      </c>
      <c r="L1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2">
      <c r="A1062" s="229" t="n">
        <v>46119</v>
      </c>
      <c r="B1062" s="46" t="inlineStr">
        <is>
          <t>사용전검사</t>
        </is>
      </c>
      <c r="C1062" s="46" t="inlineStr">
        <is>
          <t>김포지역</t>
        </is>
      </c>
      <c r="D1062" s="46" t="inlineStr">
        <is>
          <t>양지사</t>
        </is>
      </c>
      <c r="E1062" s="46" t="inlineStr">
        <is>
          <t>부분</t>
        </is>
      </c>
      <c r="F1062" s="46" t="inlineStr">
        <is>
          <t>학운리</t>
        </is>
      </c>
      <c r="G1062" s="50" t="n"/>
      <c r="H1062" s="51" t="n"/>
      <c r="I1062" s="46" t="inlineStr">
        <is>
          <t>정성관</t>
        </is>
      </c>
      <c r="K1062" s="46" t="n">
        <v>1061</v>
      </c>
      <c r="L1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3">
      <c r="A1063" s="229" t="n">
        <v>46120</v>
      </c>
      <c r="B1063" s="46" t="inlineStr">
        <is>
          <t>정기검사</t>
        </is>
      </c>
      <c r="C1063" s="46" t="inlineStr">
        <is>
          <t>부천지역</t>
        </is>
      </c>
      <c r="D1063" s="46" t="inlineStr">
        <is>
          <t>도용엔지니어링</t>
        </is>
      </c>
      <c r="E1063" s="46" t="n">
        <v>400</v>
      </c>
      <c r="F1063" s="46" t="inlineStr">
        <is>
          <t>춘의동</t>
        </is>
      </c>
      <c r="G1063" s="50" t="n">
        <v>0.5069444444444444</v>
      </c>
      <c r="H1063" s="51" t="n">
        <v>703120</v>
      </c>
      <c r="I1063" s="46" t="inlineStr">
        <is>
          <t>한태희</t>
        </is>
      </c>
      <c r="K1063" s="46" t="n">
        <v>1062</v>
      </c>
      <c r="L1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4">
      <c r="A1064" s="229" t="n">
        <v>46120</v>
      </c>
      <c r="B1064" s="46" t="inlineStr">
        <is>
          <t>정기검사</t>
        </is>
      </c>
      <c r="C1064" s="46" t="inlineStr">
        <is>
          <t>부천지역</t>
        </is>
      </c>
      <c r="D1064" s="46" t="inlineStr">
        <is>
          <t>현테크씨엔아이</t>
        </is>
      </c>
      <c r="E1064" s="46" t="n">
        <v>295</v>
      </c>
      <c r="F1064" s="46" t="inlineStr">
        <is>
          <t>내동</t>
        </is>
      </c>
      <c r="G1064" s="50" t="n">
        <v>0.5416666666666666</v>
      </c>
      <c r="H1064" s="51" t="n">
        <v>518430</v>
      </c>
      <c r="I1064" s="46" t="inlineStr">
        <is>
          <t>민경수</t>
        </is>
      </c>
      <c r="K1064" s="46" t="n">
        <v>1063</v>
      </c>
      <c r="L1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5">
      <c r="A1065" s="229" t="n">
        <v>46120</v>
      </c>
      <c r="B1065" s="46" t="inlineStr">
        <is>
          <t>정기검사</t>
        </is>
      </c>
      <c r="C1065" s="46" t="inlineStr">
        <is>
          <t>부천지역</t>
        </is>
      </c>
      <c r="D1065" s="46" t="inlineStr">
        <is>
          <t>부흥인더스트리</t>
        </is>
      </c>
      <c r="E1065" s="46" t="n">
        <v>290</v>
      </c>
      <c r="F1065" s="46" t="inlineStr">
        <is>
          <t>도당동</t>
        </is>
      </c>
      <c r="G1065" s="50" t="n">
        <v>0.5416666666666666</v>
      </c>
      <c r="H1065" s="51" t="n">
        <v>515130</v>
      </c>
      <c r="I1065" s="46" t="inlineStr">
        <is>
          <t>송낙명</t>
        </is>
      </c>
      <c r="K1065" s="46" t="n">
        <v>1064</v>
      </c>
      <c r="L1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6">
      <c r="A1066" s="229" t="n">
        <v>46120</v>
      </c>
      <c r="B1066" s="46" t="inlineStr">
        <is>
          <t>정기검사</t>
        </is>
      </c>
      <c r="C1066" s="46" t="inlineStr">
        <is>
          <t>부천지역</t>
        </is>
      </c>
      <c r="D1066" s="46" t="inlineStr">
        <is>
          <t>부천오정경찰서</t>
        </is>
      </c>
      <c r="E1066" s="46" t="n">
        <v>139</v>
      </c>
      <c r="F1066" s="46" t="inlineStr">
        <is>
          <t>오정동</t>
        </is>
      </c>
      <c r="G1066" s="50" t="n">
        <v>0.4166666666666667</v>
      </c>
      <c r="H1066" s="51" t="n">
        <v>296450</v>
      </c>
      <c r="I1066" s="46" t="inlineStr">
        <is>
          <t>민경수</t>
        </is>
      </c>
      <c r="K1066" s="46" t="n">
        <v>1065</v>
      </c>
      <c r="L1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7">
      <c r="A1067" s="229" t="n">
        <v>46120</v>
      </c>
      <c r="B1067" s="46" t="inlineStr">
        <is>
          <t>정기검사</t>
        </is>
      </c>
      <c r="C1067" s="46" t="inlineStr">
        <is>
          <t>부천지역</t>
        </is>
      </c>
      <c r="D1067" s="46" t="inlineStr">
        <is>
          <t>에스케이일렉링크</t>
        </is>
      </c>
      <c r="E1067" s="46" t="n">
        <v>107</v>
      </c>
      <c r="F1067" s="46" t="inlineStr">
        <is>
          <t>이마트</t>
        </is>
      </c>
      <c r="G1067" s="50" t="n">
        <v>0.4375</v>
      </c>
      <c r="H1067" s="51" t="n">
        <v>558140</v>
      </c>
      <c r="I1067" s="46" t="inlineStr">
        <is>
          <t>민재홍</t>
        </is>
      </c>
      <c r="K1067" s="46" t="n">
        <v>1066</v>
      </c>
      <c r="L1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8">
      <c r="A1068" s="229" t="n">
        <v>46120</v>
      </c>
      <c r="B1068" s="46" t="inlineStr">
        <is>
          <t>정기검사</t>
        </is>
      </c>
      <c r="C1068" s="46" t="inlineStr">
        <is>
          <t>김포지역</t>
        </is>
      </c>
      <c r="D1068" s="46" t="inlineStr">
        <is>
          <t>연세프라자</t>
        </is>
      </c>
      <c r="E1068" s="46" t="n">
        <v>600</v>
      </c>
      <c r="F1068" s="46" t="inlineStr">
        <is>
          <t>구래동</t>
        </is>
      </c>
      <c r="G1068" s="50" t="n">
        <v>0.3958333333333333</v>
      </c>
      <c r="H1068" s="51" t="n">
        <v>770880</v>
      </c>
      <c r="I1068" s="46" t="inlineStr">
        <is>
          <t>김영권</t>
        </is>
      </c>
      <c r="K1068" s="46" t="n">
        <v>1067</v>
      </c>
      <c r="L1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9">
      <c r="A1069" s="229" t="n">
        <v>46120</v>
      </c>
      <c r="B1069" s="46" t="inlineStr">
        <is>
          <t>정기검사</t>
        </is>
      </c>
      <c r="C1069" s="46" t="inlineStr">
        <is>
          <t>김포지역</t>
        </is>
      </c>
      <c r="D1069" s="46" t="inlineStr">
        <is>
          <t>두손치유쑥좌훈</t>
        </is>
      </c>
      <c r="E1069" s="46" t="n">
        <v>12.1</v>
      </c>
      <c r="F1069" s="46" t="inlineStr">
        <is>
          <t>수참리</t>
        </is>
      </c>
      <c r="G1069" s="50" t="n">
        <v>0.6041666666666666</v>
      </c>
      <c r="H1069" s="51" t="n">
        <v>90270</v>
      </c>
      <c r="I1069" s="46" t="inlineStr">
        <is>
          <t>김영권</t>
        </is>
      </c>
      <c r="K1069" s="46" t="n">
        <v>1068</v>
      </c>
      <c r="L1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0">
      <c r="A1070" s="229" t="n">
        <v>46120</v>
      </c>
      <c r="B1070" s="46" t="inlineStr">
        <is>
          <t>정기검사</t>
        </is>
      </c>
      <c r="C1070" s="46" t="inlineStr">
        <is>
          <t>김포지역</t>
        </is>
      </c>
      <c r="D1070" s="46" t="inlineStr">
        <is>
          <t>삼진산업</t>
        </is>
      </c>
      <c r="E1070" s="46" t="n">
        <v>200</v>
      </c>
      <c r="F1070" s="46" t="inlineStr">
        <is>
          <t>거물대리</t>
        </is>
      </c>
      <c r="G1070" s="50" t="n">
        <v>0.3958333333333333</v>
      </c>
      <c r="H1070" s="51" t="n">
        <v>456720</v>
      </c>
      <c r="I1070" s="46" t="inlineStr">
        <is>
          <t>이덕기</t>
        </is>
      </c>
      <c r="K1070" s="46" t="n">
        <v>1069</v>
      </c>
      <c r="L1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1">
      <c r="A1071" s="229" t="n">
        <v>46120</v>
      </c>
      <c r="B1071" s="46" t="inlineStr">
        <is>
          <t>정기검사</t>
        </is>
      </c>
      <c r="C1071" s="46" t="inlineStr">
        <is>
          <t>김포지역</t>
        </is>
      </c>
      <c r="D1071" s="46" t="inlineStr">
        <is>
          <t>솔루션</t>
        </is>
      </c>
      <c r="E1071" s="46" t="n">
        <v>250</v>
      </c>
      <c r="F1071" s="46" t="inlineStr">
        <is>
          <t>송마리</t>
        </is>
      </c>
      <c r="G1071" s="50" t="n">
        <v>0.5208333333333334</v>
      </c>
      <c r="H1071" s="51" t="n">
        <v>489170</v>
      </c>
      <c r="I1071" s="46" t="inlineStr">
        <is>
          <t>서수형</t>
        </is>
      </c>
      <c r="K1071" s="46" t="n">
        <v>1070</v>
      </c>
      <c r="L1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2">
      <c r="A1072" s="229" t="n">
        <v>46120</v>
      </c>
      <c r="B1072" s="46" t="inlineStr">
        <is>
          <t>정기검사</t>
        </is>
      </c>
      <c r="C1072" s="46" t="inlineStr">
        <is>
          <t>김포지역</t>
        </is>
      </c>
      <c r="D1072" s="46" t="inlineStr">
        <is>
          <t>세일정기</t>
        </is>
      </c>
      <c r="E1072" s="46" t="n">
        <v>500</v>
      </c>
      <c r="F1072" s="46" t="inlineStr">
        <is>
          <t>석정리</t>
        </is>
      </c>
      <c r="G1072" s="50" t="n">
        <v>0.5</v>
      </c>
      <c r="H1072" s="51" t="n">
        <v>737000</v>
      </c>
      <c r="I1072" s="46" t="inlineStr">
        <is>
          <t>정성관</t>
        </is>
      </c>
      <c r="K1072" s="46" t="n">
        <v>1071</v>
      </c>
      <c r="L1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3">
      <c r="A1073" s="229" t="n">
        <v>46120</v>
      </c>
      <c r="B1073" s="46" t="inlineStr">
        <is>
          <t>정기검사</t>
        </is>
      </c>
      <c r="C1073" s="46" t="inlineStr">
        <is>
          <t>김포지역</t>
        </is>
      </c>
      <c r="D1073" s="46" t="inlineStr">
        <is>
          <t>태영산업</t>
        </is>
      </c>
      <c r="E1073" s="46" t="n">
        <v>200</v>
      </c>
      <c r="F1073" s="46" t="inlineStr">
        <is>
          <t>대명리</t>
        </is>
      </c>
      <c r="G1073" s="50" t="n">
        <v>0.4791666666666667</v>
      </c>
      <c r="H1073" s="51" t="n">
        <v>456720</v>
      </c>
      <c r="I1073" s="46" t="inlineStr">
        <is>
          <t>이덕기</t>
        </is>
      </c>
      <c r="K1073" s="46" t="n">
        <v>1072</v>
      </c>
      <c r="L1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4">
      <c r="A1074" s="229" t="n">
        <v>46120</v>
      </c>
      <c r="B1074" s="46" t="inlineStr">
        <is>
          <t>사용전검사</t>
        </is>
      </c>
      <c r="C1074" s="46" t="inlineStr">
        <is>
          <t>부천지역</t>
        </is>
      </c>
      <c r="D1074" s="46" t="inlineStr">
        <is>
          <t>대성전력건설</t>
        </is>
      </c>
      <c r="E1074" s="46" t="n">
        <v>111</v>
      </c>
      <c r="F1074" s="46" t="inlineStr">
        <is>
          <t>역곡동</t>
        </is>
      </c>
      <c r="G1074" s="50" t="n"/>
      <c r="H1074" s="51" t="n"/>
      <c r="I1074" s="46" t="inlineStr">
        <is>
          <t>민재홍</t>
        </is>
      </c>
      <c r="K1074" s="46" t="n">
        <v>1073</v>
      </c>
      <c r="L1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5">
      <c r="A1075" s="229" t="n">
        <v>46120</v>
      </c>
      <c r="B1075" s="46" t="inlineStr">
        <is>
          <t>사용전검사</t>
        </is>
      </c>
      <c r="C1075" s="46" t="inlineStr">
        <is>
          <t>부천지역</t>
        </is>
      </c>
      <c r="D1075" s="46" t="inlineStr">
        <is>
          <t>함하동호진</t>
        </is>
      </c>
      <c r="E1075" s="46" t="inlineStr">
        <is>
          <t>500/27</t>
        </is>
      </c>
      <c r="F1075" s="46" t="inlineStr">
        <is>
          <t>고강동</t>
        </is>
      </c>
      <c r="G1075" s="50" t="n"/>
      <c r="H1075" s="51" t="n"/>
      <c r="I1075" s="46" t="inlineStr">
        <is>
          <t>우승택</t>
        </is>
      </c>
      <c r="K1075" s="46" t="n">
        <v>1074</v>
      </c>
      <c r="L1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6">
      <c r="A1076" s="229" t="n">
        <v>46120</v>
      </c>
      <c r="B1076" s="46" t="inlineStr">
        <is>
          <t>사용전검사</t>
        </is>
      </c>
      <c r="C1076" s="46" t="inlineStr">
        <is>
          <t>부천지역</t>
        </is>
      </c>
      <c r="D1076" s="46" t="inlineStr">
        <is>
          <t>효성중공업</t>
        </is>
      </c>
      <c r="E1076" s="46" t="n">
        <v>150</v>
      </c>
      <c r="F1076" s="46" t="inlineStr">
        <is>
          <t>춘의동</t>
        </is>
      </c>
      <c r="G1076" s="50" t="n"/>
      <c r="H1076" s="51" t="n"/>
      <c r="I1076" s="46" t="inlineStr">
        <is>
          <t>이종석</t>
        </is>
      </c>
      <c r="K1076" s="46" t="n">
        <v>1075</v>
      </c>
      <c r="L1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7">
      <c r="A1077" s="229" t="n">
        <v>46120</v>
      </c>
      <c r="B1077" s="46" t="inlineStr">
        <is>
          <t>메모</t>
        </is>
      </c>
      <c r="C1077" s="46" t="inlineStr">
        <is>
          <t>부천지역</t>
        </is>
      </c>
      <c r="D1077" s="46" t="inlineStr">
        <is>
          <t>허창수휴가</t>
        </is>
      </c>
      <c r="E1077" s="46" t="n"/>
      <c r="F1077" s="46" t="n"/>
      <c r="G1077" s="50" t="n"/>
      <c r="H1077" s="51" t="n"/>
      <c r="I1077" s="46" t="n"/>
      <c r="K1077" s="46" t="n">
        <v>1076</v>
      </c>
      <c r="L1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8">
      <c r="A1078" s="229" t="n">
        <v>46120</v>
      </c>
      <c r="B1078" s="46" t="inlineStr">
        <is>
          <t>사용전검사</t>
        </is>
      </c>
      <c r="C1078" s="46" t="inlineStr">
        <is>
          <t>김포지역</t>
        </is>
      </c>
      <c r="D1078" s="46" t="inlineStr">
        <is>
          <t>모샛발전소</t>
        </is>
      </c>
      <c r="E1078" s="46" t="n">
        <v>88</v>
      </c>
      <c r="F1078" s="46" t="inlineStr">
        <is>
          <t>학운리</t>
        </is>
      </c>
      <c r="G1078" s="50" t="n"/>
      <c r="H1078" s="51" t="n"/>
      <c r="I1078" s="46" t="inlineStr">
        <is>
          <t>송두기</t>
        </is>
      </c>
      <c r="K1078" s="46" t="n">
        <v>1077</v>
      </c>
      <c r="L1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9">
      <c r="A1079" s="229" t="n">
        <v>46120</v>
      </c>
      <c r="B1079" s="46" t="inlineStr">
        <is>
          <t>사용전검사</t>
        </is>
      </c>
      <c r="C1079" s="46" t="inlineStr">
        <is>
          <t>김포지역</t>
        </is>
      </c>
      <c r="D1079" s="46" t="inlineStr">
        <is>
          <t>대성기업</t>
        </is>
      </c>
      <c r="E1079" s="46" t="n">
        <v>148</v>
      </c>
      <c r="F1079" s="46" t="inlineStr">
        <is>
          <t>학운리</t>
        </is>
      </c>
      <c r="G1079" s="50" t="n"/>
      <c r="H1079" s="51" t="n"/>
      <c r="I1079" s="46" t="inlineStr">
        <is>
          <t>송두기</t>
        </is>
      </c>
      <c r="K1079" s="46" t="n">
        <v>1078</v>
      </c>
      <c r="L1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0">
      <c r="A1080" s="229" t="n">
        <v>46120</v>
      </c>
      <c r="B1080" s="46" t="inlineStr">
        <is>
          <t>사용전검사</t>
        </is>
      </c>
      <c r="C1080" s="46" t="inlineStr">
        <is>
          <t>김포지역</t>
        </is>
      </c>
      <c r="D1080" s="46" t="inlineStr">
        <is>
          <t>대성기업</t>
        </is>
      </c>
      <c r="E1080" s="46" t="n">
        <v>149</v>
      </c>
      <c r="F1080" s="46" t="inlineStr">
        <is>
          <t>학운리</t>
        </is>
      </c>
      <c r="G1080" s="50" t="n"/>
      <c r="H1080" s="51" t="n"/>
      <c r="I1080" s="46" t="inlineStr">
        <is>
          <t>송두기</t>
        </is>
      </c>
      <c r="K1080" s="46" t="n">
        <v>1079</v>
      </c>
      <c r="L1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1">
      <c r="A1081" s="229" t="n">
        <v>46120</v>
      </c>
      <c r="B1081" s="46" t="inlineStr">
        <is>
          <t>사용전검사</t>
        </is>
      </c>
      <c r="C1081" s="46" t="inlineStr">
        <is>
          <t>김포지역</t>
        </is>
      </c>
      <c r="D1081" s="46" t="inlineStr">
        <is>
          <t>코나아이</t>
        </is>
      </c>
      <c r="E1081" s="46" t="n">
        <v>174.8</v>
      </c>
      <c r="F1081" s="46" t="inlineStr">
        <is>
          <t>대명리</t>
        </is>
      </c>
      <c r="G1081" s="50" t="n"/>
      <c r="H1081" s="51" t="n"/>
      <c r="I1081" s="46" t="inlineStr">
        <is>
          <t>정신배</t>
        </is>
      </c>
      <c r="K1081" s="46" t="n">
        <v>1080</v>
      </c>
      <c r="L1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2">
      <c r="A1082" s="229" t="n">
        <v>46120</v>
      </c>
      <c r="B1082" s="46" t="inlineStr">
        <is>
          <t>사용전검사</t>
        </is>
      </c>
      <c r="C1082" s="46" t="inlineStr">
        <is>
          <t>김포지역</t>
        </is>
      </c>
      <c r="D1082" s="46" t="inlineStr">
        <is>
          <t>선광스틸</t>
        </is>
      </c>
      <c r="E1082" s="46" t="n">
        <v>196</v>
      </c>
      <c r="F1082" s="46" t="inlineStr">
        <is>
          <t>학운리</t>
        </is>
      </c>
      <c r="G1082" s="50" t="n"/>
      <c r="H1082" s="51" t="n"/>
      <c r="I1082" s="46" t="inlineStr">
        <is>
          <t>정신배</t>
        </is>
      </c>
      <c r="K1082" s="46" t="n">
        <v>1081</v>
      </c>
      <c r="L1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3">
      <c r="A1083" s="229" t="n">
        <v>46120</v>
      </c>
      <c r="B1083" s="46" t="inlineStr">
        <is>
          <t>사용전검사</t>
        </is>
      </c>
      <c r="C1083" s="46" t="inlineStr">
        <is>
          <t>김포지역</t>
        </is>
      </c>
      <c r="D1083" s="46" t="inlineStr">
        <is>
          <t>선광스틸</t>
        </is>
      </c>
      <c r="E1083" s="46" t="n">
        <v>197</v>
      </c>
      <c r="F1083" s="46" t="inlineStr">
        <is>
          <t>학운리</t>
        </is>
      </c>
      <c r="G1083" s="50" t="n"/>
      <c r="H1083" s="51" t="n"/>
      <c r="I1083" s="46" t="inlineStr">
        <is>
          <t>정신배</t>
        </is>
      </c>
      <c r="K1083" s="46" t="n">
        <v>1082</v>
      </c>
      <c r="L1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4">
      <c r="A1084" s="229" t="n">
        <v>46121</v>
      </c>
      <c r="B1084" s="46" t="inlineStr">
        <is>
          <t>정기검사</t>
        </is>
      </c>
      <c r="C1084" s="46" t="inlineStr">
        <is>
          <t>부천지역</t>
        </is>
      </c>
      <c r="D1084" s="46" t="inlineStr">
        <is>
          <t>비잔티움</t>
        </is>
      </c>
      <c r="E1084" s="46" t="n">
        <v>7</v>
      </c>
      <c r="F1084" s="46" t="inlineStr">
        <is>
          <t>상동</t>
        </is>
      </c>
      <c r="G1084" s="50" t="n">
        <v>0.5833333333333334</v>
      </c>
      <c r="H1084" s="51" t="n">
        <v>132000</v>
      </c>
      <c r="I1084" s="46" t="inlineStr">
        <is>
          <t>송낙명</t>
        </is>
      </c>
      <c r="K1084" s="46" t="n">
        <v>1083</v>
      </c>
      <c r="L1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5">
      <c r="A1085" s="229" t="n">
        <v>46121</v>
      </c>
      <c r="B1085" s="46" t="inlineStr">
        <is>
          <t>정기검사</t>
        </is>
      </c>
      <c r="C1085" s="46" t="inlineStr">
        <is>
          <t>부천지역</t>
        </is>
      </c>
      <c r="D1085" s="46" t="inlineStr">
        <is>
          <t>광음교회</t>
        </is>
      </c>
      <c r="E1085" s="46" t="inlineStr">
        <is>
          <t>250/150</t>
        </is>
      </c>
      <c r="F1085" s="46" t="inlineStr">
        <is>
          <t>상동</t>
        </is>
      </c>
      <c r="G1085" s="50" t="n">
        <v>0.6458333333333334</v>
      </c>
      <c r="H1085" s="51" t="n">
        <v>670230</v>
      </c>
      <c r="I1085" s="46" t="inlineStr">
        <is>
          <t>민경수</t>
        </is>
      </c>
      <c r="K1085" s="46" t="n">
        <v>1084</v>
      </c>
      <c r="L1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6">
      <c r="A1086" s="229" t="n">
        <v>46121</v>
      </c>
      <c r="B1086" s="46" t="inlineStr">
        <is>
          <t>정기검사</t>
        </is>
      </c>
      <c r="C1086" s="46" t="inlineStr">
        <is>
          <t>부천지역</t>
        </is>
      </c>
      <c r="D1086" s="46" t="inlineStr">
        <is>
          <t>대유둫</t>
        </is>
      </c>
      <c r="E1086" s="46" t="n">
        <v>450</v>
      </c>
      <c r="F1086" s="46" t="inlineStr">
        <is>
          <t>삼정동</t>
        </is>
      </c>
      <c r="G1086" s="50" t="n">
        <v>0.5</v>
      </c>
      <c r="H1086" s="51" t="n">
        <v>720060</v>
      </c>
      <c r="I1086" s="46" t="inlineStr">
        <is>
          <t>민재홍</t>
        </is>
      </c>
      <c r="K1086" s="46" t="n">
        <v>1085</v>
      </c>
      <c r="L1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7">
      <c r="A1087" s="229" t="n">
        <v>46121</v>
      </c>
      <c r="B1087" s="46" t="inlineStr">
        <is>
          <t>정기검사</t>
        </is>
      </c>
      <c r="C1087" s="46" t="inlineStr">
        <is>
          <t>부천지역</t>
        </is>
      </c>
      <c r="D1087" s="46" t="inlineStr">
        <is>
          <t>lgsk아파트</t>
        </is>
      </c>
      <c r="E1087" s="46" t="n">
        <v>7</v>
      </c>
      <c r="F1087" s="46" t="n"/>
      <c r="G1087" s="50" t="n">
        <v>0.5833333333333334</v>
      </c>
      <c r="H1087" s="51" t="n">
        <v>98120</v>
      </c>
      <c r="I1087" s="46" t="inlineStr">
        <is>
          <t>송낙명</t>
        </is>
      </c>
      <c r="K1087" s="46" t="n">
        <v>1086</v>
      </c>
      <c r="L1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8">
      <c r="A1088" s="229" t="n">
        <v>46121</v>
      </c>
      <c r="B1088" s="46" t="inlineStr">
        <is>
          <t>정기검사</t>
        </is>
      </c>
      <c r="C1088" s="46" t="inlineStr">
        <is>
          <t>부천지역</t>
        </is>
      </c>
      <c r="D1088" s="46" t="inlineStr">
        <is>
          <t>김포우리병원</t>
        </is>
      </c>
      <c r="E1088" s="46" t="inlineStr">
        <is>
          <t>UPS</t>
        </is>
      </c>
      <c r="F1088" s="46" t="inlineStr">
        <is>
          <t>걸포동</t>
        </is>
      </c>
      <c r="G1088" s="50" t="n">
        <v>0.6041666666666666</v>
      </c>
      <c r="H1088" s="51" t="n">
        <v>836440</v>
      </c>
      <c r="I1088" s="46" t="inlineStr">
        <is>
          <t>정신배</t>
        </is>
      </c>
      <c r="K1088" s="46" t="n">
        <v>1087</v>
      </c>
      <c r="L1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9">
      <c r="A1089" s="229" t="n">
        <v>46121</v>
      </c>
      <c r="B1089" s="46" t="inlineStr">
        <is>
          <t>정기검사</t>
        </is>
      </c>
      <c r="C1089" s="46" t="inlineStr">
        <is>
          <t>부천지역</t>
        </is>
      </c>
      <c r="D1089" s="46" t="inlineStr">
        <is>
          <t>경덕산업</t>
        </is>
      </c>
      <c r="E1089" s="46" t="n">
        <v>250</v>
      </c>
      <c r="F1089" s="46" t="inlineStr">
        <is>
          <t>풍무동</t>
        </is>
      </c>
      <c r="G1089" s="50" t="n">
        <v>0.5208333333333334</v>
      </c>
      <c r="H1089" s="51" t="n">
        <v>489170</v>
      </c>
      <c r="I1089" s="46" t="inlineStr">
        <is>
          <t>우승택</t>
        </is>
      </c>
      <c r="K1089" s="46" t="n">
        <v>1088</v>
      </c>
      <c r="L1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0">
      <c r="A1090" s="229" t="n">
        <v>46121</v>
      </c>
      <c r="B1090" s="46" t="inlineStr">
        <is>
          <t>정기검사</t>
        </is>
      </c>
      <c r="C1090" s="46" t="inlineStr">
        <is>
          <t>김포지역</t>
        </is>
      </c>
      <c r="D1090" s="46" t="inlineStr">
        <is>
          <t>원마트</t>
        </is>
      </c>
      <c r="E1090" s="46" t="inlineStr">
        <is>
          <t>600/182</t>
        </is>
      </c>
      <c r="F1090" s="46" t="inlineStr">
        <is>
          <t>마송리</t>
        </is>
      </c>
      <c r="G1090" s="50" t="n">
        <v>0.3333333333333333</v>
      </c>
      <c r="H1090" s="51" t="n">
        <v>1249710</v>
      </c>
      <c r="I1090" s="46" t="inlineStr">
        <is>
          <t>정신배</t>
        </is>
      </c>
      <c r="K1090" s="46" t="n">
        <v>1089</v>
      </c>
      <c r="L1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1">
      <c r="A1091" s="229" t="n">
        <v>46121</v>
      </c>
      <c r="B1091" s="46" t="inlineStr">
        <is>
          <t>정기검사</t>
        </is>
      </c>
      <c r="C1091" s="46" t="inlineStr">
        <is>
          <t>김포지역</t>
        </is>
      </c>
      <c r="D1091" s="46" t="inlineStr">
        <is>
          <t>만복식품</t>
        </is>
      </c>
      <c r="E1091" s="46" t="n">
        <v>950</v>
      </c>
      <c r="F1091" s="46" t="inlineStr">
        <is>
          <t>마송리</t>
        </is>
      </c>
      <c r="G1091" s="50" t="n">
        <v>0.6458333333333334</v>
      </c>
      <c r="H1091" s="51" t="n">
        <v>889460</v>
      </c>
      <c r="I1091" s="46" t="inlineStr">
        <is>
          <t>한태희</t>
        </is>
      </c>
      <c r="K1091" s="46" t="n">
        <v>1090</v>
      </c>
      <c r="L1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2">
      <c r="A1092" s="229" t="n">
        <v>46121</v>
      </c>
      <c r="B1092" s="46" t="inlineStr">
        <is>
          <t>정기검사</t>
        </is>
      </c>
      <c r="C1092" s="46" t="inlineStr">
        <is>
          <t>김포지역</t>
        </is>
      </c>
      <c r="D1092" s="46" t="inlineStr">
        <is>
          <t>태광교회</t>
        </is>
      </c>
      <c r="E1092" s="46" t="inlineStr">
        <is>
          <t>400/105</t>
        </is>
      </c>
      <c r="F1092" s="46" t="inlineStr">
        <is>
          <t>고촌</t>
        </is>
      </c>
      <c r="G1092" s="50" t="n">
        <v>0.4583333333333333</v>
      </c>
      <c r="H1092" s="51" t="n">
        <v>870760</v>
      </c>
      <c r="I1092" s="46" t="inlineStr">
        <is>
          <t>허창수</t>
        </is>
      </c>
      <c r="K1092" s="46" t="n">
        <v>1091</v>
      </c>
      <c r="L1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3">
      <c r="A1093" s="229" t="n">
        <v>46121</v>
      </c>
      <c r="B1093" s="46" t="inlineStr">
        <is>
          <t>정기검사</t>
        </is>
      </c>
      <c r="C1093" s="46" t="inlineStr">
        <is>
          <t>김포지역</t>
        </is>
      </c>
      <c r="D1093" s="46" t="inlineStr">
        <is>
          <t>신영지웰</t>
        </is>
      </c>
      <c r="E1093" s="46" t="n">
        <v>7</v>
      </c>
      <c r="F1093" s="46" t="inlineStr">
        <is>
          <t>장기동</t>
        </is>
      </c>
      <c r="G1093" s="50" t="n">
        <v>0.4166666666666667</v>
      </c>
      <c r="H1093" s="51" t="n">
        <v>98120</v>
      </c>
      <c r="I1093" s="46" t="inlineStr">
        <is>
          <t>정성관</t>
        </is>
      </c>
      <c r="K1093" s="46" t="n">
        <v>1092</v>
      </c>
      <c r="L1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4">
      <c r="A1094" s="229" t="n">
        <v>46121</v>
      </c>
      <c r="B1094" s="46" t="inlineStr">
        <is>
          <t>정기검사</t>
        </is>
      </c>
      <c r="C1094" s="46" t="inlineStr">
        <is>
          <t>김포지역</t>
        </is>
      </c>
      <c r="D1094" s="46" t="inlineStr">
        <is>
          <t>일호개발</t>
        </is>
      </c>
      <c r="E1094" s="46" t="n">
        <v>600</v>
      </c>
      <c r="F1094" s="46" t="inlineStr">
        <is>
          <t>고촌</t>
        </is>
      </c>
      <c r="G1094" s="50" t="n">
        <v>0.5416666666666666</v>
      </c>
      <c r="H1094" s="51" t="n">
        <v>974600</v>
      </c>
      <c r="I1094" s="46" t="inlineStr">
        <is>
          <t>이종석</t>
        </is>
      </c>
      <c r="K1094" s="46" t="n">
        <v>1093</v>
      </c>
      <c r="L1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5">
      <c r="A1095" s="229" t="n">
        <v>46121</v>
      </c>
      <c r="B1095" s="46" t="inlineStr">
        <is>
          <t>정기검사</t>
        </is>
      </c>
      <c r="C1095" s="46" t="inlineStr">
        <is>
          <t>김포지역</t>
        </is>
      </c>
      <c r="D1095" s="46" t="inlineStr">
        <is>
          <t>신영지웰</t>
        </is>
      </c>
      <c r="E1095" s="46" t="inlineStr">
        <is>
          <t>1100/356</t>
        </is>
      </c>
      <c r="F1095" s="46" t="inlineStr">
        <is>
          <t>장기동</t>
        </is>
      </c>
      <c r="G1095" s="50" t="n">
        <v>0.4166666666666667</v>
      </c>
      <c r="H1095" s="51" t="n">
        <v>1149170</v>
      </c>
      <c r="I1095" s="46" t="inlineStr">
        <is>
          <t>정성관</t>
        </is>
      </c>
      <c r="K1095" s="46" t="n">
        <v>1094</v>
      </c>
      <c r="L1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6">
      <c r="A1096" s="229" t="n">
        <v>46121</v>
      </c>
      <c r="B1096" s="46" t="inlineStr">
        <is>
          <t>정기검사</t>
        </is>
      </c>
      <c r="C1096" s="46" t="inlineStr">
        <is>
          <t>김포지역</t>
        </is>
      </c>
      <c r="D1096" s="46" t="inlineStr">
        <is>
          <t>금강레미컨</t>
        </is>
      </c>
      <c r="E1096" s="46" t="n">
        <v>700</v>
      </c>
      <c r="F1096" s="46" t="inlineStr">
        <is>
          <t>마곡리</t>
        </is>
      </c>
      <c r="G1096" s="50" t="n">
        <v>0.5</v>
      </c>
      <c r="H1096" s="51" t="n">
        <v>804760</v>
      </c>
      <c r="I1096" s="46" t="inlineStr">
        <is>
          <t>서수형</t>
        </is>
      </c>
      <c r="K1096" s="46" t="n">
        <v>1095</v>
      </c>
      <c r="L1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7">
      <c r="A1097" s="229" t="n">
        <v>46121</v>
      </c>
      <c r="B1097" s="46" t="inlineStr">
        <is>
          <t>정기검사</t>
        </is>
      </c>
      <c r="C1097" s="46" t="inlineStr">
        <is>
          <t>김포지역</t>
        </is>
      </c>
      <c r="D1097" s="46" t="inlineStr">
        <is>
          <t>김포생활체육관</t>
        </is>
      </c>
      <c r="E1097" s="46" t="inlineStr">
        <is>
          <t>전기차</t>
        </is>
      </c>
      <c r="F1097" s="46" t="inlineStr">
        <is>
          <t>마산동</t>
        </is>
      </c>
      <c r="G1097" s="50" t="n">
        <v>0.4791666666666667</v>
      </c>
      <c r="H1097" s="51" t="n">
        <v>247940</v>
      </c>
      <c r="I1097" s="46" t="inlineStr">
        <is>
          <t>송두기</t>
        </is>
      </c>
      <c r="K1097" s="46" t="n">
        <v>1096</v>
      </c>
      <c r="L1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8">
      <c r="A1098" s="229" t="n">
        <v>46121</v>
      </c>
      <c r="B1098" s="46" t="inlineStr">
        <is>
          <t>정기검사</t>
        </is>
      </c>
      <c r="C1098" s="46" t="inlineStr">
        <is>
          <t>김포지역</t>
        </is>
      </c>
      <c r="D1098" s="46" t="inlineStr">
        <is>
          <t>파워큐브</t>
        </is>
      </c>
      <c r="E1098" s="46" t="n">
        <v>7</v>
      </c>
      <c r="F1098" s="46" t="inlineStr">
        <is>
          <t>장기동</t>
        </is>
      </c>
      <c r="G1098" s="50" t="n">
        <v>0.4166666666666667</v>
      </c>
      <c r="H1098" s="51" t="n">
        <v>98120</v>
      </c>
      <c r="I1098" s="46" t="inlineStr">
        <is>
          <t>송두기</t>
        </is>
      </c>
      <c r="K1098" s="46" t="n">
        <v>1097</v>
      </c>
      <c r="L1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9">
      <c r="A1099" s="229" t="n">
        <v>46121</v>
      </c>
      <c r="B1099" s="46" t="inlineStr">
        <is>
          <t>정기검사</t>
        </is>
      </c>
      <c r="C1099" s="46" t="inlineStr">
        <is>
          <t>김포지역</t>
        </is>
      </c>
      <c r="D1099" s="46" t="inlineStr">
        <is>
          <t>동신쇼트</t>
        </is>
      </c>
      <c r="E1099" s="46" t="n">
        <v>250</v>
      </c>
      <c r="F1099" s="46" t="inlineStr">
        <is>
          <t>석정리</t>
        </is>
      </c>
      <c r="G1099" s="50" t="n">
        <v>0.5</v>
      </c>
      <c r="H1099" s="51" t="n">
        <v>489170</v>
      </c>
      <c r="I1099" s="46" t="inlineStr">
        <is>
          <t>김영권</t>
        </is>
      </c>
      <c r="K1099" s="46" t="n">
        <v>1098</v>
      </c>
      <c r="L1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0">
      <c r="A1100" s="229" t="n">
        <v>46121</v>
      </c>
      <c r="B1100" s="46" t="inlineStr">
        <is>
          <t>사용전검사</t>
        </is>
      </c>
      <c r="C1100" s="46" t="inlineStr">
        <is>
          <t>부천지역</t>
        </is>
      </c>
      <c r="D1100" s="46" t="inlineStr">
        <is>
          <t>성우아파트</t>
        </is>
      </c>
      <c r="E1100" s="46" t="n">
        <v>300</v>
      </c>
      <c r="F1100" s="46" t="inlineStr">
        <is>
          <t>송내동</t>
        </is>
      </c>
      <c r="G1100" s="50" t="n"/>
      <c r="H1100" s="51" t="n"/>
      <c r="I1100" s="46" t="inlineStr">
        <is>
          <t>민경수</t>
        </is>
      </c>
      <c r="K1100" s="46" t="n">
        <v>1099</v>
      </c>
      <c r="L1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1">
      <c r="A1101" s="229" t="n">
        <v>46121</v>
      </c>
      <c r="B1101" s="46" t="inlineStr">
        <is>
          <t>사용전검사</t>
        </is>
      </c>
      <c r="C1101" s="46" t="inlineStr">
        <is>
          <t>김포지역</t>
        </is>
      </c>
      <c r="D1101" s="46" t="inlineStr">
        <is>
          <t>광보</t>
        </is>
      </c>
      <c r="E1101" s="46" t="n">
        <v>72</v>
      </c>
      <c r="F1101" s="46" t="inlineStr">
        <is>
          <t>옹정리</t>
        </is>
      </c>
      <c r="G1101" s="50" t="n"/>
      <c r="H1101" s="51" t="n"/>
      <c r="I1101" s="46" t="inlineStr">
        <is>
          <t>이덕기</t>
        </is>
      </c>
      <c r="K1101" s="46" t="n">
        <v>1100</v>
      </c>
      <c r="L1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2">
      <c r="A1102" s="229" t="n">
        <v>46122</v>
      </c>
      <c r="B1102" s="46" t="inlineStr">
        <is>
          <t>정기검사</t>
        </is>
      </c>
      <c r="C1102" s="46" t="inlineStr">
        <is>
          <t>부천지역</t>
        </is>
      </c>
      <c r="D1102" s="46" t="inlineStr">
        <is>
          <t>한울도서관</t>
        </is>
      </c>
      <c r="E1102" s="46" t="inlineStr">
        <is>
          <t>300/131</t>
        </is>
      </c>
      <c r="F1102" s="46" t="inlineStr">
        <is>
          <t>소사동</t>
        </is>
      </c>
      <c r="G1102" s="50" t="n">
        <v>0.4166666666666667</v>
      </c>
      <c r="H1102" s="51" t="n">
        <v>785730</v>
      </c>
      <c r="I1102" s="46" t="inlineStr">
        <is>
          <t>서수형</t>
        </is>
      </c>
      <c r="K1102" s="46" t="n">
        <v>1101</v>
      </c>
      <c r="L1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3">
      <c r="A1103" s="229" t="n">
        <v>46122</v>
      </c>
      <c r="B1103" s="46" t="inlineStr">
        <is>
          <t>정기검사</t>
        </is>
      </c>
      <c r="C1103" s="46" t="inlineStr">
        <is>
          <t>부천지역</t>
        </is>
      </c>
      <c r="D1103" s="46" t="inlineStr">
        <is>
          <t>신도그랑피아아파트</t>
        </is>
      </c>
      <c r="E1103" s="46" t="inlineStr">
        <is>
          <t>G69</t>
        </is>
      </c>
      <c r="F1103" s="46" t="inlineStr">
        <is>
          <t>역곡</t>
        </is>
      </c>
      <c r="G1103" s="50" t="n">
        <v>0.5416666666666666</v>
      </c>
      <c r="H1103" s="51" t="n">
        <v>156970</v>
      </c>
      <c r="I1103" s="46" t="inlineStr">
        <is>
          <t>송낙명</t>
        </is>
      </c>
      <c r="K1103" s="46" t="n">
        <v>1102</v>
      </c>
      <c r="L1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4">
      <c r="A1104" s="229" t="n">
        <v>46122</v>
      </c>
      <c r="B1104" s="46" t="inlineStr">
        <is>
          <t>정기검사</t>
        </is>
      </c>
      <c r="C1104" s="46" t="inlineStr">
        <is>
          <t>부천지역</t>
        </is>
      </c>
      <c r="D1104" s="46" t="inlineStr">
        <is>
          <t>영일코퍼레이션</t>
        </is>
      </c>
      <c r="E1104" s="46" t="n">
        <v>290</v>
      </c>
      <c r="F1104" s="46" t="inlineStr">
        <is>
          <t>도당동</t>
        </is>
      </c>
      <c r="G1104" s="50" t="n">
        <v>0.4791666666666667</v>
      </c>
      <c r="H1104" s="51" t="n">
        <v>515130</v>
      </c>
      <c r="I1104" s="46" t="inlineStr">
        <is>
          <t>민재홍</t>
        </is>
      </c>
      <c r="K1104" s="46" t="n">
        <v>1103</v>
      </c>
      <c r="L1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5">
      <c r="A1105" s="229" t="n">
        <v>46122</v>
      </c>
      <c r="B1105" s="46" t="inlineStr">
        <is>
          <t>정기검사</t>
        </is>
      </c>
      <c r="C1105" s="46" t="inlineStr">
        <is>
          <t>부천지역</t>
        </is>
      </c>
      <c r="D1105" s="46" t="inlineStr">
        <is>
          <t>대웅</t>
        </is>
      </c>
      <c r="E1105" s="46" t="inlineStr">
        <is>
          <t>연료전지</t>
        </is>
      </c>
      <c r="F1105" s="46" t="inlineStr">
        <is>
          <t>춘의동</t>
        </is>
      </c>
      <c r="G1105" s="50" t="n">
        <v>0.4166666666666667</v>
      </c>
      <c r="H1105" s="51" t="n">
        <v>437030</v>
      </c>
      <c r="I1105" s="46" t="inlineStr">
        <is>
          <t>민경수</t>
        </is>
      </c>
      <c r="K1105" s="46" t="n">
        <v>1104</v>
      </c>
      <c r="L1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6">
      <c r="A1106" s="229" t="n">
        <v>46122</v>
      </c>
      <c r="B1106" s="46" t="inlineStr">
        <is>
          <t>정기검사</t>
        </is>
      </c>
      <c r="C1106" s="46" t="inlineStr">
        <is>
          <t>김포지역</t>
        </is>
      </c>
      <c r="D1106" s="46" t="inlineStr">
        <is>
          <t>성일산업</t>
        </is>
      </c>
      <c r="E1106" s="46" t="n">
        <v>300</v>
      </c>
      <c r="F1106" s="46" t="inlineStr">
        <is>
          <t>석탄리</t>
        </is>
      </c>
      <c r="G1106" s="50" t="n">
        <v>0.5416666666666666</v>
      </c>
      <c r="H1106" s="51" t="n">
        <v>521730</v>
      </c>
      <c r="I1106" s="46" t="inlineStr">
        <is>
          <t>한태희</t>
        </is>
      </c>
      <c r="K1106" s="46" t="n">
        <v>1105</v>
      </c>
      <c r="L1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7">
      <c r="A1107" s="229" t="n">
        <v>46122</v>
      </c>
      <c r="B1107" s="46" t="inlineStr">
        <is>
          <t>정기검사</t>
        </is>
      </c>
      <c r="C1107" s="46" t="inlineStr">
        <is>
          <t>김포지역</t>
        </is>
      </c>
      <c r="D1107" s="46" t="inlineStr">
        <is>
          <t>화신정밀</t>
        </is>
      </c>
      <c r="E1107" s="46" t="n">
        <v>290</v>
      </c>
      <c r="F1107" s="46" t="inlineStr">
        <is>
          <t>상마리</t>
        </is>
      </c>
      <c r="G1107" s="50" t="n">
        <v>0.5</v>
      </c>
      <c r="H1107" s="51" t="n">
        <v>515130</v>
      </c>
      <c r="I1107" s="46" t="inlineStr">
        <is>
          <t>송두기</t>
        </is>
      </c>
      <c r="K1107" s="46" t="n">
        <v>1106</v>
      </c>
      <c r="L1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8">
      <c r="A1108" s="229" t="n">
        <v>46122</v>
      </c>
      <c r="B1108" s="46" t="inlineStr">
        <is>
          <t>정기검사</t>
        </is>
      </c>
      <c r="C1108" s="46" t="inlineStr">
        <is>
          <t>김포지역</t>
        </is>
      </c>
      <c r="D1108" s="46" t="inlineStr">
        <is>
          <t>한진레이저</t>
        </is>
      </c>
      <c r="E1108" s="46" t="n">
        <v>350</v>
      </c>
      <c r="F1108" s="46" t="inlineStr">
        <is>
          <t>학운리</t>
        </is>
      </c>
      <c r="G1108" s="50" t="n">
        <v>0.4583333333333333</v>
      </c>
      <c r="H1108" s="51" t="n">
        <v>686180</v>
      </c>
      <c r="I1108" s="46" t="inlineStr">
        <is>
          <t>김영권</t>
        </is>
      </c>
      <c r="K1108" s="46" t="n">
        <v>1107</v>
      </c>
      <c r="L1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9">
      <c r="A1109" s="229" t="n">
        <v>46122</v>
      </c>
      <c r="B1109" s="46" t="inlineStr">
        <is>
          <t>정기검사</t>
        </is>
      </c>
      <c r="C1109" s="46" t="inlineStr">
        <is>
          <t>김포지역</t>
        </is>
      </c>
      <c r="D1109" s="46" t="inlineStr">
        <is>
          <t>셀바이오텍</t>
        </is>
      </c>
      <c r="E1109" s="46" t="n">
        <v>800</v>
      </c>
      <c r="F1109" s="46" t="inlineStr">
        <is>
          <t>개곡리</t>
        </is>
      </c>
      <c r="G1109" s="50" t="n">
        <v>0.4583333333333333</v>
      </c>
      <c r="H1109" s="51" t="n">
        <v>1005950</v>
      </c>
      <c r="I1109" s="46" t="inlineStr">
        <is>
          <t>우승택</t>
        </is>
      </c>
      <c r="K1109" s="46" t="n">
        <v>1108</v>
      </c>
      <c r="L1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0">
      <c r="A1110" s="229" t="n">
        <v>46122</v>
      </c>
      <c r="B1110" s="46" t="inlineStr">
        <is>
          <t>정기검사</t>
        </is>
      </c>
      <c r="C1110" s="46" t="inlineStr">
        <is>
          <t>김포지역</t>
        </is>
      </c>
      <c r="D1110" s="46" t="inlineStr">
        <is>
          <t>진검물산</t>
        </is>
      </c>
      <c r="E1110" s="46" t="n">
        <v>450</v>
      </c>
      <c r="F1110" s="46" t="inlineStr">
        <is>
          <t>가현리</t>
        </is>
      </c>
      <c r="G1110" s="50" t="n">
        <v>0.5416666666666666</v>
      </c>
      <c r="H1110" s="51" t="n">
        <v>720060</v>
      </c>
      <c r="I1110" s="46" t="inlineStr">
        <is>
          <t>허창수</t>
        </is>
      </c>
      <c r="K1110" s="46" t="n">
        <v>1109</v>
      </c>
      <c r="L1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1">
      <c r="A1111" s="229" t="n">
        <v>46122</v>
      </c>
      <c r="B1111" s="46" t="inlineStr">
        <is>
          <t>사용전검사</t>
        </is>
      </c>
      <c r="C1111" s="46" t="inlineStr">
        <is>
          <t>부천지역</t>
        </is>
      </c>
      <c r="D1111" s="46" t="inlineStr">
        <is>
          <t>남강토건</t>
        </is>
      </c>
      <c r="E1111" s="46" t="n">
        <v>600</v>
      </c>
      <c r="F1111" s="46" t="inlineStr">
        <is>
          <t>대장동</t>
        </is>
      </c>
      <c r="G1111" s="50" t="n"/>
      <c r="H1111" s="51" t="n"/>
      <c r="I1111" s="46" t="inlineStr">
        <is>
          <t>이덕기</t>
        </is>
      </c>
      <c r="K1111" s="46" t="n">
        <v>1110</v>
      </c>
      <c r="L1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2">
      <c r="A1112" s="229" t="n">
        <v>46122</v>
      </c>
      <c r="B1112" s="46" t="inlineStr">
        <is>
          <t>사용전검사</t>
        </is>
      </c>
      <c r="C1112" s="46" t="inlineStr">
        <is>
          <t>부천지역</t>
        </is>
      </c>
      <c r="D1112" s="46" t="inlineStr">
        <is>
          <t>조마수산-배분</t>
        </is>
      </c>
      <c r="E1112" s="46" t="inlineStr">
        <is>
          <t>변경</t>
        </is>
      </c>
      <c r="F1112" s="46" t="n"/>
      <c r="G1112" s="50" t="n"/>
      <c r="H1112" s="51" t="n"/>
      <c r="I1112" s="46" t="inlineStr">
        <is>
          <t>서수형</t>
        </is>
      </c>
      <c r="K1112" s="46" t="n">
        <v>1111</v>
      </c>
      <c r="L1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3">
      <c r="A1113" s="229" t="n">
        <v>46122</v>
      </c>
      <c r="B1113" s="46" t="inlineStr">
        <is>
          <t>사용전검사</t>
        </is>
      </c>
      <c r="C1113" s="46" t="inlineStr">
        <is>
          <t>김포지역</t>
        </is>
      </c>
      <c r="D1113" s="46" t="inlineStr">
        <is>
          <t>금전글로벌</t>
        </is>
      </c>
      <c r="E1113" s="46" t="n">
        <v>213</v>
      </c>
      <c r="F1113" s="46" t="inlineStr">
        <is>
          <t>쇄암로</t>
        </is>
      </c>
      <c r="G1113" s="50" t="n"/>
      <c r="H1113" s="51" t="n"/>
      <c r="I1113" s="46" t="inlineStr">
        <is>
          <t>허창수</t>
        </is>
      </c>
      <c r="K1113" s="46" t="n">
        <v>1112</v>
      </c>
      <c r="L1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4">
      <c r="A1114" s="229" t="n">
        <v>46122</v>
      </c>
      <c r="B1114" s="46" t="inlineStr">
        <is>
          <t>사용전검사</t>
        </is>
      </c>
      <c r="C1114" s="46" t="inlineStr">
        <is>
          <t>김포지역</t>
        </is>
      </c>
      <c r="D1114" s="46" t="inlineStr">
        <is>
          <t>굿모닝삼성1호</t>
        </is>
      </c>
      <c r="E1114" s="46" t="n">
        <v>89</v>
      </c>
      <c r="F1114" s="46" t="inlineStr">
        <is>
          <t>양택리</t>
        </is>
      </c>
      <c r="G1114" s="50" t="n"/>
      <c r="H1114" s="51" t="n"/>
      <c r="I1114" s="46" t="inlineStr">
        <is>
          <t>정성관</t>
        </is>
      </c>
      <c r="K1114" s="46" t="n">
        <v>1113</v>
      </c>
      <c r="L1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5">
      <c r="A1115" s="229" t="n">
        <v>46122</v>
      </c>
      <c r="B1115" s="46" t="inlineStr">
        <is>
          <t>사용전검사</t>
        </is>
      </c>
      <c r="C1115" s="46" t="inlineStr">
        <is>
          <t>김포지역</t>
        </is>
      </c>
      <c r="D1115" s="46" t="inlineStr">
        <is>
          <t>굿모닝삼성2호</t>
        </is>
      </c>
      <c r="E1115" s="46" t="n">
        <v>90</v>
      </c>
      <c r="F1115" s="46" t="inlineStr">
        <is>
          <t>양택리</t>
        </is>
      </c>
      <c r="G1115" s="50" t="n"/>
      <c r="H1115" s="51" t="n"/>
      <c r="I1115" s="46" t="inlineStr">
        <is>
          <t>정성관</t>
        </is>
      </c>
      <c r="K1115" s="46" t="n">
        <v>1114</v>
      </c>
      <c r="L1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6">
      <c r="A1116" s="229" t="n">
        <v>46122</v>
      </c>
      <c r="B1116" s="46" t="inlineStr">
        <is>
          <t>사용전검사</t>
        </is>
      </c>
      <c r="C1116" s="46" t="inlineStr">
        <is>
          <t>김포지역</t>
        </is>
      </c>
      <c r="D1116" s="46" t="inlineStr">
        <is>
          <t>굿모닝씨엘1호</t>
        </is>
      </c>
      <c r="E1116" s="46" t="n">
        <v>91</v>
      </c>
      <c r="F1116" s="46" t="inlineStr">
        <is>
          <t>고정리</t>
        </is>
      </c>
      <c r="G1116" s="50" t="n"/>
      <c r="H1116" s="51" t="n"/>
      <c r="I1116" s="46" t="inlineStr">
        <is>
          <t>정신배</t>
        </is>
      </c>
      <c r="K1116" s="46" t="n">
        <v>1115</v>
      </c>
      <c r="L1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7">
      <c r="A1117" s="229" t="n">
        <v>46122</v>
      </c>
      <c r="B1117" s="46" t="inlineStr">
        <is>
          <t>사용전검사</t>
        </is>
      </c>
      <c r="C1117" s="46" t="inlineStr">
        <is>
          <t>김포지역</t>
        </is>
      </c>
      <c r="D1117" s="46" t="inlineStr">
        <is>
          <t>굿모닝씨엘2호</t>
        </is>
      </c>
      <c r="E1117" s="46" t="n">
        <v>92</v>
      </c>
      <c r="F1117" s="46" t="inlineStr">
        <is>
          <t>고정리</t>
        </is>
      </c>
      <c r="G1117" s="50" t="n"/>
      <c r="H1117" s="51" t="n"/>
      <c r="I1117" s="46" t="inlineStr">
        <is>
          <t>정신배</t>
        </is>
      </c>
      <c r="K1117" s="46" t="n">
        <v>1116</v>
      </c>
      <c r="L1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8">
      <c r="A1118" s="229" t="n">
        <v>46122</v>
      </c>
      <c r="B1118" s="46" t="inlineStr">
        <is>
          <t>사용전검사</t>
        </is>
      </c>
      <c r="C1118" s="46" t="inlineStr">
        <is>
          <t>김포지역</t>
        </is>
      </c>
      <c r="D1118" s="46" t="inlineStr">
        <is>
          <t>굿모닝씨엘3호</t>
        </is>
      </c>
      <c r="E1118" s="46" t="n">
        <v>93</v>
      </c>
      <c r="F1118" s="46" t="inlineStr">
        <is>
          <t>고정리</t>
        </is>
      </c>
      <c r="G1118" s="50" t="n"/>
      <c r="H1118" s="51" t="n"/>
      <c r="I1118" s="46" t="inlineStr">
        <is>
          <t>정신배</t>
        </is>
      </c>
      <c r="K1118" s="46" t="n">
        <v>1117</v>
      </c>
      <c r="L1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9">
      <c r="A1119" s="229" t="n">
        <v>46123</v>
      </c>
      <c r="B1119" s="46" t="inlineStr">
        <is>
          <t>정기검사</t>
        </is>
      </c>
      <c r="C1119" s="46" t="inlineStr">
        <is>
          <t>부천지역</t>
        </is>
      </c>
      <c r="D1119" s="46" t="inlineStr">
        <is>
          <t>중동행정복지</t>
        </is>
      </c>
      <c r="E1119" s="46" t="n">
        <v>69</v>
      </c>
      <c r="F1119" s="46" t="inlineStr">
        <is>
          <t>중동</t>
        </is>
      </c>
      <c r="G1119" s="50" t="n">
        <v>0.4583333333333333</v>
      </c>
      <c r="H1119" s="51" t="n">
        <v>204050</v>
      </c>
      <c r="I1119" s="46" t="inlineStr">
        <is>
          <t>허창수</t>
        </is>
      </c>
      <c r="K1119" s="46" t="n">
        <v>1118</v>
      </c>
      <c r="L1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0">
      <c r="A1120" s="229" t="n">
        <v>46123</v>
      </c>
      <c r="B1120" s="46" t="inlineStr">
        <is>
          <t>정기검사</t>
        </is>
      </c>
      <c r="C1120" s="46" t="inlineStr">
        <is>
          <t>부천지역</t>
        </is>
      </c>
      <c r="D1120" s="46" t="inlineStr">
        <is>
          <t>신한은행</t>
        </is>
      </c>
      <c r="E1120" s="46" t="inlineStr">
        <is>
          <t>600/104</t>
        </is>
      </c>
      <c r="F1120" s="46" t="inlineStr">
        <is>
          <t>춘의동</t>
        </is>
      </c>
      <c r="G1120" s="50" t="n">
        <v>0.6875</v>
      </c>
      <c r="H1120" s="51" t="n">
        <v>938190</v>
      </c>
      <c r="I1120" s="46" t="inlineStr">
        <is>
          <t>송낙명</t>
        </is>
      </c>
      <c r="K1120" s="46" t="n">
        <v>1119</v>
      </c>
      <c r="L1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1">
      <c r="A1121" s="229" t="n">
        <v>46123</v>
      </c>
      <c r="B1121" s="46" t="inlineStr">
        <is>
          <t>정기검사</t>
        </is>
      </c>
      <c r="C1121" s="46" t="inlineStr">
        <is>
          <t>김포지역</t>
        </is>
      </c>
      <c r="D1121" s="46" t="inlineStr">
        <is>
          <t>가람화학</t>
        </is>
      </c>
      <c r="E1121" s="46" t="n">
        <v>450</v>
      </c>
      <c r="F1121" s="46" t="inlineStr">
        <is>
          <t>학운리</t>
        </is>
      </c>
      <c r="G1121" s="50" t="n">
        <v>0.4166666666666667</v>
      </c>
      <c r="H1121" s="51" t="n">
        <v>935990</v>
      </c>
      <c r="I1121" s="46" t="inlineStr">
        <is>
          <t>민경수</t>
        </is>
      </c>
      <c r="K1121" s="46" t="n">
        <v>1120</v>
      </c>
      <c r="L1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2">
      <c r="A1122" s="229" t="n">
        <v>46123</v>
      </c>
      <c r="B1122" s="46" t="inlineStr">
        <is>
          <t>정기검사</t>
        </is>
      </c>
      <c r="C1122" s="46" t="inlineStr">
        <is>
          <t>김포지역</t>
        </is>
      </c>
      <c r="D1122" s="46" t="inlineStr">
        <is>
          <t>양지사</t>
        </is>
      </c>
      <c r="E1122" s="46" t="n">
        <v>3500</v>
      </c>
      <c r="F1122" s="46" t="inlineStr">
        <is>
          <t>학운리</t>
        </is>
      </c>
      <c r="G1122" s="50" t="n">
        <v>0.3958333333333333</v>
      </c>
      <c r="H1122" s="51" t="n">
        <v>1653740</v>
      </c>
      <c r="I1122" s="46" t="inlineStr">
        <is>
          <t>정성관</t>
        </is>
      </c>
      <c r="K1122" s="46" t="n">
        <v>1121</v>
      </c>
      <c r="L1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3">
      <c r="A1123" s="229" t="n">
        <v>46123</v>
      </c>
      <c r="B1123" s="46" t="inlineStr">
        <is>
          <t>정기검사</t>
        </is>
      </c>
      <c r="C1123" s="46" t="inlineStr">
        <is>
          <t>김포지역</t>
        </is>
      </c>
      <c r="D1123" s="46" t="inlineStr">
        <is>
          <t>하나테크</t>
        </is>
      </c>
      <c r="E1123" s="46" t="n">
        <v>990</v>
      </c>
      <c r="F1123" s="46" t="inlineStr">
        <is>
          <t>흥신리</t>
        </is>
      </c>
      <c r="G1123" s="50" t="n"/>
      <c r="H1123" s="51" t="n">
        <v>1173810</v>
      </c>
      <c r="I1123" s="46" t="n"/>
      <c r="K1123" s="46" t="n">
        <v>1122</v>
      </c>
      <c r="L1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4">
      <c r="A1124" s="229" t="n">
        <v>46123</v>
      </c>
      <c r="B1124" s="46" t="inlineStr">
        <is>
          <t>정기검사</t>
        </is>
      </c>
      <c r="C1124" s="46" t="inlineStr">
        <is>
          <t>김포지역</t>
        </is>
      </c>
      <c r="D1124" s="46" t="inlineStr">
        <is>
          <t>오스템임프란트</t>
        </is>
      </c>
      <c r="E1124" s="46" t="n">
        <v>490</v>
      </c>
      <c r="F1124" s="46" t="inlineStr">
        <is>
          <t>학운리</t>
        </is>
      </c>
      <c r="G1124" s="50" t="n">
        <v>0.25</v>
      </c>
      <c r="H1124" s="51" t="n">
        <v>953590</v>
      </c>
      <c r="I1124" s="46" t="inlineStr">
        <is>
          <t>허창수</t>
        </is>
      </c>
      <c r="K1124" s="46" t="n">
        <v>1123</v>
      </c>
      <c r="L1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5">
      <c r="A1125" s="229" t="n">
        <v>46123</v>
      </c>
      <c r="B1125" s="46" t="inlineStr">
        <is>
          <t>메모</t>
        </is>
      </c>
      <c r="C1125" s="46" t="inlineStr">
        <is>
          <t>부천지역</t>
        </is>
      </c>
      <c r="D1125" s="46" t="inlineStr">
        <is>
          <t>서수형휴가</t>
        </is>
      </c>
      <c r="E1125" s="46" t="n"/>
      <c r="F1125" s="46" t="n"/>
      <c r="G1125" s="50" t="n"/>
      <c r="H1125" s="51" t="n"/>
      <c r="I1125" s="46" t="n"/>
      <c r="K1125" s="46" t="n">
        <v>1124</v>
      </c>
      <c r="L1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6">
      <c r="A1126" s="229" t="n">
        <v>46123</v>
      </c>
      <c r="B1126" s="46" t="inlineStr">
        <is>
          <t>메모</t>
        </is>
      </c>
      <c r="C1126" s="46" t="inlineStr">
        <is>
          <t>부천지역</t>
        </is>
      </c>
      <c r="D1126" s="46" t="inlineStr">
        <is>
          <t>민재홍휴가</t>
        </is>
      </c>
      <c r="E1126" s="46" t="n"/>
      <c r="F1126" s="46" t="n"/>
      <c r="G1126" s="50" t="n"/>
      <c r="H1126" s="51" t="n"/>
      <c r="I1126" s="46" t="n"/>
      <c r="K1126" s="46" t="n">
        <v>1125</v>
      </c>
      <c r="L1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7">
      <c r="A1127" s="229" t="n">
        <v>46123</v>
      </c>
      <c r="B1127" s="46" t="inlineStr">
        <is>
          <t>메모</t>
        </is>
      </c>
      <c r="C1127" s="46" t="inlineStr">
        <is>
          <t>부천지역</t>
        </is>
      </c>
      <c r="D1127" s="46" t="inlineStr">
        <is>
          <t>한태희휴가</t>
        </is>
      </c>
      <c r="E1127" s="46" t="n"/>
      <c r="F1127" s="46" t="n"/>
      <c r="G1127" s="50" t="n"/>
      <c r="H1127" s="51" t="n"/>
      <c r="I1127" s="46" t="n"/>
      <c r="K1127" s="46" t="n">
        <v>1126</v>
      </c>
      <c r="L1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8">
      <c r="A1128" s="229" t="n">
        <v>46123</v>
      </c>
      <c r="B1128" s="46" t="inlineStr">
        <is>
          <t>메모</t>
        </is>
      </c>
      <c r="C1128" s="46" t="inlineStr">
        <is>
          <t>부천지역</t>
        </is>
      </c>
      <c r="D1128" s="46" t="inlineStr">
        <is>
          <t>송두기휴가</t>
        </is>
      </c>
      <c r="E1128" s="46" t="n"/>
      <c r="F1128" s="46" t="n"/>
      <c r="G1128" s="50" t="n"/>
      <c r="H1128" s="51" t="n"/>
      <c r="I1128" s="46" t="n"/>
      <c r="K1128" s="46" t="n">
        <v>1127</v>
      </c>
      <c r="L1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9">
      <c r="A1129" s="229" t="n">
        <v>46123</v>
      </c>
      <c r="B1129" s="46" t="inlineStr">
        <is>
          <t>사용전검사</t>
        </is>
      </c>
      <c r="C1129" s="46" t="inlineStr">
        <is>
          <t>김포지역</t>
        </is>
      </c>
      <c r="D1129" s="46" t="inlineStr">
        <is>
          <t>마스턴</t>
        </is>
      </c>
      <c r="E1129" s="46" t="n">
        <v>1400</v>
      </c>
      <c r="F1129" s="46" t="inlineStr">
        <is>
          <t>학운리</t>
        </is>
      </c>
      <c r="G1129" s="50" t="n"/>
      <c r="H1129" s="51" t="n"/>
      <c r="I1129" s="46" t="inlineStr">
        <is>
          <t>김영권</t>
        </is>
      </c>
      <c r="K1129" s="46" t="n">
        <v>1128</v>
      </c>
      <c r="L1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0">
      <c r="A1130" s="229" t="n">
        <v>46124</v>
      </c>
      <c r="B1130" s="46" t="inlineStr">
        <is>
          <t>메모</t>
        </is>
      </c>
      <c r="C1130" s="46" t="inlineStr">
        <is>
          <t>부천지역</t>
        </is>
      </c>
      <c r="D1130" s="46" t="inlineStr">
        <is>
          <t>민재홍휴가</t>
        </is>
      </c>
      <c r="E1130" s="46" t="n"/>
      <c r="F1130" s="46" t="n"/>
      <c r="G1130" s="50" t="n"/>
      <c r="H1130" s="51" t="n"/>
      <c r="I1130" s="46" t="n"/>
      <c r="K1130" s="46" t="n">
        <v>1129</v>
      </c>
      <c r="L1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1">
      <c r="A1131" s="229" t="n">
        <v>46124</v>
      </c>
      <c r="B1131" s="46" t="inlineStr">
        <is>
          <t>메모</t>
        </is>
      </c>
      <c r="C1131" s="46" t="inlineStr">
        <is>
          <t>부천지역</t>
        </is>
      </c>
      <c r="D1131" s="46" t="inlineStr">
        <is>
          <t>송두기휴가</t>
        </is>
      </c>
      <c r="E1131" s="46" t="n"/>
      <c r="F1131" s="46" t="n"/>
      <c r="G1131" s="50" t="n"/>
      <c r="H1131" s="51" t="n"/>
      <c r="I1131" s="46" t="n"/>
      <c r="K1131" s="46" t="n">
        <v>1130</v>
      </c>
      <c r="L1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2">
      <c r="A1132" s="229" t="n">
        <v>46125</v>
      </c>
      <c r="B1132" s="46" t="inlineStr">
        <is>
          <t>정기검사</t>
        </is>
      </c>
      <c r="C1132" s="46" t="inlineStr">
        <is>
          <t>부천지역</t>
        </is>
      </c>
      <c r="D1132" s="46" t="inlineStr">
        <is>
          <t>광림교회</t>
        </is>
      </c>
      <c r="E1132" s="46" t="n">
        <v>24</v>
      </c>
      <c r="F1132" s="46" t="inlineStr">
        <is>
          <t>상동0</t>
        </is>
      </c>
      <c r="G1132" s="50" t="n">
        <v>0.4166666666666667</v>
      </c>
      <c r="H1132" s="51" t="n">
        <v>143660</v>
      </c>
      <c r="I1132" s="46" t="inlineStr">
        <is>
          <t>이덕기</t>
        </is>
      </c>
      <c r="K1132" s="46" t="n">
        <v>1131</v>
      </c>
      <c r="L1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3">
      <c r="A1133" s="229" t="n">
        <v>46125</v>
      </c>
      <c r="B1133" s="46" t="inlineStr">
        <is>
          <t>정기검사</t>
        </is>
      </c>
      <c r="C1133" s="46" t="inlineStr">
        <is>
          <t>부천지역</t>
        </is>
      </c>
      <c r="D1133" s="46" t="inlineStr">
        <is>
          <t>시민회관</t>
        </is>
      </c>
      <c r="E1133" s="46" t="inlineStr">
        <is>
          <t>전기차</t>
        </is>
      </c>
      <c r="F1133" s="46" t="inlineStr">
        <is>
          <t>중동</t>
        </is>
      </c>
      <c r="G1133" s="50" t="n">
        <v>0.5416666666666666</v>
      </c>
      <c r="H1133" s="51" t="n">
        <v>237600</v>
      </c>
      <c r="I1133" s="46" t="inlineStr">
        <is>
          <t>서수형</t>
        </is>
      </c>
      <c r="K1133" s="46" t="n">
        <v>1132</v>
      </c>
      <c r="L1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4">
      <c r="A1134" s="229" t="n">
        <v>46125</v>
      </c>
      <c r="B1134" s="46" t="inlineStr">
        <is>
          <t>정기검사</t>
        </is>
      </c>
      <c r="C1134" s="46" t="inlineStr">
        <is>
          <t>부천지역</t>
        </is>
      </c>
      <c r="D1134" s="46" t="inlineStr">
        <is>
          <t>휘닉스빌딩</t>
        </is>
      </c>
      <c r="E1134" s="46" t="inlineStr">
        <is>
          <t>750/155</t>
        </is>
      </c>
      <c r="F1134" s="46" t="inlineStr">
        <is>
          <t>중동</t>
        </is>
      </c>
      <c r="G1134" s="50" t="n">
        <v>0.3958333333333333</v>
      </c>
      <c r="H1134" s="51" t="n">
        <v>1004080</v>
      </c>
      <c r="I1134" s="46" t="inlineStr">
        <is>
          <t>송낙명</t>
        </is>
      </c>
      <c r="K1134" s="46" t="n">
        <v>1133</v>
      </c>
      <c r="L1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5">
      <c r="A1135" s="229" t="n">
        <v>46125</v>
      </c>
      <c r="B1135" s="46" t="inlineStr">
        <is>
          <t>정기검사</t>
        </is>
      </c>
      <c r="C1135" s="46" t="inlineStr">
        <is>
          <t>부천지역</t>
        </is>
      </c>
      <c r="D1135" s="46" t="inlineStr">
        <is>
          <t>우드</t>
        </is>
      </c>
      <c r="E1135" s="46" t="n">
        <v>300</v>
      </c>
      <c r="F1135" s="46" t="inlineStr">
        <is>
          <t>상동0</t>
        </is>
      </c>
      <c r="G1135" s="50" t="n">
        <v>0.5</v>
      </c>
      <c r="H1135" s="51" t="n">
        <v>521730</v>
      </c>
      <c r="I1135" s="46" t="inlineStr">
        <is>
          <t>이덕기</t>
        </is>
      </c>
      <c r="K1135" s="46" t="n">
        <v>1134</v>
      </c>
      <c r="L1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6">
      <c r="A1136" s="229" t="n">
        <v>46125</v>
      </c>
      <c r="B1136" s="46" t="inlineStr">
        <is>
          <t>정기검사</t>
        </is>
      </c>
      <c r="C1136" s="46" t="inlineStr">
        <is>
          <t>부천지역</t>
        </is>
      </c>
      <c r="D1136" s="46" t="inlineStr">
        <is>
          <t>현대백화점</t>
        </is>
      </c>
      <c r="E1136" s="46" t="inlineStr">
        <is>
          <t>ups</t>
        </is>
      </c>
      <c r="F1136" s="46" t="inlineStr">
        <is>
          <t>상동0</t>
        </is>
      </c>
      <c r="G1136" s="50" t="n">
        <v>0.25</v>
      </c>
      <c r="H1136" s="51" t="n">
        <v>2584780</v>
      </c>
      <c r="I1136" s="46" t="inlineStr">
        <is>
          <t>민경수</t>
        </is>
      </c>
      <c r="K1136" s="46" t="n">
        <v>1135</v>
      </c>
      <c r="L1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7">
      <c r="A1137" s="229" t="n">
        <v>46125</v>
      </c>
      <c r="B1137" s="46" t="inlineStr">
        <is>
          <t>정기검사</t>
        </is>
      </c>
      <c r="C1137" s="46" t="inlineStr">
        <is>
          <t>부천지역</t>
        </is>
      </c>
      <c r="D1137" s="46" t="inlineStr">
        <is>
          <t>태원테크</t>
        </is>
      </c>
      <c r="E1137" s="46" t="n">
        <v>250</v>
      </c>
      <c r="F1137" s="46" t="inlineStr">
        <is>
          <t>송내동</t>
        </is>
      </c>
      <c r="G1137" s="50" t="n">
        <v>0.5416666666666666</v>
      </c>
      <c r="H1137" s="51" t="n">
        <v>489170</v>
      </c>
      <c r="I1137" s="46" t="inlineStr">
        <is>
          <t>송낙명</t>
        </is>
      </c>
      <c r="K1137" s="46" t="n">
        <v>1136</v>
      </c>
      <c r="L1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8">
      <c r="A1138" s="229" t="n">
        <v>46125</v>
      </c>
      <c r="B1138" s="46" t="inlineStr">
        <is>
          <t>정기검사</t>
        </is>
      </c>
      <c r="C1138" s="46" t="inlineStr">
        <is>
          <t>부천지역</t>
        </is>
      </c>
      <c r="D1138" s="46" t="inlineStr">
        <is>
          <t>뉴월드프라자</t>
        </is>
      </c>
      <c r="E1138" s="46" t="inlineStr">
        <is>
          <t>700/145</t>
        </is>
      </c>
      <c r="F1138" s="46" t="inlineStr">
        <is>
          <t>상동0</t>
        </is>
      </c>
      <c r="G1138" s="50" t="n">
        <v>0.3958333333333333</v>
      </c>
      <c r="H1138" s="51" t="n">
        <v>984280</v>
      </c>
      <c r="I1138" s="46" t="inlineStr">
        <is>
          <t>서수형</t>
        </is>
      </c>
      <c r="K1138" s="46" t="n">
        <v>1137</v>
      </c>
      <c r="L1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9">
      <c r="A1139" s="229" t="n">
        <v>46125</v>
      </c>
      <c r="B1139" s="46" t="inlineStr">
        <is>
          <t>정기검사</t>
        </is>
      </c>
      <c r="C1139" s="46" t="inlineStr">
        <is>
          <t>부천지역</t>
        </is>
      </c>
      <c r="D1139" s="46" t="inlineStr">
        <is>
          <t>수광기업</t>
        </is>
      </c>
      <c r="E1139" s="46" t="n">
        <v>500</v>
      </c>
      <c r="F1139" s="46" t="inlineStr">
        <is>
          <t>도당동</t>
        </is>
      </c>
      <c r="G1139" s="50" t="n">
        <v>0.5</v>
      </c>
      <c r="H1139" s="51" t="n">
        <v>737000</v>
      </c>
      <c r="I1139" s="46" t="inlineStr">
        <is>
          <t>허창수</t>
        </is>
      </c>
      <c r="K1139" s="46" t="n">
        <v>1138</v>
      </c>
      <c r="L1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0">
      <c r="A1140" s="229" t="n">
        <v>46125</v>
      </c>
      <c r="B1140" s="46" t="inlineStr">
        <is>
          <t>정기검사</t>
        </is>
      </c>
      <c r="C1140" s="46" t="inlineStr">
        <is>
          <t>김포지역</t>
        </is>
      </c>
      <c r="D1140" s="46" t="inlineStr">
        <is>
          <t>삼성이엔지</t>
        </is>
      </c>
      <c r="E1140" s="46" t="n">
        <v>300</v>
      </c>
      <c r="F1140" s="46" t="inlineStr">
        <is>
          <t>석탄리</t>
        </is>
      </c>
      <c r="G1140" s="50" t="n">
        <v>0.3958333333333333</v>
      </c>
      <c r="H1140" s="51" t="n">
        <v>521730</v>
      </c>
      <c r="I1140" s="46" t="inlineStr">
        <is>
          <t>김영권</t>
        </is>
      </c>
      <c r="K1140" s="46" t="n">
        <v>1139</v>
      </c>
      <c r="L1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1">
      <c r="A1141" s="229" t="n">
        <v>46125</v>
      </c>
      <c r="B1141" s="46" t="inlineStr">
        <is>
          <t>정기검사</t>
        </is>
      </c>
      <c r="C1141" s="46" t="inlineStr">
        <is>
          <t>김포지역</t>
        </is>
      </c>
      <c r="D1141" s="46" t="inlineStr">
        <is>
          <t>케이앤씨</t>
        </is>
      </c>
      <c r="E1141" s="46" t="n">
        <v>200</v>
      </c>
      <c r="F1141" s="46" t="inlineStr">
        <is>
          <t>상마리</t>
        </is>
      </c>
      <c r="G1141" s="50" t="n">
        <v>0.5</v>
      </c>
      <c r="H1141" s="51" t="n">
        <v>456720</v>
      </c>
      <c r="I1141" s="46" t="inlineStr">
        <is>
          <t>우승택</t>
        </is>
      </c>
      <c r="K1141" s="46" t="n">
        <v>1140</v>
      </c>
      <c r="L1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2">
      <c r="A1142" s="229" t="n">
        <v>46125</v>
      </c>
      <c r="B1142" s="46" t="inlineStr">
        <is>
          <t>정기검사</t>
        </is>
      </c>
      <c r="C1142" s="46" t="inlineStr">
        <is>
          <t>김포지역</t>
        </is>
      </c>
      <c r="D1142" s="46" t="inlineStr">
        <is>
          <t>러스타</t>
        </is>
      </c>
      <c r="E1142" s="46" t="n">
        <v>120</v>
      </c>
      <c r="F1142" s="46" t="inlineStr">
        <is>
          <t>마송리</t>
        </is>
      </c>
      <c r="G1142" s="50" t="n">
        <v>0.4791666666666667</v>
      </c>
      <c r="H1142" s="51" t="n">
        <v>206580</v>
      </c>
      <c r="I1142" s="46" t="inlineStr">
        <is>
          <t>정성관</t>
        </is>
      </c>
      <c r="K1142" s="46" t="n">
        <v>1141</v>
      </c>
      <c r="L1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3">
      <c r="A1143" s="229" t="n">
        <v>46125</v>
      </c>
      <c r="B1143" s="46" t="inlineStr">
        <is>
          <t>정기검사</t>
        </is>
      </c>
      <c r="C1143" s="46" t="inlineStr">
        <is>
          <t>김포지역</t>
        </is>
      </c>
      <c r="D1143" s="46" t="inlineStr">
        <is>
          <t>동아화이바</t>
        </is>
      </c>
      <c r="E1143" s="46" t="n">
        <v>990</v>
      </c>
      <c r="F1143" s="46" t="inlineStr">
        <is>
          <t>학운리</t>
        </is>
      </c>
      <c r="G1143" s="50" t="n">
        <v>0.3958333333333333</v>
      </c>
      <c r="H1143" s="51" t="n">
        <v>902990</v>
      </c>
      <c r="I1143" s="46" t="inlineStr">
        <is>
          <t>우승택</t>
        </is>
      </c>
      <c r="K1143" s="46" t="n">
        <v>1142</v>
      </c>
      <c r="L1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4">
      <c r="A1144" s="229" t="n">
        <v>46125</v>
      </c>
      <c r="B1144" s="46" t="inlineStr">
        <is>
          <t>정기검사</t>
        </is>
      </c>
      <c r="C1144" s="46" t="inlineStr">
        <is>
          <t>김포지역</t>
        </is>
      </c>
      <c r="D1144" s="46" t="inlineStr">
        <is>
          <t>아라산업2호</t>
        </is>
      </c>
      <c r="E1144" s="46" t="n">
        <v>55</v>
      </c>
      <c r="F1144" s="46" t="inlineStr">
        <is>
          <t>향산리</t>
        </is>
      </c>
      <c r="G1144" s="50" t="n"/>
      <c r="H1144" s="51" t="n">
        <v>208890</v>
      </c>
      <c r="I1144" s="46" t="inlineStr">
        <is>
          <t>한태희</t>
        </is>
      </c>
      <c r="K1144" s="46" t="n">
        <v>1143</v>
      </c>
      <c r="L1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5">
      <c r="A1145" s="229" t="n">
        <v>46125</v>
      </c>
      <c r="B1145" s="46" t="inlineStr">
        <is>
          <t>정기검사</t>
        </is>
      </c>
      <c r="C1145" s="46" t="inlineStr">
        <is>
          <t>김포지역</t>
        </is>
      </c>
      <c r="D1145" s="46" t="inlineStr">
        <is>
          <t>아라산업3호</t>
        </is>
      </c>
      <c r="E1145" s="46" t="n">
        <v>66</v>
      </c>
      <c r="F1145" s="46" t="inlineStr">
        <is>
          <t>향산리</t>
        </is>
      </c>
      <c r="G1145" s="50" t="n"/>
      <c r="H1145" s="51" t="n">
        <v>220330</v>
      </c>
      <c r="I1145" s="46" t="inlineStr">
        <is>
          <t>한태희</t>
        </is>
      </c>
      <c r="K1145" s="46" t="n">
        <v>1144</v>
      </c>
      <c r="L1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6">
      <c r="A1146" s="229" t="n">
        <v>46125</v>
      </c>
      <c r="B1146" s="46" t="inlineStr">
        <is>
          <t>정기검사</t>
        </is>
      </c>
      <c r="C1146" s="46" t="inlineStr">
        <is>
          <t>김포지역</t>
        </is>
      </c>
      <c r="D1146" s="46" t="inlineStr">
        <is>
          <t>로하1호</t>
        </is>
      </c>
      <c r="E1146" s="46" t="n">
        <v>95</v>
      </c>
      <c r="F1146" s="46" t="inlineStr">
        <is>
          <t>석정리</t>
        </is>
      </c>
      <c r="G1146" s="50" t="n"/>
      <c r="H1146" s="51" t="n">
        <v>250470</v>
      </c>
      <c r="I1146" s="46" t="inlineStr">
        <is>
          <t>한태희</t>
        </is>
      </c>
      <c r="K1146" s="46" t="n">
        <v>1145</v>
      </c>
      <c r="L1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7">
      <c r="A1147" s="229" t="n">
        <v>46125</v>
      </c>
      <c r="B1147" s="46" t="inlineStr">
        <is>
          <t>정기검사</t>
        </is>
      </c>
      <c r="C1147" s="46" t="inlineStr">
        <is>
          <t>김포지역</t>
        </is>
      </c>
      <c r="D1147" s="46" t="inlineStr">
        <is>
          <t>로하2호</t>
        </is>
      </c>
      <c r="E1147" s="46" t="n">
        <v>96</v>
      </c>
      <c r="F1147" s="46" t="inlineStr">
        <is>
          <t>석정리</t>
        </is>
      </c>
      <c r="G1147" s="50" t="n"/>
      <c r="H1147" s="51" t="n">
        <v>189750</v>
      </c>
      <c r="I1147" s="46" t="inlineStr">
        <is>
          <t>한태희</t>
        </is>
      </c>
      <c r="K1147" s="46" t="n">
        <v>1146</v>
      </c>
      <c r="L1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8">
      <c r="A1148" s="229" t="n">
        <v>46125</v>
      </c>
      <c r="B1148" s="46" t="inlineStr">
        <is>
          <t>정기검사</t>
        </is>
      </c>
      <c r="C1148" s="46" t="inlineStr">
        <is>
          <t>김포지역</t>
        </is>
      </c>
      <c r="D1148" s="46" t="inlineStr">
        <is>
          <t>지에스차지비</t>
        </is>
      </c>
      <c r="E1148" s="46" t="inlineStr">
        <is>
          <t>전기차</t>
        </is>
      </c>
      <c r="F1148" s="46" t="inlineStr">
        <is>
          <t>구래동</t>
        </is>
      </c>
      <c r="G1148" s="50" t="n"/>
      <c r="H1148" s="51" t="n">
        <v>64240</v>
      </c>
      <c r="I1148" s="46" t="inlineStr">
        <is>
          <t>김영권</t>
        </is>
      </c>
      <c r="K1148" s="46" t="n">
        <v>1147</v>
      </c>
      <c r="L1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9">
      <c r="A1149" s="229" t="n">
        <v>46125</v>
      </c>
      <c r="B1149" s="46" t="inlineStr">
        <is>
          <t>사용전검사</t>
        </is>
      </c>
      <c r="C1149" s="46" t="inlineStr">
        <is>
          <t>부천지역</t>
        </is>
      </c>
      <c r="D1149" s="46" t="inlineStr">
        <is>
          <t>현대백화점</t>
        </is>
      </c>
      <c r="E1149" s="46" t="n">
        <v>18500</v>
      </c>
      <c r="F1149" s="46" t="inlineStr">
        <is>
          <t>상동0</t>
        </is>
      </c>
      <c r="G1149" s="50" t="n">
        <v>0.25</v>
      </c>
      <c r="H1149" s="51" t="n"/>
      <c r="I1149" s="46" t="inlineStr">
        <is>
          <t>이종석</t>
        </is>
      </c>
      <c r="K1149" s="46" t="n">
        <v>1148</v>
      </c>
      <c r="L1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0">
      <c r="A1150" s="229" t="n">
        <v>46125</v>
      </c>
      <c r="B1150" s="46" t="inlineStr">
        <is>
          <t>사용전검사</t>
        </is>
      </c>
      <c r="C1150" s="46" t="inlineStr">
        <is>
          <t>부천지역</t>
        </is>
      </c>
      <c r="D1150" s="46" t="inlineStr">
        <is>
          <t>엠이케이</t>
        </is>
      </c>
      <c r="E1150" s="46" t="n">
        <v>57</v>
      </c>
      <c r="F1150" s="46" t="inlineStr">
        <is>
          <t>내동</t>
        </is>
      </c>
      <c r="G1150" s="50" t="n"/>
      <c r="H1150" s="51" t="n"/>
      <c r="I1150" s="46" t="inlineStr">
        <is>
          <t>허창수</t>
        </is>
      </c>
      <c r="K1150" s="46" t="n">
        <v>1149</v>
      </c>
      <c r="L1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1">
      <c r="A1151" s="229" t="n">
        <v>46125</v>
      </c>
      <c r="B1151" s="46" t="inlineStr">
        <is>
          <t>사용전검사</t>
        </is>
      </c>
      <c r="C1151" s="46" t="inlineStr">
        <is>
          <t>부천지역</t>
        </is>
      </c>
      <c r="D1151" s="46" t="inlineStr">
        <is>
          <t>대결빌딩</t>
        </is>
      </c>
      <c r="E1151" s="46" t="n">
        <v>15</v>
      </c>
      <c r="F1151" s="46" t="inlineStr">
        <is>
          <t>원미동</t>
        </is>
      </c>
      <c r="G1151" s="50" t="n"/>
      <c r="H1151" s="51" t="n"/>
      <c r="I1151" s="46" t="inlineStr">
        <is>
          <t>민재홍</t>
        </is>
      </c>
      <c r="K1151" s="46" t="n">
        <v>1150</v>
      </c>
      <c r="L1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2">
      <c r="A1152" s="229" t="n">
        <v>46125</v>
      </c>
      <c r="B1152" s="46" t="inlineStr">
        <is>
          <t>사용전검사</t>
        </is>
      </c>
      <c r="C1152" s="46" t="inlineStr">
        <is>
          <t>부천지역</t>
        </is>
      </c>
      <c r="D1152" s="46" t="inlineStr">
        <is>
          <t>박대웅</t>
        </is>
      </c>
      <c r="E1152" s="46" t="n">
        <v>5</v>
      </c>
      <c r="F1152" s="46" t="inlineStr">
        <is>
          <t>원미동</t>
        </is>
      </c>
      <c r="G1152" s="50" t="n"/>
      <c r="H1152" s="51" t="n"/>
      <c r="I1152" s="46" t="inlineStr">
        <is>
          <t>민재홍</t>
        </is>
      </c>
      <c r="K1152" s="46" t="n">
        <v>1151</v>
      </c>
      <c r="L1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3">
      <c r="A1153" s="229" t="n">
        <v>46125</v>
      </c>
      <c r="B1153" s="46" t="inlineStr">
        <is>
          <t>메모</t>
        </is>
      </c>
      <c r="C1153" s="46" t="inlineStr">
        <is>
          <t>부천지역</t>
        </is>
      </c>
      <c r="D1153" s="46" t="inlineStr">
        <is>
          <t>송두기휴가</t>
        </is>
      </c>
      <c r="E1153" s="46" t="inlineStr">
        <is>
          <t>김영권</t>
        </is>
      </c>
      <c r="F1153" s="46" t="n"/>
      <c r="G1153" s="50" t="n"/>
      <c r="H1153" s="51" t="n"/>
      <c r="I1153" s="46" t="n"/>
      <c r="K1153" s="46" t="n">
        <v>1152</v>
      </c>
      <c r="L1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4">
      <c r="A1154" s="229" t="n">
        <v>46125</v>
      </c>
      <c r="B1154" s="46" t="inlineStr">
        <is>
          <t>메모</t>
        </is>
      </c>
      <c r="C1154" s="46" t="inlineStr">
        <is>
          <t>부천지역</t>
        </is>
      </c>
      <c r="D1154" s="46" t="inlineStr">
        <is>
          <t>정신배휴가</t>
        </is>
      </c>
      <c r="E1154" s="46" t="inlineStr">
        <is>
          <t>정성관</t>
        </is>
      </c>
      <c r="F1154" s="46" t="n"/>
      <c r="G1154" s="50" t="n"/>
      <c r="H1154" s="51" t="n"/>
      <c r="I1154" s="46" t="n"/>
      <c r="K1154" s="46" t="n">
        <v>1153</v>
      </c>
      <c r="L1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5">
      <c r="A1155" s="229" t="n">
        <v>46125</v>
      </c>
      <c r="B1155" s="46" t="inlineStr">
        <is>
          <t>사용전검사</t>
        </is>
      </c>
      <c r="C1155" s="46" t="inlineStr">
        <is>
          <t>김포지역</t>
        </is>
      </c>
      <c r="D1155" s="46" t="inlineStr">
        <is>
          <t>부분</t>
        </is>
      </c>
      <c r="E1155" s="46" t="n"/>
      <c r="F1155" s="46" t="n"/>
      <c r="G1155" s="50" t="n"/>
      <c r="H1155" s="51" t="n"/>
      <c r="I1155" s="46" t="inlineStr">
        <is>
          <t>정성관</t>
        </is>
      </c>
      <c r="K1155" s="46" t="n">
        <v>1154</v>
      </c>
      <c r="L1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6">
      <c r="A1156" s="229" t="n">
        <v>46126</v>
      </c>
      <c r="B1156" s="46" t="inlineStr">
        <is>
          <t>정기검사</t>
        </is>
      </c>
      <c r="C1156" s="46" t="inlineStr">
        <is>
          <t>부천지역</t>
        </is>
      </c>
      <c r="D1156" s="46" t="inlineStr">
        <is>
          <t>소사역힐스센텀</t>
        </is>
      </c>
      <c r="E1156" s="46" t="inlineStr">
        <is>
          <t>1400/500</t>
        </is>
      </c>
      <c r="F1156" s="46" t="inlineStr">
        <is>
          <t>소사동</t>
        </is>
      </c>
      <c r="G1156" s="50" t="n">
        <v>0.4166666666666667</v>
      </c>
      <c r="H1156" s="51" t="n">
        <v>1222100</v>
      </c>
      <c r="I1156" s="46" t="inlineStr">
        <is>
          <t>송두기</t>
        </is>
      </c>
      <c r="K1156" s="46" t="n">
        <v>1155</v>
      </c>
      <c r="L1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7">
      <c r="A1157" s="229" t="n">
        <v>46126</v>
      </c>
      <c r="B1157" s="46" t="inlineStr">
        <is>
          <t>정기검사</t>
        </is>
      </c>
      <c r="C1157" s="46" t="inlineStr">
        <is>
          <t>부천지역</t>
        </is>
      </c>
      <c r="D1157" s="46" t="inlineStr">
        <is>
          <t>반달종합상가</t>
        </is>
      </c>
      <c r="E1157" s="46" t="n">
        <v>300</v>
      </c>
      <c r="F1157" s="46" t="inlineStr">
        <is>
          <t>상동0</t>
        </is>
      </c>
      <c r="G1157" s="50" t="n">
        <v>0.4166666666666667</v>
      </c>
      <c r="H1157" s="51" t="n">
        <v>521730</v>
      </c>
      <c r="I1157" s="46" t="inlineStr">
        <is>
          <t>이덕기</t>
        </is>
      </c>
      <c r="K1157" s="46" t="n">
        <v>1156</v>
      </c>
      <c r="L1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8">
      <c r="A1158" s="229" t="n">
        <v>46126</v>
      </c>
      <c r="B1158" s="46" t="inlineStr">
        <is>
          <t>정기검사</t>
        </is>
      </c>
      <c r="C1158" s="46" t="inlineStr">
        <is>
          <t>부천지역</t>
        </is>
      </c>
      <c r="D1158" s="46" t="inlineStr">
        <is>
          <t>아남자동기</t>
        </is>
      </c>
      <c r="E1158" s="46" t="n">
        <v>150</v>
      </c>
      <c r="F1158" s="46" t="inlineStr">
        <is>
          <t>도당동</t>
        </is>
      </c>
      <c r="G1158" s="50" t="n">
        <v>0.5208333333333334</v>
      </c>
      <c r="H1158" s="51" t="n">
        <v>424160</v>
      </c>
      <c r="I1158" s="46" t="inlineStr">
        <is>
          <t>서수형</t>
        </is>
      </c>
      <c r="K1158" s="46" t="n">
        <v>1157</v>
      </c>
      <c r="L1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9">
      <c r="A1159" s="229" t="n">
        <v>46126</v>
      </c>
      <c r="B1159" s="46" t="inlineStr">
        <is>
          <t>정기검사</t>
        </is>
      </c>
      <c r="C1159" s="46" t="inlineStr">
        <is>
          <t>부천지역</t>
        </is>
      </c>
      <c r="D1159" s="46" t="inlineStr">
        <is>
          <t>공주태양광3</t>
        </is>
      </c>
      <c r="E1159" s="46" t="n">
        <v>99</v>
      </c>
      <c r="F1159" s="46" t="inlineStr">
        <is>
          <t>약암리</t>
        </is>
      </c>
      <c r="G1159" s="50" t="n"/>
      <c r="H1159" s="51" t="n">
        <v>254540</v>
      </c>
      <c r="I1159" s="46" t="inlineStr">
        <is>
          <t>정성관</t>
        </is>
      </c>
      <c r="K1159" s="46" t="n">
        <v>1158</v>
      </c>
      <c r="L1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0">
      <c r="A1160" s="229" t="n">
        <v>46126</v>
      </c>
      <c r="B1160" s="46" t="inlineStr">
        <is>
          <t>정기검사</t>
        </is>
      </c>
      <c r="C1160" s="46" t="inlineStr">
        <is>
          <t>부천지역</t>
        </is>
      </c>
      <c r="D1160" s="46" t="inlineStr">
        <is>
          <t>공주태양광4</t>
        </is>
      </c>
      <c r="E1160" s="46" t="n">
        <v>100</v>
      </c>
      <c r="F1160" s="46" t="inlineStr">
        <is>
          <t>약암리</t>
        </is>
      </c>
      <c r="G1160" s="50" t="n"/>
      <c r="H1160" s="51" t="n">
        <v>255090</v>
      </c>
      <c r="I1160" s="46" t="inlineStr">
        <is>
          <t>정성관</t>
        </is>
      </c>
      <c r="K1160" s="46" t="n">
        <v>1159</v>
      </c>
      <c r="L1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1">
      <c r="A1161" s="229" t="n">
        <v>46126</v>
      </c>
      <c r="B1161" s="46" t="inlineStr">
        <is>
          <t>정기검사</t>
        </is>
      </c>
      <c r="C1161" s="46" t="inlineStr">
        <is>
          <t>부천지역</t>
        </is>
      </c>
      <c r="D1161" s="46" t="inlineStr">
        <is>
          <t>공주태양광5</t>
        </is>
      </c>
      <c r="E1161" s="46" t="n">
        <v>101</v>
      </c>
      <c r="F1161" s="46" t="inlineStr">
        <is>
          <t>약암리</t>
        </is>
      </c>
      <c r="G1161" s="50" t="n"/>
      <c r="H1161" s="51" t="n">
        <v>255090</v>
      </c>
      <c r="I1161" s="46" t="inlineStr">
        <is>
          <t>정성관</t>
        </is>
      </c>
      <c r="K1161" s="46" t="n">
        <v>1160</v>
      </c>
      <c r="L1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2">
      <c r="A1162" s="229" t="n">
        <v>46126</v>
      </c>
      <c r="B1162" s="46" t="inlineStr">
        <is>
          <t>정기검사</t>
        </is>
      </c>
      <c r="C1162" s="46" t="inlineStr">
        <is>
          <t>김포지역</t>
        </is>
      </c>
      <c r="D1162" s="46" t="inlineStr">
        <is>
          <t>상흠1호</t>
        </is>
      </c>
      <c r="E1162" s="46" t="n">
        <v>99</v>
      </c>
      <c r="F1162" s="46" t="inlineStr">
        <is>
          <t>약암리</t>
        </is>
      </c>
      <c r="G1162" s="50" t="n"/>
      <c r="H1162" s="51" t="n">
        <v>255090</v>
      </c>
      <c r="I1162" s="46" t="inlineStr">
        <is>
          <t>정신배</t>
        </is>
      </c>
      <c r="K1162" s="46" t="n">
        <v>1161</v>
      </c>
      <c r="L1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3">
      <c r="A1163" s="229" t="n">
        <v>46126</v>
      </c>
      <c r="B1163" s="46" t="inlineStr">
        <is>
          <t>정기검사</t>
        </is>
      </c>
      <c r="C1163" s="46" t="inlineStr">
        <is>
          <t>김포지역</t>
        </is>
      </c>
      <c r="D1163" s="46" t="inlineStr">
        <is>
          <t>상흠2호</t>
        </is>
      </c>
      <c r="E1163" s="46" t="n">
        <v>100</v>
      </c>
      <c r="F1163" s="46" t="inlineStr">
        <is>
          <t>약암리</t>
        </is>
      </c>
      <c r="G1163" s="50" t="n"/>
      <c r="H1163" s="51" t="n">
        <v>203170</v>
      </c>
      <c r="I1163" s="46" t="inlineStr">
        <is>
          <t>정신배</t>
        </is>
      </c>
      <c r="K1163" s="46" t="n">
        <v>1162</v>
      </c>
      <c r="L1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4">
      <c r="A1164" s="229" t="n">
        <v>46126</v>
      </c>
      <c r="B1164" s="46" t="inlineStr">
        <is>
          <t>정기검사</t>
        </is>
      </c>
      <c r="C1164" s="46" t="inlineStr">
        <is>
          <t>김포지역</t>
        </is>
      </c>
      <c r="D1164" s="46" t="inlineStr">
        <is>
          <t>상흠3호</t>
        </is>
      </c>
      <c r="E1164" s="46" t="n">
        <v>101</v>
      </c>
      <c r="F1164" s="46" t="inlineStr">
        <is>
          <t>약암리</t>
        </is>
      </c>
      <c r="G1164" s="50" t="n"/>
      <c r="H1164" s="51" t="n">
        <v>202730</v>
      </c>
      <c r="I1164" s="46" t="inlineStr">
        <is>
          <t>정신배</t>
        </is>
      </c>
      <c r="K1164" s="46" t="n">
        <v>1163</v>
      </c>
      <c r="L1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5">
      <c r="A1165" s="229" t="n">
        <v>46126</v>
      </c>
      <c r="B1165" s="46" t="inlineStr">
        <is>
          <t>정기검사</t>
        </is>
      </c>
      <c r="C1165" s="46" t="inlineStr">
        <is>
          <t>김포지역</t>
        </is>
      </c>
      <c r="D1165" s="46" t="inlineStr">
        <is>
          <t>성호개발</t>
        </is>
      </c>
      <c r="E1165" s="46" t="n">
        <v>99</v>
      </c>
      <c r="F1165" s="46" t="inlineStr">
        <is>
          <t>약암리</t>
        </is>
      </c>
      <c r="G1165" s="50" t="n"/>
      <c r="H1165" s="51" t="n">
        <v>255310</v>
      </c>
      <c r="I1165" s="46" t="inlineStr">
        <is>
          <t>한태희</t>
        </is>
      </c>
      <c r="K1165" s="46" t="n">
        <v>1164</v>
      </c>
      <c r="L1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6">
      <c r="A1166" s="229" t="n">
        <v>46126</v>
      </c>
      <c r="B1166" s="46" t="inlineStr">
        <is>
          <t>정기검사</t>
        </is>
      </c>
      <c r="C1166" s="46" t="inlineStr">
        <is>
          <t>김포지역</t>
        </is>
      </c>
      <c r="D1166" s="46" t="inlineStr">
        <is>
          <t>동원태양광</t>
        </is>
      </c>
      <c r="E1166" s="46" t="n">
        <v>70</v>
      </c>
      <c r="F1166" s="46" t="inlineStr">
        <is>
          <t>초원지리</t>
        </is>
      </c>
      <c r="G1166" s="50" t="n"/>
      <c r="H1166" s="51" t="n">
        <v>224290</v>
      </c>
      <c r="I1166" s="46" t="inlineStr">
        <is>
          <t>한태희</t>
        </is>
      </c>
      <c r="K1166" s="46" t="n">
        <v>1165</v>
      </c>
      <c r="L1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7">
      <c r="A1167" s="229" t="n">
        <v>46126</v>
      </c>
      <c r="B1167" s="46" t="inlineStr">
        <is>
          <t>정기검사</t>
        </is>
      </c>
      <c r="C1167" s="46" t="inlineStr">
        <is>
          <t>김포지역</t>
        </is>
      </c>
      <c r="D1167" s="46" t="inlineStr">
        <is>
          <t>박평원태양</t>
        </is>
      </c>
      <c r="E1167" s="46" t="n">
        <v>35</v>
      </c>
      <c r="F1167" s="46" t="inlineStr">
        <is>
          <t>대능리</t>
        </is>
      </c>
      <c r="G1167" s="50" t="n"/>
      <c r="H1167" s="51" t="n">
        <v>187550</v>
      </c>
      <c r="I1167" s="46" t="inlineStr">
        <is>
          <t>한태희</t>
        </is>
      </c>
      <c r="K1167" s="46" t="n">
        <v>1166</v>
      </c>
      <c r="L1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8">
      <c r="A1168" s="229" t="n">
        <v>46126</v>
      </c>
      <c r="B1168" s="46" t="inlineStr">
        <is>
          <t>정기검사</t>
        </is>
      </c>
      <c r="C1168" s="46" t="inlineStr">
        <is>
          <t>김포지역</t>
        </is>
      </c>
      <c r="D1168" s="46" t="inlineStr">
        <is>
          <t>드레곤</t>
        </is>
      </c>
      <c r="E1168" s="46" t="n">
        <v>90</v>
      </c>
      <c r="F1168" s="46" t="inlineStr">
        <is>
          <t>대능리</t>
        </is>
      </c>
      <c r="G1168" s="50" t="n"/>
      <c r="H1168" s="51" t="n">
        <v>245630</v>
      </c>
      <c r="I1168" s="46" t="inlineStr">
        <is>
          <t>허창수</t>
        </is>
      </c>
      <c r="K1168" s="46" t="n">
        <v>1167</v>
      </c>
      <c r="L1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9">
      <c r="A1169" s="229" t="n">
        <v>46126</v>
      </c>
      <c r="B1169" s="46" t="inlineStr">
        <is>
          <t>정기검사</t>
        </is>
      </c>
      <c r="C1169" s="46" t="inlineStr">
        <is>
          <t>김포지역</t>
        </is>
      </c>
      <c r="D1169" s="46" t="inlineStr">
        <is>
          <t>다니엘2</t>
        </is>
      </c>
      <c r="E1169" s="46" t="n">
        <v>99</v>
      </c>
      <c r="F1169" s="46" t="inlineStr">
        <is>
          <t>약암리</t>
        </is>
      </c>
      <c r="G1169" s="50" t="n"/>
      <c r="H1169" s="51" t="n">
        <v>255090</v>
      </c>
      <c r="I1169" s="46" t="inlineStr">
        <is>
          <t>허창수</t>
        </is>
      </c>
      <c r="K1169" s="46" t="n">
        <v>1168</v>
      </c>
      <c r="L1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0">
      <c r="A1170" s="229" t="n">
        <v>46126</v>
      </c>
      <c r="B1170" s="46" t="inlineStr">
        <is>
          <t>정기검사</t>
        </is>
      </c>
      <c r="C1170" s="46" t="inlineStr">
        <is>
          <t>김포지역</t>
        </is>
      </c>
      <c r="D1170" s="46" t="inlineStr">
        <is>
          <t>온새미2호</t>
        </is>
      </c>
      <c r="E1170" s="46" t="n">
        <v>67</v>
      </c>
      <c r="F1170" s="46" t="inlineStr">
        <is>
          <t>시암리</t>
        </is>
      </c>
      <c r="G1170" s="50" t="n"/>
      <c r="H1170" s="51" t="n">
        <v>368390</v>
      </c>
      <c r="I1170" s="46" t="inlineStr">
        <is>
          <t>허창수</t>
        </is>
      </c>
      <c r="K1170" s="46" t="n">
        <v>1169</v>
      </c>
      <c r="L1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1">
      <c r="A1171" s="229" t="n">
        <v>46126</v>
      </c>
      <c r="B1171" s="46" t="inlineStr">
        <is>
          <t>사용전검사</t>
        </is>
      </c>
      <c r="C1171" s="46" t="inlineStr">
        <is>
          <t>부천지역</t>
        </is>
      </c>
      <c r="D1171" s="46" t="inlineStr">
        <is>
          <t>부천물류센타</t>
        </is>
      </c>
      <c r="E1171" s="46" t="inlineStr">
        <is>
          <t>피뢰부하</t>
        </is>
      </c>
      <c r="F1171" s="46" t="n"/>
      <c r="G1171" s="50" t="n"/>
      <c r="H1171" s="51" t="n"/>
      <c r="I1171" s="46" t="inlineStr">
        <is>
          <t>민경수</t>
        </is>
      </c>
      <c r="K1171" s="46" t="n">
        <v>1170</v>
      </c>
      <c r="L1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2">
      <c r="A1172" s="229" t="n">
        <v>46126</v>
      </c>
      <c r="B1172" s="46" t="inlineStr">
        <is>
          <t>메모</t>
        </is>
      </c>
      <c r="C1172" s="46" t="inlineStr">
        <is>
          <t>부천지역</t>
        </is>
      </c>
      <c r="D1172" s="46" t="inlineStr">
        <is>
          <t>송낙명휴가</t>
        </is>
      </c>
      <c r="E1172" s="46" t="n"/>
      <c r="F1172" s="46" t="n"/>
      <c r="G1172" s="50" t="n"/>
      <c r="H1172" s="51" t="n"/>
      <c r="I1172" s="46" t="n"/>
      <c r="K1172" s="46" t="n">
        <v>1171</v>
      </c>
      <c r="L1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3">
      <c r="A1173" s="229" t="n">
        <v>46126</v>
      </c>
      <c r="B1173" s="46" t="inlineStr">
        <is>
          <t>메모</t>
        </is>
      </c>
      <c r="C1173" s="46" t="inlineStr">
        <is>
          <t>부천지역</t>
        </is>
      </c>
      <c r="D1173" s="46" t="inlineStr">
        <is>
          <t>김영권휴가</t>
        </is>
      </c>
      <c r="E1173" s="46" t="n"/>
      <c r="F1173" s="46" t="n"/>
      <c r="G1173" s="50" t="n"/>
      <c r="H1173" s="51" t="n"/>
      <c r="I1173" s="46" t="n"/>
      <c r="K1173" s="46" t="n">
        <v>1172</v>
      </c>
      <c r="L1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4">
      <c r="A1174" s="229" t="n">
        <v>46127</v>
      </c>
      <c r="B1174" s="46" t="inlineStr">
        <is>
          <t>정기검사</t>
        </is>
      </c>
      <c r="C1174" s="46" t="inlineStr">
        <is>
          <t>부천지역</t>
        </is>
      </c>
      <c r="D1174" s="46" t="inlineStr">
        <is>
          <t>역곡e편한</t>
        </is>
      </c>
      <c r="E1174" s="46" t="inlineStr">
        <is>
          <t>1950/600</t>
        </is>
      </c>
      <c r="F1174" s="46" t="inlineStr">
        <is>
          <t>역곡동</t>
        </is>
      </c>
      <c r="G1174" s="50" t="n">
        <v>0.4166666666666667</v>
      </c>
      <c r="H1174" s="51" t="n">
        <v>1331220</v>
      </c>
      <c r="I1174" s="46" t="inlineStr">
        <is>
          <t>허창수</t>
        </is>
      </c>
      <c r="K1174" s="46" t="n">
        <v>1173</v>
      </c>
      <c r="L1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5">
      <c r="A1175" s="229" t="n">
        <v>46127</v>
      </c>
      <c r="B1175" s="46" t="inlineStr">
        <is>
          <t>정기검사</t>
        </is>
      </c>
      <c r="C1175" s="46" t="inlineStr">
        <is>
          <t>부천지역</t>
        </is>
      </c>
      <c r="D1175" s="46" t="inlineStr">
        <is>
          <t>역곡e편한</t>
        </is>
      </c>
      <c r="E1175" s="46" t="inlineStr">
        <is>
          <t>전기차</t>
        </is>
      </c>
      <c r="F1175" s="46" t="n"/>
      <c r="G1175" s="50" t="n"/>
      <c r="H1175" s="51" t="n">
        <v>89650</v>
      </c>
      <c r="I1175" s="46" t="inlineStr">
        <is>
          <t>허창수</t>
        </is>
      </c>
      <c r="K1175" s="46" t="n">
        <v>1174</v>
      </c>
      <c r="L1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6">
      <c r="A1176" s="229" t="n">
        <v>46127</v>
      </c>
      <c r="B1176" s="46" t="inlineStr">
        <is>
          <t>정기검사</t>
        </is>
      </c>
      <c r="C1176" s="46" t="inlineStr">
        <is>
          <t>부천지역</t>
        </is>
      </c>
      <c r="D1176" s="46" t="inlineStr">
        <is>
          <t>이룸이루미아파트</t>
        </is>
      </c>
      <c r="E1176" s="46" t="inlineStr">
        <is>
          <t>400/91</t>
        </is>
      </c>
      <c r="F1176" s="46" t="inlineStr">
        <is>
          <t>내동</t>
        </is>
      </c>
      <c r="G1176" s="50" t="n">
        <v>0.4166666666666667</v>
      </c>
      <c r="H1176" s="51" t="n">
        <v>866580</v>
      </c>
      <c r="I1176" s="46" t="inlineStr">
        <is>
          <t>민경수</t>
        </is>
      </c>
      <c r="K1176" s="46" t="n">
        <v>1175</v>
      </c>
      <c r="L1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7">
      <c r="A1177" s="229" t="n">
        <v>46127</v>
      </c>
      <c r="B1177" s="46" t="inlineStr">
        <is>
          <t>정기검사</t>
        </is>
      </c>
      <c r="C1177" s="46" t="inlineStr">
        <is>
          <t>부천지역</t>
        </is>
      </c>
      <c r="D1177" s="46" t="inlineStr">
        <is>
          <t>진성칼라강판</t>
        </is>
      </c>
      <c r="E1177" s="46" t="n">
        <v>150</v>
      </c>
      <c r="F1177" s="46" t="inlineStr">
        <is>
          <t>도당동</t>
        </is>
      </c>
      <c r="G1177" s="50" t="n">
        <v>0.4583333333333333</v>
      </c>
      <c r="H1177" s="51" t="n">
        <v>424160</v>
      </c>
      <c r="I1177" s="46" t="inlineStr">
        <is>
          <t>김영권</t>
        </is>
      </c>
      <c r="K1177" s="46" t="n">
        <v>1176</v>
      </c>
      <c r="L1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8">
      <c r="A1178" s="229" t="n">
        <v>46127</v>
      </c>
      <c r="B1178" s="46" t="inlineStr">
        <is>
          <t>정기검사</t>
        </is>
      </c>
      <c r="C1178" s="46" t="inlineStr">
        <is>
          <t>부천지역</t>
        </is>
      </c>
      <c r="D1178" s="46" t="inlineStr">
        <is>
          <t>부천하수정화사업소</t>
        </is>
      </c>
      <c r="E1178" s="46" t="n">
        <v>218</v>
      </c>
      <c r="F1178" s="46" t="inlineStr">
        <is>
          <t>옥길동</t>
        </is>
      </c>
      <c r="G1178" s="50" t="n">
        <v>0.5625</v>
      </c>
      <c r="H1178" s="51" t="n">
        <v>428010</v>
      </c>
      <c r="I1178" s="46" t="inlineStr">
        <is>
          <t>이종석</t>
        </is>
      </c>
      <c r="K1178" s="46" t="n">
        <v>1177</v>
      </c>
      <c r="L1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9">
      <c r="A1179" s="229" t="n">
        <v>46127</v>
      </c>
      <c r="B1179" s="46" t="inlineStr">
        <is>
          <t>정기검사</t>
        </is>
      </c>
      <c r="C1179" s="46" t="inlineStr">
        <is>
          <t>부천지역</t>
        </is>
      </c>
      <c r="D1179" s="46" t="inlineStr">
        <is>
          <t>지성산업</t>
        </is>
      </c>
      <c r="E1179" s="46" t="n">
        <v>200</v>
      </c>
      <c r="F1179" s="46" t="inlineStr">
        <is>
          <t>도당동</t>
        </is>
      </c>
      <c r="G1179" s="50" t="n">
        <v>0.5</v>
      </c>
      <c r="H1179" s="51" t="n">
        <v>456720</v>
      </c>
      <c r="I1179" s="46" t="inlineStr">
        <is>
          <t>송두기</t>
        </is>
      </c>
      <c r="K1179" s="46" t="n">
        <v>1178</v>
      </c>
      <c r="L1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0">
      <c r="A1180" s="229" t="n">
        <v>46127</v>
      </c>
      <c r="B1180" s="46" t="inlineStr">
        <is>
          <t>정기검사</t>
        </is>
      </c>
      <c r="C1180" s="46" t="inlineStr">
        <is>
          <t>부천지역</t>
        </is>
      </c>
      <c r="D1180" s="46" t="inlineStr">
        <is>
          <t>상록수장학재단</t>
        </is>
      </c>
      <c r="E1180" s="46" t="n">
        <v>350</v>
      </c>
      <c r="F1180" s="46" t="inlineStr">
        <is>
          <t>도당동</t>
        </is>
      </c>
      <c r="G1180" s="50" t="n">
        <v>0.5625</v>
      </c>
      <c r="H1180" s="51" t="n">
        <v>686180</v>
      </c>
      <c r="I1180" s="46" t="inlineStr">
        <is>
          <t>정성관</t>
        </is>
      </c>
      <c r="K1180" s="46" t="n">
        <v>1179</v>
      </c>
      <c r="L1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1">
      <c r="A1181" s="229" t="n">
        <v>46127</v>
      </c>
      <c r="B1181" s="46" t="inlineStr">
        <is>
          <t>정기검사</t>
        </is>
      </c>
      <c r="C1181" s="46" t="inlineStr">
        <is>
          <t>부천지역</t>
        </is>
      </c>
      <c r="D1181" s="46" t="inlineStr">
        <is>
          <t>중앙산업개발</t>
        </is>
      </c>
      <c r="E1181" s="46" t="n">
        <v>540</v>
      </c>
      <c r="F1181" s="46" t="inlineStr">
        <is>
          <t>춘의동</t>
        </is>
      </c>
      <c r="G1181" s="50" t="n">
        <v>0.5</v>
      </c>
      <c r="H1181" s="51" t="n">
        <v>750530</v>
      </c>
      <c r="I1181" s="46" t="inlineStr">
        <is>
          <t>민재홍</t>
        </is>
      </c>
      <c r="K1181" s="46" t="n">
        <v>1180</v>
      </c>
      <c r="L1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2">
      <c r="A1182" s="229" t="n">
        <v>46127</v>
      </c>
      <c r="B1182" s="46" t="inlineStr">
        <is>
          <t>정기검사</t>
        </is>
      </c>
      <c r="C1182" s="46" t="inlineStr">
        <is>
          <t>부천지역</t>
        </is>
      </c>
      <c r="D1182" s="46" t="inlineStr">
        <is>
          <t>lgsk</t>
        </is>
      </c>
      <c r="E1182" s="46" t="inlineStr">
        <is>
          <t>전기차</t>
        </is>
      </c>
      <c r="F1182" s="46" t="inlineStr">
        <is>
          <t>상동0</t>
        </is>
      </c>
      <c r="G1182" s="50" t="n">
        <v>0.625</v>
      </c>
      <c r="H1182" s="51" t="n">
        <v>305360</v>
      </c>
      <c r="I1182" s="46" t="n"/>
      <c r="J1182" t="inlineStr">
        <is>
          <t>실시</t>
        </is>
      </c>
      <c r="K1182" s="46" t="n">
        <v>1181</v>
      </c>
      <c r="L1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3">
      <c r="A1183" s="229" t="n">
        <v>46127</v>
      </c>
      <c r="B1183" s="46" t="inlineStr">
        <is>
          <t>정기검사</t>
        </is>
      </c>
      <c r="C1183" s="46" t="inlineStr">
        <is>
          <t>김포지역</t>
        </is>
      </c>
      <c r="D1183" s="46" t="inlineStr">
        <is>
          <t>리츠라인</t>
        </is>
      </c>
      <c r="E1183" s="46" t="inlineStr">
        <is>
          <t>500/159</t>
        </is>
      </c>
      <c r="F1183" s="46" t="inlineStr">
        <is>
          <t>구래동</t>
        </is>
      </c>
      <c r="G1183" s="50" t="n">
        <v>0.3958333333333333</v>
      </c>
      <c r="H1183" s="51" t="n">
        <v>920590</v>
      </c>
      <c r="I1183" s="46" t="inlineStr">
        <is>
          <t>우승택</t>
        </is>
      </c>
      <c r="K1183" s="46" t="n">
        <v>1182</v>
      </c>
      <c r="L1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4">
      <c r="A1184" s="229" t="n">
        <v>46127</v>
      </c>
      <c r="B1184" s="46" t="inlineStr">
        <is>
          <t>정기검사</t>
        </is>
      </c>
      <c r="C1184" s="46" t="inlineStr">
        <is>
          <t>김포지역</t>
        </is>
      </c>
      <c r="D1184" s="46" t="inlineStr">
        <is>
          <t>디에스티</t>
        </is>
      </c>
      <c r="E1184" s="46" t="n">
        <v>300</v>
      </c>
      <c r="F1184" s="46" t="inlineStr">
        <is>
          <t>대벽리</t>
        </is>
      </c>
      <c r="G1184" s="50" t="n">
        <v>0.4791666666666667</v>
      </c>
      <c r="H1184" s="51" t="n">
        <v>521730</v>
      </c>
      <c r="I1184" s="46" t="inlineStr">
        <is>
          <t>서수형</t>
        </is>
      </c>
      <c r="K1184" s="46" t="n">
        <v>1183</v>
      </c>
      <c r="L1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5">
      <c r="A1185" s="229" t="n">
        <v>46127</v>
      </c>
      <c r="B1185" s="46" t="inlineStr">
        <is>
          <t>정기검사</t>
        </is>
      </c>
      <c r="C1185" s="46" t="inlineStr">
        <is>
          <t>김포지역</t>
        </is>
      </c>
      <c r="D1185" s="46" t="inlineStr">
        <is>
          <t>신안실크밸리</t>
        </is>
      </c>
      <c r="E1185" s="46" t="n">
        <v>7</v>
      </c>
      <c r="F1185" s="46" t="inlineStr">
        <is>
          <t>감정동</t>
        </is>
      </c>
      <c r="G1185" s="50" t="n">
        <v>0.4375</v>
      </c>
      <c r="H1185" s="51" t="n">
        <v>98120</v>
      </c>
      <c r="I1185" s="46" t="inlineStr">
        <is>
          <t>한태희</t>
        </is>
      </c>
      <c r="K1185" s="46" t="n">
        <v>1184</v>
      </c>
      <c r="L1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6">
      <c r="A1186" s="229" t="n">
        <v>46127</v>
      </c>
      <c r="B1186" s="46" t="inlineStr">
        <is>
          <t>정기검사</t>
        </is>
      </c>
      <c r="C1186" s="46" t="inlineStr">
        <is>
          <t>김포지역</t>
        </is>
      </c>
      <c r="D1186" s="46" t="inlineStr">
        <is>
          <t>류인기</t>
        </is>
      </c>
      <c r="E1186" s="46" t="n">
        <v>600</v>
      </c>
      <c r="F1186" s="46" t="inlineStr">
        <is>
          <t>마송리</t>
        </is>
      </c>
      <c r="G1186" s="50" t="n">
        <v>0.3958333333333333</v>
      </c>
      <c r="H1186" s="51" t="n">
        <v>770880</v>
      </c>
      <c r="I1186" s="46" t="inlineStr">
        <is>
          <t>이덕기</t>
        </is>
      </c>
      <c r="K1186" s="46" t="n">
        <v>1185</v>
      </c>
      <c r="L1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7">
      <c r="A1187" s="229" t="n">
        <v>46127</v>
      </c>
      <c r="B1187" s="46" t="inlineStr">
        <is>
          <t>정기검사</t>
        </is>
      </c>
      <c r="C1187" s="46" t="inlineStr">
        <is>
          <t>김포지역</t>
        </is>
      </c>
      <c r="D1187" s="46" t="inlineStr">
        <is>
          <t>청라에너지</t>
        </is>
      </c>
      <c r="E1187" s="46" t="n">
        <v>20000</v>
      </c>
      <c r="F1187" s="46" t="inlineStr">
        <is>
          <t>학운리</t>
        </is>
      </c>
      <c r="G1187" s="50" t="n">
        <v>0.375</v>
      </c>
      <c r="H1187" s="51" t="n">
        <v>3332450</v>
      </c>
      <c r="I1187" s="46" t="inlineStr">
        <is>
          <t>송낙명</t>
        </is>
      </c>
      <c r="K1187" s="46" t="n">
        <v>1186</v>
      </c>
      <c r="L1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8">
      <c r="A1188" s="229" t="n">
        <v>46127</v>
      </c>
      <c r="B1188" s="46" t="inlineStr">
        <is>
          <t>사용전검사</t>
        </is>
      </c>
      <c r="C1188" s="46" t="inlineStr">
        <is>
          <t>부천지역</t>
        </is>
      </c>
      <c r="D1188" s="46" t="inlineStr">
        <is>
          <t>김영진</t>
        </is>
      </c>
      <c r="E1188" s="46" t="n">
        <v>3</v>
      </c>
      <c r="F1188" s="46" t="inlineStr">
        <is>
          <t>원미동</t>
        </is>
      </c>
      <c r="G1188" s="50" t="n"/>
      <c r="H1188" s="51" t="n"/>
      <c r="I1188" s="46" t="inlineStr">
        <is>
          <t>민재홍</t>
        </is>
      </c>
      <c r="K1188" s="46" t="n">
        <v>1187</v>
      </c>
      <c r="L1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9">
      <c r="A1189" s="229" t="n">
        <v>46127</v>
      </c>
      <c r="B1189" s="46" t="inlineStr">
        <is>
          <t>사용전검사</t>
        </is>
      </c>
      <c r="C1189" s="46" t="inlineStr">
        <is>
          <t>부천지역</t>
        </is>
      </c>
      <c r="D1189" s="46" t="inlineStr">
        <is>
          <t>부천다목적세터</t>
        </is>
      </c>
      <c r="E1189" s="46" t="inlineStr">
        <is>
          <t>800/327</t>
        </is>
      </c>
      <c r="F1189" s="46" t="inlineStr">
        <is>
          <t>역곡동</t>
        </is>
      </c>
      <c r="G1189" s="50" t="n"/>
      <c r="H1189" s="51" t="n"/>
      <c r="I1189" s="46" t="inlineStr">
        <is>
          <t>정신배</t>
        </is>
      </c>
      <c r="K1189" s="46" t="n">
        <v>1188</v>
      </c>
      <c r="L1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0">
      <c r="A1190" s="229" t="n">
        <v>46127</v>
      </c>
      <c r="B1190" s="46" t="inlineStr">
        <is>
          <t>사용전검사</t>
        </is>
      </c>
      <c r="C1190" s="46" t="inlineStr">
        <is>
          <t>김포지역</t>
        </is>
      </c>
      <c r="D1190" s="46" t="inlineStr">
        <is>
          <t>초원식품</t>
        </is>
      </c>
      <c r="E1190" s="46" t="n">
        <v>290</v>
      </c>
      <c r="F1190" s="46" t="inlineStr">
        <is>
          <t>학운리</t>
        </is>
      </c>
      <c r="G1190" s="50" t="n"/>
      <c r="H1190" s="51" t="n"/>
      <c r="I1190" s="46" t="inlineStr">
        <is>
          <t>우승택</t>
        </is>
      </c>
      <c r="K1190" s="46" t="n">
        <v>1189</v>
      </c>
      <c r="L1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1">
      <c r="A1191" s="229" t="n">
        <v>46127</v>
      </c>
      <c r="B1191" s="46" t="inlineStr">
        <is>
          <t>사용전검사</t>
        </is>
      </c>
      <c r="C1191" s="46" t="inlineStr">
        <is>
          <t>김포지역</t>
        </is>
      </c>
      <c r="D1191" s="46" t="inlineStr">
        <is>
          <t>전주이씨덕천군삼대손</t>
        </is>
      </c>
      <c r="E1191" s="46" t="inlineStr">
        <is>
          <t>800/272</t>
        </is>
      </c>
      <c r="F1191" s="46" t="inlineStr">
        <is>
          <t>학운리</t>
        </is>
      </c>
      <c r="G1191" s="50" t="n"/>
      <c r="H1191" s="51" t="n"/>
      <c r="I1191" s="46" t="inlineStr">
        <is>
          <t>이덕기</t>
        </is>
      </c>
      <c r="K1191" s="46" t="n">
        <v>1190</v>
      </c>
      <c r="L1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2">
      <c r="A1192" s="229" t="n">
        <v>46128</v>
      </c>
      <c r="B1192" s="46" t="inlineStr">
        <is>
          <t>정기검사</t>
        </is>
      </c>
      <c r="C1192" s="46" t="inlineStr">
        <is>
          <t>부천지역</t>
        </is>
      </c>
      <c r="D1192" s="46" t="inlineStr">
        <is>
          <t>삼화정공</t>
        </is>
      </c>
      <c r="E1192" s="46" t="n">
        <v>500</v>
      </c>
      <c r="F1192" s="46" t="inlineStr">
        <is>
          <t>삼정동</t>
        </is>
      </c>
      <c r="G1192" s="50" t="n">
        <v>0.5416666666666666</v>
      </c>
      <c r="H1192" s="51" t="n">
        <v>737000</v>
      </c>
      <c r="I1192" s="46" t="inlineStr">
        <is>
          <t>민경수</t>
        </is>
      </c>
      <c r="K1192" s="46" t="n">
        <v>1191</v>
      </c>
      <c r="L1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3">
      <c r="A1193" s="229" t="n">
        <v>46128</v>
      </c>
      <c r="B1193" s="46" t="inlineStr">
        <is>
          <t>정기검사</t>
        </is>
      </c>
      <c r="C1193" s="46" t="inlineStr">
        <is>
          <t>부천지역</t>
        </is>
      </c>
      <c r="D1193" s="46" t="inlineStr">
        <is>
          <t>메디타워</t>
        </is>
      </c>
      <c r="E1193" s="46" t="inlineStr">
        <is>
          <t>500/68</t>
        </is>
      </c>
      <c r="F1193" s="46" t="inlineStr">
        <is>
          <t>중동</t>
        </is>
      </c>
      <c r="G1193" s="50" t="n">
        <v>0.3958333333333333</v>
      </c>
      <c r="H1193" s="51" t="n">
        <v>893640</v>
      </c>
      <c r="I1193" s="46" t="inlineStr">
        <is>
          <t>정신배</t>
        </is>
      </c>
      <c r="K1193" s="46" t="n">
        <v>1192</v>
      </c>
      <c r="L1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4">
      <c r="A1194" s="229" t="n">
        <v>46128</v>
      </c>
      <c r="B1194" s="46" t="inlineStr">
        <is>
          <t>정기검사</t>
        </is>
      </c>
      <c r="C1194" s="46" t="inlineStr">
        <is>
          <t>부천지역</t>
        </is>
      </c>
      <c r="D1194" s="46" t="inlineStr">
        <is>
          <t>삼정복지회관</t>
        </is>
      </c>
      <c r="E1194" s="46" t="n">
        <v>500</v>
      </c>
      <c r="F1194" s="46" t="inlineStr">
        <is>
          <t>삼정동</t>
        </is>
      </c>
      <c r="G1194" s="50" t="n">
        <v>0.5833333333333334</v>
      </c>
      <c r="H1194" s="51" t="n">
        <v>999020</v>
      </c>
      <c r="I1194" s="46" t="inlineStr">
        <is>
          <t>김영권</t>
        </is>
      </c>
      <c r="K1194" s="46" t="n">
        <v>1193</v>
      </c>
      <c r="L1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5">
      <c r="A1195" s="229" t="n">
        <v>46128</v>
      </c>
      <c r="B1195" s="46" t="inlineStr">
        <is>
          <t>정기검사</t>
        </is>
      </c>
      <c r="C1195" s="46" t="inlineStr">
        <is>
          <t>부천지역</t>
        </is>
      </c>
      <c r="D1195" s="46" t="inlineStr">
        <is>
          <t>빌머스</t>
        </is>
      </c>
      <c r="E1195" s="46" t="inlineStr">
        <is>
          <t>G382</t>
        </is>
      </c>
      <c r="F1195" s="46" t="inlineStr">
        <is>
          <t>심곡동</t>
        </is>
      </c>
      <c r="G1195" s="50" t="n">
        <v>0.4166666666666667</v>
      </c>
      <c r="H1195" s="51" t="n">
        <v>231770</v>
      </c>
      <c r="I1195" s="46" t="inlineStr">
        <is>
          <t>민경수</t>
        </is>
      </c>
      <c r="K1195" s="46" t="n">
        <v>1194</v>
      </c>
      <c r="L1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6">
      <c r="A1196" s="229" t="n">
        <v>46128</v>
      </c>
      <c r="B1196" s="46" t="inlineStr">
        <is>
          <t>정기검사</t>
        </is>
      </c>
      <c r="C1196" s="46" t="inlineStr">
        <is>
          <t>부천지역</t>
        </is>
      </c>
      <c r="D1196" s="46" t="inlineStr">
        <is>
          <t>우성기계</t>
        </is>
      </c>
      <c r="E1196" s="46" t="n">
        <v>290</v>
      </c>
      <c r="F1196" s="46" t="inlineStr">
        <is>
          <t>도당동</t>
        </is>
      </c>
      <c r="G1196" s="50" t="n">
        <v>0.5</v>
      </c>
      <c r="H1196" s="51" t="n">
        <v>515130</v>
      </c>
      <c r="I1196" s="46" t="inlineStr">
        <is>
          <t>송두기</t>
        </is>
      </c>
      <c r="K1196" s="46" t="n">
        <v>1195</v>
      </c>
      <c r="L1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7">
      <c r="A1197" s="229" t="n">
        <v>46128</v>
      </c>
      <c r="B1197" s="46" t="inlineStr">
        <is>
          <t>정기검사</t>
        </is>
      </c>
      <c r="C1197" s="46" t="inlineStr">
        <is>
          <t>부천지역</t>
        </is>
      </c>
      <c r="D1197" s="46" t="inlineStr">
        <is>
          <t>에이엠피디지텍</t>
        </is>
      </c>
      <c r="E1197" s="46" t="n">
        <v>290</v>
      </c>
      <c r="F1197" s="46" t="inlineStr">
        <is>
          <t>도당동</t>
        </is>
      </c>
      <c r="G1197" s="50" t="n">
        <v>0.4861111111111111</v>
      </c>
      <c r="H1197" s="51" t="n">
        <v>515130</v>
      </c>
      <c r="I1197" s="46" t="inlineStr">
        <is>
          <t>송낙명</t>
        </is>
      </c>
      <c r="K1197" s="46" t="n">
        <v>1196</v>
      </c>
      <c r="L1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8">
      <c r="A1198" s="229" t="n">
        <v>46128</v>
      </c>
      <c r="B1198" s="46" t="inlineStr">
        <is>
          <t>정기검사</t>
        </is>
      </c>
      <c r="C1198" s="46" t="inlineStr">
        <is>
          <t>부천지역</t>
        </is>
      </c>
      <c r="D1198" s="46" t="inlineStr">
        <is>
          <t>남양프린트</t>
        </is>
      </c>
      <c r="E1198" s="46" t="n">
        <v>500</v>
      </c>
      <c r="F1198" s="46" t="inlineStr">
        <is>
          <t>도당동</t>
        </is>
      </c>
      <c r="G1198" s="50" t="n">
        <v>0.5</v>
      </c>
      <c r="H1198" s="51" t="n">
        <v>737000</v>
      </c>
      <c r="I1198" s="46" t="inlineStr">
        <is>
          <t>민재홍</t>
        </is>
      </c>
      <c r="K1198" s="46" t="n">
        <v>1197</v>
      </c>
      <c r="L1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9">
      <c r="A1199" s="229" t="n">
        <v>46128</v>
      </c>
      <c r="B1199" s="46" t="inlineStr">
        <is>
          <t>정기검사</t>
        </is>
      </c>
      <c r="C1199" s="46" t="inlineStr">
        <is>
          <t>김포지역</t>
        </is>
      </c>
      <c r="D1199" s="46" t="inlineStr">
        <is>
          <t>노인복지관</t>
        </is>
      </c>
      <c r="E1199" s="46" t="inlineStr">
        <is>
          <t>300/69</t>
        </is>
      </c>
      <c r="F1199" s="46" t="inlineStr">
        <is>
          <t>마송리</t>
        </is>
      </c>
      <c r="G1199" s="50" t="n">
        <v>0.625</v>
      </c>
      <c r="H1199" s="51" t="n">
        <v>678700</v>
      </c>
      <c r="I1199" s="46" t="inlineStr">
        <is>
          <t>이덕기</t>
        </is>
      </c>
      <c r="K1199" s="46" t="n">
        <v>1198</v>
      </c>
      <c r="L1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0">
      <c r="A1200" s="229" t="n">
        <v>46128</v>
      </c>
      <c r="B1200" s="46" t="inlineStr">
        <is>
          <t>정기검사</t>
        </is>
      </c>
      <c r="C1200" s="46" t="inlineStr">
        <is>
          <t>김포지역</t>
        </is>
      </c>
      <c r="D1200" s="46" t="inlineStr">
        <is>
          <t>케이티</t>
        </is>
      </c>
      <c r="E1200" s="46" t="inlineStr">
        <is>
          <t>800/500</t>
        </is>
      </c>
      <c r="F1200" s="46" t="inlineStr">
        <is>
          <t>북변동</t>
        </is>
      </c>
      <c r="G1200" s="50" t="n">
        <v>0.2708333333333333</v>
      </c>
      <c r="H1200" s="51" t="n">
        <v>1424500</v>
      </c>
      <c r="I1200" s="46" t="inlineStr">
        <is>
          <t>정성관</t>
        </is>
      </c>
      <c r="K1200" s="46" t="n">
        <v>1199</v>
      </c>
      <c r="L1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1">
      <c r="A1201" s="229" t="n">
        <v>46128</v>
      </c>
      <c r="B1201" s="46" t="inlineStr">
        <is>
          <t>정기검사</t>
        </is>
      </c>
      <c r="C1201" s="46" t="inlineStr">
        <is>
          <t>김포지역</t>
        </is>
      </c>
      <c r="D1201" s="46" t="inlineStr">
        <is>
          <t>미래시스코</t>
        </is>
      </c>
      <c r="E1201" s="46" t="n">
        <v>250</v>
      </c>
      <c r="F1201" s="46" t="inlineStr">
        <is>
          <t>귀전리</t>
        </is>
      </c>
      <c r="G1201" s="50" t="n">
        <v>0.4791666666666667</v>
      </c>
      <c r="H1201" s="51" t="n">
        <v>489170</v>
      </c>
      <c r="I1201" s="46" t="inlineStr">
        <is>
          <t>허창수</t>
        </is>
      </c>
      <c r="K1201" s="46" t="n">
        <v>1200</v>
      </c>
      <c r="L1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2">
      <c r="A1202" s="229" t="n">
        <v>46128</v>
      </c>
      <c r="B1202" s="46" t="inlineStr">
        <is>
          <t>정기검사</t>
        </is>
      </c>
      <c r="C1202" s="46" t="inlineStr">
        <is>
          <t>김포지역</t>
        </is>
      </c>
      <c r="D1202" s="46" t="inlineStr">
        <is>
          <t>지에스바kt</t>
        </is>
      </c>
      <c r="E1202" s="46" t="inlineStr">
        <is>
          <t>전기차</t>
        </is>
      </c>
      <c r="F1202" s="46" t="inlineStr">
        <is>
          <t>북변동</t>
        </is>
      </c>
      <c r="G1202" s="50" t="n"/>
      <c r="H1202" s="51" t="n">
        <v>115060</v>
      </c>
      <c r="I1202" s="46" t="inlineStr">
        <is>
          <t>이종석</t>
        </is>
      </c>
      <c r="K1202" s="46" t="n">
        <v>1201</v>
      </c>
      <c r="L1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3">
      <c r="A1203" s="229" t="n">
        <v>46128</v>
      </c>
      <c r="B1203" s="46" t="inlineStr">
        <is>
          <t>정기검사</t>
        </is>
      </c>
      <c r="C1203" s="46" t="inlineStr">
        <is>
          <t>김포지역</t>
        </is>
      </c>
      <c r="D1203" s="46" t="inlineStr">
        <is>
          <t>상진섬유</t>
        </is>
      </c>
      <c r="E1203" s="46" t="n">
        <v>180</v>
      </c>
      <c r="F1203" s="46" t="inlineStr">
        <is>
          <t>송마리</t>
        </is>
      </c>
      <c r="G1203" s="50" t="n">
        <v>0.4791666666666667</v>
      </c>
      <c r="H1203" s="51" t="n">
        <v>443630</v>
      </c>
      <c r="I1203" s="46" t="inlineStr">
        <is>
          <t>우승택</t>
        </is>
      </c>
      <c r="K1203" s="46" t="n">
        <v>1202</v>
      </c>
      <c r="L1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4">
      <c r="A1204" s="229" t="n">
        <v>46128</v>
      </c>
      <c r="B1204" s="46" t="inlineStr">
        <is>
          <t>정기검사</t>
        </is>
      </c>
      <c r="C1204" s="46" t="inlineStr">
        <is>
          <t>김포지역</t>
        </is>
      </c>
      <c r="D1204" s="46" t="inlineStr">
        <is>
          <t>아이디스아이앤에프</t>
        </is>
      </c>
      <c r="E1204" s="46" t="n">
        <v>290</v>
      </c>
      <c r="F1204" s="46" t="inlineStr">
        <is>
          <t>송마리</t>
        </is>
      </c>
      <c r="G1204" s="50" t="n">
        <v>0.4791666666666667</v>
      </c>
      <c r="H1204" s="51" t="n">
        <v>515130</v>
      </c>
      <c r="I1204" s="46" t="inlineStr">
        <is>
          <t>한태희</t>
        </is>
      </c>
      <c r="K1204" s="46" t="n">
        <v>1203</v>
      </c>
      <c r="L1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5">
      <c r="A1205" s="229" t="n">
        <v>46128</v>
      </c>
      <c r="B1205" s="46" t="inlineStr">
        <is>
          <t>사용전검사</t>
        </is>
      </c>
      <c r="C1205" s="46" t="inlineStr">
        <is>
          <t>부천지역</t>
        </is>
      </c>
      <c r="D1205" s="46" t="inlineStr">
        <is>
          <t>부촌아파트</t>
        </is>
      </c>
      <c r="E1205" s="46" t="inlineStr">
        <is>
          <t>1400/680</t>
        </is>
      </c>
      <c r="F1205" s="46" t="n"/>
      <c r="G1205" s="50" t="n"/>
      <c r="H1205" s="51" t="n"/>
      <c r="I1205" s="46" t="inlineStr">
        <is>
          <t>송두기</t>
        </is>
      </c>
      <c r="K1205" s="46" t="n">
        <v>1204</v>
      </c>
      <c r="L1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6">
      <c r="A1206" s="229" t="n">
        <v>46129</v>
      </c>
      <c r="B1206" s="46" t="inlineStr">
        <is>
          <t>정기검사</t>
        </is>
      </c>
      <c r="C1206" s="46" t="inlineStr">
        <is>
          <t>부천지역</t>
        </is>
      </c>
      <c r="D1206" s="46" t="inlineStr">
        <is>
          <t>코리안모터스</t>
        </is>
      </c>
      <c r="E1206" s="46" t="n">
        <v>300</v>
      </c>
      <c r="F1206" s="46" t="inlineStr">
        <is>
          <t>삼정동</t>
        </is>
      </c>
      <c r="G1206" s="50" t="n">
        <v>0.5</v>
      </c>
      <c r="H1206" s="51" t="n">
        <v>521730</v>
      </c>
      <c r="I1206" s="46" t="inlineStr">
        <is>
          <t>정성관</t>
        </is>
      </c>
      <c r="K1206" s="46" t="n">
        <v>1205</v>
      </c>
      <c r="L1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7">
      <c r="A1207" s="229" t="n">
        <v>46129</v>
      </c>
      <c r="B1207" s="46" t="inlineStr">
        <is>
          <t>정기검사</t>
        </is>
      </c>
      <c r="C1207" s="46" t="inlineStr">
        <is>
          <t>부천지역</t>
        </is>
      </c>
      <c r="D1207" s="46" t="inlineStr">
        <is>
          <t>엘지유플러스</t>
        </is>
      </c>
      <c r="E1207" s="46" t="inlineStr">
        <is>
          <t>전기차</t>
        </is>
      </c>
      <c r="F1207" s="46" t="inlineStr">
        <is>
          <t>상동0</t>
        </is>
      </c>
      <c r="G1207" s="50" t="n">
        <v>0.6041666666666666</v>
      </c>
      <c r="H1207" s="51" t="n">
        <v>157410</v>
      </c>
      <c r="I1207" s="46" t="inlineStr">
        <is>
          <t>정신배</t>
        </is>
      </c>
      <c r="K1207" s="46" t="n">
        <v>1206</v>
      </c>
      <c r="L1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8">
      <c r="A1208" s="229" t="n">
        <v>46129</v>
      </c>
      <c r="B1208" s="46" t="inlineStr">
        <is>
          <t>정기검사</t>
        </is>
      </c>
      <c r="C1208" s="46" t="inlineStr">
        <is>
          <t>부천지역</t>
        </is>
      </c>
      <c r="D1208" s="46" t="inlineStr">
        <is>
          <t>조은씨앤시</t>
        </is>
      </c>
      <c r="E1208" s="46" t="n">
        <v>200</v>
      </c>
      <c r="F1208" s="46" t="inlineStr">
        <is>
          <t>내동</t>
        </is>
      </c>
      <c r="G1208" s="50" t="n">
        <v>0.5</v>
      </c>
      <c r="H1208" s="51" t="n">
        <v>456720</v>
      </c>
      <c r="I1208" s="46" t="inlineStr">
        <is>
          <t>송낙명</t>
        </is>
      </c>
      <c r="K1208" s="46" t="n">
        <v>1207</v>
      </c>
      <c r="L1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9">
      <c r="A1209" s="229" t="n">
        <v>46129</v>
      </c>
      <c r="B1209" s="46" t="inlineStr">
        <is>
          <t>정기검사</t>
        </is>
      </c>
      <c r="C1209" s="46" t="inlineStr">
        <is>
          <t>부천지역</t>
        </is>
      </c>
      <c r="D1209" s="46" t="inlineStr">
        <is>
          <t>한성기업</t>
        </is>
      </c>
      <c r="E1209" s="46" t="n">
        <v>290</v>
      </c>
      <c r="F1209" s="46" t="inlineStr">
        <is>
          <t>상동0</t>
        </is>
      </c>
      <c r="G1209" s="50" t="n">
        <v>0.5416666666666666</v>
      </c>
      <c r="H1209" s="51" t="n">
        <v>515130</v>
      </c>
      <c r="I1209" s="46" t="inlineStr">
        <is>
          <t>민경수</t>
        </is>
      </c>
      <c r="K1209" s="46" t="n">
        <v>1208</v>
      </c>
      <c r="L1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0">
      <c r="A1210" s="229" t="n">
        <v>46129</v>
      </c>
      <c r="B1210" s="46" t="inlineStr">
        <is>
          <t>정기검사</t>
        </is>
      </c>
      <c r="C1210" s="46" t="inlineStr">
        <is>
          <t>부천지역</t>
        </is>
      </c>
      <c r="D1210" s="46" t="inlineStr">
        <is>
          <t>변동진</t>
        </is>
      </c>
      <c r="E1210" s="46" t="n">
        <v>300</v>
      </c>
      <c r="F1210" s="46" t="inlineStr">
        <is>
          <t>도당동</t>
        </is>
      </c>
      <c r="G1210" s="50" t="n">
        <v>0.5486111111111112</v>
      </c>
      <c r="H1210" s="51" t="n">
        <v>521730</v>
      </c>
      <c r="I1210" s="46" t="inlineStr">
        <is>
          <t>정신배</t>
        </is>
      </c>
      <c r="K1210" s="46" t="n">
        <v>1209</v>
      </c>
      <c r="L1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1">
      <c r="A1211" s="229" t="n">
        <v>46129</v>
      </c>
      <c r="B1211" s="46" t="inlineStr">
        <is>
          <t>정기검사</t>
        </is>
      </c>
      <c r="C1211" s="46" t="inlineStr">
        <is>
          <t>김포지역</t>
        </is>
      </c>
      <c r="D1211" s="46" t="inlineStr">
        <is>
          <t>금영테크</t>
        </is>
      </c>
      <c r="E1211" s="46" t="n">
        <v>250</v>
      </c>
      <c r="F1211" s="46" t="inlineStr">
        <is>
          <t>석정리</t>
        </is>
      </c>
      <c r="G1211" s="50" t="n">
        <v>0.5208333333333334</v>
      </c>
      <c r="H1211" s="51" t="n">
        <v>489170</v>
      </c>
      <c r="I1211" s="46" t="inlineStr">
        <is>
          <t>송두기</t>
        </is>
      </c>
      <c r="K1211" s="46" t="n">
        <v>1210</v>
      </c>
      <c r="L1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2">
      <c r="A1212" s="229" t="n">
        <v>46129</v>
      </c>
      <c r="B1212" s="46" t="inlineStr">
        <is>
          <t>정기검사</t>
        </is>
      </c>
      <c r="C1212" s="46" t="inlineStr">
        <is>
          <t>김포지역</t>
        </is>
      </c>
      <c r="D1212" s="46" t="inlineStr">
        <is>
          <t>투이스가구</t>
        </is>
      </c>
      <c r="E1212" s="46" t="n">
        <v>250</v>
      </c>
      <c r="F1212" s="46" t="inlineStr">
        <is>
          <t>거물대리</t>
        </is>
      </c>
      <c r="G1212" s="50" t="n">
        <v>0.5</v>
      </c>
      <c r="H1212" s="51" t="n">
        <v>489170</v>
      </c>
      <c r="I1212" s="46" t="inlineStr">
        <is>
          <t>우승택</t>
        </is>
      </c>
      <c r="K1212" s="46" t="n">
        <v>1211</v>
      </c>
      <c r="L1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3">
      <c r="A1213" s="229" t="n">
        <v>46129</v>
      </c>
      <c r="B1213" s="46" t="inlineStr">
        <is>
          <t>정기검사</t>
        </is>
      </c>
      <c r="C1213" s="46" t="inlineStr">
        <is>
          <t>김포지역</t>
        </is>
      </c>
      <c r="D1213" s="46" t="inlineStr">
        <is>
          <t>리텐전동차</t>
        </is>
      </c>
      <c r="E1213" s="46" t="n">
        <v>400</v>
      </c>
      <c r="F1213" s="46" t="inlineStr">
        <is>
          <t>귀전리</t>
        </is>
      </c>
      <c r="G1213" s="50" t="n">
        <v>0.5</v>
      </c>
      <c r="H1213" s="51" t="n">
        <v>703120</v>
      </c>
      <c r="I1213" s="46" t="inlineStr">
        <is>
          <t>이종석</t>
        </is>
      </c>
      <c r="K1213" s="46" t="n">
        <v>1212</v>
      </c>
      <c r="L1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4">
      <c r="A1214" s="229" t="n">
        <v>46129</v>
      </c>
      <c r="B1214" s="46" t="inlineStr">
        <is>
          <t>정기검사</t>
        </is>
      </c>
      <c r="C1214" s="46" t="inlineStr">
        <is>
          <t>김포지역</t>
        </is>
      </c>
      <c r="D1214" s="46" t="inlineStr">
        <is>
          <t>태솔</t>
        </is>
      </c>
      <c r="E1214" s="46" t="n">
        <v>200</v>
      </c>
      <c r="F1214" s="46" t="inlineStr">
        <is>
          <t>가현리</t>
        </is>
      </c>
      <c r="G1214" s="50" t="n">
        <v>0.5416666666666666</v>
      </c>
      <c r="H1214" s="51" t="n">
        <v>456720</v>
      </c>
      <c r="I1214" s="46" t="inlineStr">
        <is>
          <t>이덕기</t>
        </is>
      </c>
      <c r="K1214" s="46" t="n">
        <v>1213</v>
      </c>
      <c r="L1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5">
      <c r="A1215" s="229" t="n">
        <v>46129</v>
      </c>
      <c r="B1215" s="46" t="inlineStr">
        <is>
          <t>정기검사</t>
        </is>
      </c>
      <c r="C1215" s="46" t="inlineStr">
        <is>
          <t>김포지역</t>
        </is>
      </c>
      <c r="D1215" s="46" t="inlineStr">
        <is>
          <t>세광실업</t>
        </is>
      </c>
      <c r="E1215" s="46" t="n">
        <v>200</v>
      </c>
      <c r="F1215" s="46" t="inlineStr">
        <is>
          <t>석정리</t>
        </is>
      </c>
      <c r="G1215" s="50" t="n">
        <v>0.5</v>
      </c>
      <c r="H1215" s="51" t="n">
        <v>456720</v>
      </c>
      <c r="I1215" s="46" t="inlineStr">
        <is>
          <t>서수형</t>
        </is>
      </c>
      <c r="K1215" s="46" t="n">
        <v>1214</v>
      </c>
      <c r="L1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6">
      <c r="A1216" s="229" t="n">
        <v>46129</v>
      </c>
      <c r="B1216" s="46" t="inlineStr">
        <is>
          <t>정기검사</t>
        </is>
      </c>
      <c r="C1216" s="46" t="inlineStr">
        <is>
          <t>김포지역</t>
        </is>
      </c>
      <c r="D1216" s="46" t="inlineStr">
        <is>
          <t>환경네임</t>
        </is>
      </c>
      <c r="E1216" s="46" t="n">
        <v>180</v>
      </c>
      <c r="F1216" s="46" t="inlineStr">
        <is>
          <t>쇄암리</t>
        </is>
      </c>
      <c r="G1216" s="50" t="n">
        <v>0.3958333333333333</v>
      </c>
      <c r="H1216" s="51" t="n">
        <v>443630</v>
      </c>
      <c r="I1216" s="46" t="inlineStr">
        <is>
          <t>김영권</t>
        </is>
      </c>
      <c r="K1216" s="46" t="n">
        <v>1215</v>
      </c>
      <c r="L1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7">
      <c r="A1217" s="229" t="n">
        <v>46129</v>
      </c>
      <c r="B1217" s="46" t="inlineStr">
        <is>
          <t>정기검사</t>
        </is>
      </c>
      <c r="C1217" s="46" t="inlineStr">
        <is>
          <t>김포지역</t>
        </is>
      </c>
      <c r="D1217" s="46" t="inlineStr">
        <is>
          <t>엔세7차두에틱</t>
        </is>
      </c>
      <c r="E1217" s="46" t="inlineStr">
        <is>
          <t>950/450</t>
        </is>
      </c>
      <c r="F1217" s="46" t="inlineStr">
        <is>
          <t>구래동</t>
        </is>
      </c>
      <c r="G1217" s="50" t="n">
        <v>0.4166666666666667</v>
      </c>
      <c r="H1217" s="51" t="n">
        <v>1127060</v>
      </c>
      <c r="I1217" s="46" t="inlineStr">
        <is>
          <t>한태희</t>
        </is>
      </c>
      <c r="K1217" s="46" t="n">
        <v>1216</v>
      </c>
      <c r="L1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8">
      <c r="A1218" s="229" t="n">
        <v>46129</v>
      </c>
      <c r="B1218" s="46" t="inlineStr">
        <is>
          <t>사용전검사</t>
        </is>
      </c>
      <c r="C1218" s="46" t="inlineStr">
        <is>
          <t>김포지역</t>
        </is>
      </c>
      <c r="D1218" s="46" t="inlineStr">
        <is>
          <t>이룸2호</t>
        </is>
      </c>
      <c r="E1218" s="46" t="n">
        <v>34</v>
      </c>
      <c r="F1218" s="46" t="inlineStr">
        <is>
          <t>석탄리</t>
        </is>
      </c>
      <c r="G1218" s="50" t="n"/>
      <c r="H1218" s="51" t="n"/>
      <c r="I1218" s="46" t="inlineStr">
        <is>
          <t>허창수</t>
        </is>
      </c>
      <c r="K1218" s="46" t="n">
        <v>1217</v>
      </c>
      <c r="L1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9">
      <c r="A1219" s="229" t="n">
        <v>46129</v>
      </c>
      <c r="B1219" s="46" t="inlineStr">
        <is>
          <t>사용전검사</t>
        </is>
      </c>
      <c r="C1219" s="46" t="inlineStr">
        <is>
          <t>김포지역</t>
        </is>
      </c>
      <c r="D1219" s="46" t="inlineStr">
        <is>
          <t>이성규</t>
        </is>
      </c>
      <c r="E1219" s="46" t="n">
        <v>13</v>
      </c>
      <c r="F1219" s="46" t="inlineStr">
        <is>
          <t>운양동</t>
        </is>
      </c>
      <c r="G1219" s="50" t="n"/>
      <c r="H1219" s="51" t="n"/>
      <c r="I1219" s="46" t="inlineStr">
        <is>
          <t>한태희</t>
        </is>
      </c>
      <c r="K1219" s="46" t="n">
        <v>1218</v>
      </c>
      <c r="L1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0">
      <c r="A1220" s="229" t="n">
        <v>46129</v>
      </c>
      <c r="B1220" s="46" t="inlineStr">
        <is>
          <t>사용전검사</t>
        </is>
      </c>
      <c r="C1220" s="46" t="inlineStr">
        <is>
          <t>김포지역</t>
        </is>
      </c>
      <c r="D1220" s="46" t="inlineStr">
        <is>
          <t>가나금속</t>
        </is>
      </c>
      <c r="E1220" s="46" t="n">
        <v>200</v>
      </c>
      <c r="F1220" s="46" t="inlineStr">
        <is>
          <t>대벽리</t>
        </is>
      </c>
      <c r="G1220" s="50" t="n"/>
      <c r="H1220" s="51" t="n"/>
      <c r="I1220" s="46" t="n"/>
      <c r="K1220" s="46" t="n">
        <v>1219</v>
      </c>
      <c r="L1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1">
      <c r="A1221" s="229" t="n">
        <v>46129</v>
      </c>
      <c r="B1221" s="46" t="inlineStr">
        <is>
          <t>사용전검사</t>
        </is>
      </c>
      <c r="C1221" s="46" t="inlineStr">
        <is>
          <t>김포지역</t>
        </is>
      </c>
      <c r="D1221" s="46" t="inlineStr">
        <is>
          <t>가나금속</t>
        </is>
      </c>
      <c r="E1221" s="46" t="n">
        <v>290</v>
      </c>
      <c r="F1221" s="46" t="inlineStr">
        <is>
          <t>대벽리</t>
        </is>
      </c>
      <c r="G1221" s="50" t="n"/>
      <c r="H1221" s="51" t="n"/>
      <c r="I1221" s="46" t="n"/>
      <c r="K1221" s="46" t="n">
        <v>1220</v>
      </c>
      <c r="L1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2">
      <c r="A1222" s="229" t="n">
        <v>46131</v>
      </c>
      <c r="B1222" s="46" t="inlineStr">
        <is>
          <t>정기검사</t>
        </is>
      </c>
      <c r="C1222" s="46" t="inlineStr">
        <is>
          <t>부천지역</t>
        </is>
      </c>
      <c r="D1222" s="46" t="inlineStr">
        <is>
          <t>상동프라자</t>
        </is>
      </c>
      <c r="E1222" s="46" t="inlineStr">
        <is>
          <t>1500/182</t>
        </is>
      </c>
      <c r="F1222" s="46" t="inlineStr">
        <is>
          <t>상동0</t>
        </is>
      </c>
      <c r="G1222" s="50" t="n">
        <v>0.3125</v>
      </c>
      <c r="H1222" s="51" t="n">
        <v>1520970</v>
      </c>
      <c r="I1222" s="46" t="inlineStr">
        <is>
          <t>김영권</t>
        </is>
      </c>
      <c r="K1222" s="46" t="n">
        <v>1221</v>
      </c>
      <c r="L1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3">
      <c r="A1223" s="229" t="n">
        <v>46131</v>
      </c>
      <c r="B1223" s="46" t="inlineStr">
        <is>
          <t>정기검사</t>
        </is>
      </c>
      <c r="C1223" s="46" t="inlineStr">
        <is>
          <t>부천지역</t>
        </is>
      </c>
      <c r="D1223" s="46" t="inlineStr">
        <is>
          <t>나이스뮤티</t>
        </is>
      </c>
      <c r="E1223" s="46" t="n">
        <v>290</v>
      </c>
      <c r="F1223" s="46" t="inlineStr">
        <is>
          <t>내동</t>
        </is>
      </c>
      <c r="G1223" s="50" t="n">
        <v>0.375</v>
      </c>
      <c r="H1223" s="51" t="n">
        <v>669790</v>
      </c>
      <c r="I1223" s="46" t="inlineStr">
        <is>
          <t>이덕기</t>
        </is>
      </c>
      <c r="K1223" s="46" t="n">
        <v>1222</v>
      </c>
      <c r="L1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4">
      <c r="A1224" s="229" t="n">
        <v>46131</v>
      </c>
      <c r="B1224" s="46" t="inlineStr">
        <is>
          <t>정기검사</t>
        </is>
      </c>
      <c r="C1224" s="46" t="inlineStr">
        <is>
          <t>김포지역</t>
        </is>
      </c>
      <c r="D1224" s="46" t="inlineStr">
        <is>
          <t>좋은상자</t>
        </is>
      </c>
      <c r="E1224" s="46" t="n">
        <v>990</v>
      </c>
      <c r="F1224" s="46" t="inlineStr">
        <is>
          <t>학운리</t>
        </is>
      </c>
      <c r="G1224" s="50" t="n">
        <v>0.4166666666666667</v>
      </c>
      <c r="H1224" s="51" t="n">
        <v>1173810</v>
      </c>
      <c r="I1224" s="46" t="inlineStr">
        <is>
          <t>한태희</t>
        </is>
      </c>
      <c r="K1224" s="46" t="n">
        <v>1223</v>
      </c>
      <c r="L1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5">
      <c r="A1225" s="229" t="n">
        <v>46131</v>
      </c>
      <c r="B1225" s="46" t="inlineStr">
        <is>
          <t>정기검사</t>
        </is>
      </c>
      <c r="C1225" s="46" t="inlineStr">
        <is>
          <t>김포지역</t>
        </is>
      </c>
      <c r="D1225" s="46" t="inlineStr">
        <is>
          <t>동양</t>
        </is>
      </c>
      <c r="E1225" s="46" t="n">
        <v>600</v>
      </c>
      <c r="F1225" s="46" t="inlineStr">
        <is>
          <t>군하리</t>
        </is>
      </c>
      <c r="G1225" s="50" t="n">
        <v>0.3958333333333333</v>
      </c>
      <c r="H1225" s="51" t="n">
        <v>1002100</v>
      </c>
      <c r="I1225" s="46" t="inlineStr">
        <is>
          <t>정성관</t>
        </is>
      </c>
      <c r="K1225" s="46" t="n">
        <v>1224</v>
      </c>
      <c r="L1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6">
      <c r="A1226" s="229" t="n">
        <v>46131</v>
      </c>
      <c r="B1226" s="46" t="inlineStr">
        <is>
          <t>정기검사</t>
        </is>
      </c>
      <c r="C1226" s="46" t="inlineStr">
        <is>
          <t>김포지역</t>
        </is>
      </c>
      <c r="D1226" s="46" t="inlineStr">
        <is>
          <t>하나테크</t>
        </is>
      </c>
      <c r="E1226" s="46" t="n">
        <v>990</v>
      </c>
      <c r="F1226" s="46" t="inlineStr">
        <is>
          <t>흥신리</t>
        </is>
      </c>
      <c r="G1226" s="50" t="n"/>
      <c r="H1226" s="51" t="n">
        <v>1173810</v>
      </c>
      <c r="I1226" s="46" t="inlineStr">
        <is>
          <t>민경수</t>
        </is>
      </c>
      <c r="K1226" s="46" t="n">
        <v>1225</v>
      </c>
      <c r="L1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7">
      <c r="A1227" s="229" t="n">
        <v>46131</v>
      </c>
      <c r="B1227" s="46" t="inlineStr">
        <is>
          <t>사용전검사</t>
        </is>
      </c>
      <c r="C1227" s="46" t="inlineStr">
        <is>
          <t>부천지역</t>
        </is>
      </c>
      <c r="D1227" s="46" t="inlineStr">
        <is>
          <t>형진정공</t>
        </is>
      </c>
      <c r="E1227" s="46" t="n">
        <v>330</v>
      </c>
      <c r="F1227" s="46" t="inlineStr">
        <is>
          <t>도당동</t>
        </is>
      </c>
      <c r="G1227" s="50" t="n"/>
      <c r="H1227" s="51" t="n"/>
      <c r="I1227" s="46" t="inlineStr">
        <is>
          <t>서수형</t>
        </is>
      </c>
      <c r="K1227" s="46" t="n">
        <v>1226</v>
      </c>
      <c r="L1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8">
      <c r="A1228" s="229" t="n">
        <v>46131</v>
      </c>
      <c r="B1228" s="46" t="inlineStr">
        <is>
          <t>사용전검사</t>
        </is>
      </c>
      <c r="C1228" s="46" t="inlineStr">
        <is>
          <t>부천지역</t>
        </is>
      </c>
      <c r="D1228" s="46" t="inlineStr">
        <is>
          <t>미성</t>
        </is>
      </c>
      <c r="E1228" s="46" t="inlineStr">
        <is>
          <t>변변</t>
        </is>
      </c>
      <c r="F1228" s="46" t="inlineStr">
        <is>
          <t>중동</t>
        </is>
      </c>
      <c r="G1228" s="50" t="n"/>
      <c r="H1228" s="51" t="n"/>
      <c r="I1228" s="46" t="inlineStr">
        <is>
          <t>송두기</t>
        </is>
      </c>
      <c r="K1228" s="46" t="n">
        <v>1227</v>
      </c>
      <c r="L1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9">
      <c r="A1229" s="229" t="n">
        <v>46131</v>
      </c>
      <c r="B1229" s="46" t="inlineStr">
        <is>
          <t>사용전검사</t>
        </is>
      </c>
      <c r="C1229" s="46" t="inlineStr">
        <is>
          <t>김포지역</t>
        </is>
      </c>
      <c r="D1229" s="46" t="inlineStr">
        <is>
          <t>태현엔지니어링</t>
        </is>
      </c>
      <c r="E1229" s="46" t="n">
        <v>800</v>
      </c>
      <c r="F1229" s="46" t="inlineStr">
        <is>
          <t>학운리</t>
        </is>
      </c>
      <c r="G1229" s="50" t="n"/>
      <c r="H1229" s="51" t="n"/>
      <c r="I1229" s="46" t="inlineStr">
        <is>
          <t>민재홍</t>
        </is>
      </c>
      <c r="K1229" s="46" t="n">
        <v>1228</v>
      </c>
      <c r="L1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0">
      <c r="A1230" s="229" t="n">
        <v>46132</v>
      </c>
      <c r="B1230" s="46" t="inlineStr">
        <is>
          <t>정기검사</t>
        </is>
      </c>
      <c r="C1230" s="46" t="inlineStr">
        <is>
          <t>부천지역</t>
        </is>
      </c>
      <c r="D1230" s="46" t="inlineStr">
        <is>
          <t>신보냉동</t>
        </is>
      </c>
      <c r="E1230" s="46" t="n">
        <v>950</v>
      </c>
      <c r="F1230" s="46" t="inlineStr">
        <is>
          <t>도당동</t>
        </is>
      </c>
      <c r="G1230" s="50" t="n">
        <v>0.3958333333333333</v>
      </c>
      <c r="H1230" s="51" t="n">
        <v>889460</v>
      </c>
      <c r="I1230" s="46" t="inlineStr">
        <is>
          <t>우승택</t>
        </is>
      </c>
      <c r="K1230" s="46" t="n">
        <v>1229</v>
      </c>
      <c r="L1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1">
      <c r="A1231" s="229" t="n">
        <v>46132</v>
      </c>
      <c r="B1231" s="46" t="inlineStr">
        <is>
          <t>정기검사</t>
        </is>
      </c>
      <c r="C1231" s="46" t="inlineStr">
        <is>
          <t>부천지역</t>
        </is>
      </c>
      <c r="D1231" s="46" t="inlineStr">
        <is>
          <t>범아식품</t>
        </is>
      </c>
      <c r="E1231" s="46" t="n">
        <v>300</v>
      </c>
      <c r="F1231" s="46" t="inlineStr">
        <is>
          <t>내동</t>
        </is>
      </c>
      <c r="G1231" s="50" t="n">
        <v>0.5</v>
      </c>
      <c r="H1231" s="51" t="n">
        <v>521730</v>
      </c>
      <c r="I1231" s="46" t="inlineStr">
        <is>
          <t>송낙명</t>
        </is>
      </c>
      <c r="K1231" s="46" t="n">
        <v>1230</v>
      </c>
      <c r="L1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2">
      <c r="A1232" s="229" t="n">
        <v>46132</v>
      </c>
      <c r="B1232" s="46" t="inlineStr">
        <is>
          <t>정기검사</t>
        </is>
      </c>
      <c r="C1232" s="46" t="inlineStr">
        <is>
          <t>부천지역</t>
        </is>
      </c>
      <c r="D1232" s="46" t="inlineStr">
        <is>
          <t>효성엔지니어링</t>
        </is>
      </c>
      <c r="E1232" s="46" t="n">
        <v>250</v>
      </c>
      <c r="F1232" s="46" t="inlineStr">
        <is>
          <t>내동</t>
        </is>
      </c>
      <c r="G1232" s="50" t="n">
        <v>0.4791666666666667</v>
      </c>
      <c r="H1232" s="51" t="n">
        <v>489170</v>
      </c>
      <c r="I1232" s="46" t="inlineStr">
        <is>
          <t>민재홍</t>
        </is>
      </c>
      <c r="K1232" s="46" t="n">
        <v>1231</v>
      </c>
      <c r="L1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3">
      <c r="A1233" s="229" t="n">
        <v>46132</v>
      </c>
      <c r="B1233" s="46" t="inlineStr">
        <is>
          <t>정기검사</t>
        </is>
      </c>
      <c r="C1233" s="46" t="inlineStr">
        <is>
          <t>부천지역</t>
        </is>
      </c>
      <c r="D1233" s="46" t="inlineStr">
        <is>
          <t>다성하이테크</t>
        </is>
      </c>
      <c r="E1233" s="46" t="n">
        <v>600</v>
      </c>
      <c r="F1233" s="46" t="inlineStr">
        <is>
          <t>오정동</t>
        </is>
      </c>
      <c r="G1233" s="50" t="n">
        <v>0.5</v>
      </c>
      <c r="H1233" s="51" t="n">
        <v>770880</v>
      </c>
      <c r="I1233" s="46" t="inlineStr">
        <is>
          <t>우승택</t>
        </is>
      </c>
      <c r="K1233" s="46" t="n">
        <v>1232</v>
      </c>
      <c r="L1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4">
      <c r="A1234" s="229" t="n">
        <v>46132</v>
      </c>
      <c r="B1234" s="46" t="inlineStr">
        <is>
          <t>정기검사</t>
        </is>
      </c>
      <c r="C1234" s="46" t="inlineStr">
        <is>
          <t>부천지역</t>
        </is>
      </c>
      <c r="D1234" s="46" t="inlineStr">
        <is>
          <t>부천IC충전소</t>
        </is>
      </c>
      <c r="E1234" s="46" t="n">
        <v>36</v>
      </c>
      <c r="F1234" s="46" t="inlineStr">
        <is>
          <t>삼정동</t>
        </is>
      </c>
      <c r="G1234" s="50" t="n">
        <v>0.4583333333333333</v>
      </c>
      <c r="H1234" s="51" t="n">
        <v>147180</v>
      </c>
      <c r="I1234" s="46" t="inlineStr">
        <is>
          <t>한태희</t>
        </is>
      </c>
      <c r="K1234" s="46" t="n">
        <v>1233</v>
      </c>
      <c r="L1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5">
      <c r="A1235" s="229" t="n">
        <v>46132</v>
      </c>
      <c r="B1235" s="46" t="inlineStr">
        <is>
          <t>정기검사</t>
        </is>
      </c>
      <c r="C1235" s="46" t="inlineStr">
        <is>
          <t>부천지역</t>
        </is>
      </c>
      <c r="D1235" s="46" t="inlineStr">
        <is>
          <t>에이스팩</t>
        </is>
      </c>
      <c r="E1235" s="46" t="n">
        <v>600</v>
      </c>
      <c r="F1235" s="46" t="inlineStr">
        <is>
          <t>도당동</t>
        </is>
      </c>
      <c r="G1235" s="50" t="n">
        <v>0.3888888888888889</v>
      </c>
      <c r="H1235" s="51" t="n">
        <v>770880</v>
      </c>
      <c r="I1235" s="46" t="inlineStr">
        <is>
          <t>송낙명</t>
        </is>
      </c>
      <c r="K1235" s="46" t="n">
        <v>1234</v>
      </c>
      <c r="L1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6">
      <c r="A1236" s="229" t="n">
        <v>46132</v>
      </c>
      <c r="B1236" s="46" t="inlineStr">
        <is>
          <t>정기검사</t>
        </is>
      </c>
      <c r="C1236" s="46" t="inlineStr">
        <is>
          <t>부천지역</t>
        </is>
      </c>
      <c r="D1236" s="46" t="inlineStr">
        <is>
          <t>엘지유플러스</t>
        </is>
      </c>
      <c r="E1236" s="46" t="inlineStr">
        <is>
          <t>전기차</t>
        </is>
      </c>
      <c r="F1236" s="46" t="inlineStr">
        <is>
          <t>중동</t>
        </is>
      </c>
      <c r="G1236" s="50" t="n">
        <v>0.6041666666666666</v>
      </c>
      <c r="H1236" s="51" t="n">
        <v>98120</v>
      </c>
      <c r="I1236" s="46" t="inlineStr">
        <is>
          <t>민재홍</t>
        </is>
      </c>
      <c r="K1236" s="46" t="n">
        <v>1235</v>
      </c>
      <c r="L1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7">
      <c r="A1237" s="229" t="n">
        <v>46132</v>
      </c>
      <c r="B1237" s="46" t="inlineStr">
        <is>
          <t>정기검사</t>
        </is>
      </c>
      <c r="C1237" s="46" t="inlineStr">
        <is>
          <t>부천지역</t>
        </is>
      </c>
      <c r="D1237" s="46" t="inlineStr">
        <is>
          <t>길교회</t>
        </is>
      </c>
      <c r="E1237" s="46" t="inlineStr">
        <is>
          <t>400/113</t>
        </is>
      </c>
      <c r="F1237" s="46" t="inlineStr">
        <is>
          <t>상동</t>
        </is>
      </c>
      <c r="G1237" s="50" t="n">
        <v>0.4166666666666667</v>
      </c>
      <c r="H1237" s="51" t="n">
        <v>873070</v>
      </c>
      <c r="I1237" s="46" t="inlineStr">
        <is>
          <t>송낙명</t>
        </is>
      </c>
      <c r="K1237" s="46" t="n">
        <v>1236</v>
      </c>
      <c r="L1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8">
      <c r="A1238" s="229" t="n">
        <v>46132</v>
      </c>
      <c r="B1238" s="46" t="inlineStr">
        <is>
          <t>정기검사</t>
        </is>
      </c>
      <c r="C1238" s="46" t="inlineStr">
        <is>
          <t>부천지역</t>
        </is>
      </c>
      <c r="D1238" s="46" t="inlineStr">
        <is>
          <t>늘해랑아파트</t>
        </is>
      </c>
      <c r="E1238" s="46" t="inlineStr">
        <is>
          <t>990/360</t>
        </is>
      </c>
      <c r="F1238" s="46" t="inlineStr">
        <is>
          <t>성곡동</t>
        </is>
      </c>
      <c r="G1238" s="50" t="n">
        <v>0.3958333333333333</v>
      </c>
      <c r="H1238" s="51" t="n">
        <v>1130140</v>
      </c>
      <c r="I1238" s="46" t="inlineStr">
        <is>
          <t>민경수</t>
        </is>
      </c>
      <c r="K1238" s="46" t="n">
        <v>1237</v>
      </c>
      <c r="L1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9">
      <c r="A1239" s="229" t="n">
        <v>46132</v>
      </c>
      <c r="B1239" s="46" t="inlineStr">
        <is>
          <t>정기검사</t>
        </is>
      </c>
      <c r="C1239" s="46" t="inlineStr">
        <is>
          <t>부천지역</t>
        </is>
      </c>
      <c r="D1239" s="46" t="inlineStr">
        <is>
          <t>웅광전기</t>
        </is>
      </c>
      <c r="E1239" s="46" t="inlineStr">
        <is>
          <t>전기차</t>
        </is>
      </c>
      <c r="F1239" s="46" t="inlineStr">
        <is>
          <t>구래동</t>
        </is>
      </c>
      <c r="G1239" s="50" t="n"/>
      <c r="H1239" s="51" t="n">
        <v>55770</v>
      </c>
      <c r="I1239" s="46" t="n"/>
      <c r="J1239" t="inlineStr">
        <is>
          <t>실시</t>
        </is>
      </c>
      <c r="K1239" s="46" t="n">
        <v>1238</v>
      </c>
      <c r="L1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0">
      <c r="A1240" s="229" t="n">
        <v>46132</v>
      </c>
      <c r="B1240" s="46" t="inlineStr">
        <is>
          <t>정기검사</t>
        </is>
      </c>
      <c r="C1240" s="46" t="inlineStr">
        <is>
          <t>김포지역</t>
        </is>
      </c>
      <c r="D1240" s="46" t="inlineStr">
        <is>
          <t>대덕</t>
        </is>
      </c>
      <c r="E1240" s="46" t="n">
        <v>500</v>
      </c>
      <c r="F1240" s="46" t="inlineStr">
        <is>
          <t>개곡리</t>
        </is>
      </c>
      <c r="G1240" s="50" t="n">
        <v>0.4791666666666667</v>
      </c>
      <c r="H1240" s="51" t="n">
        <v>737000</v>
      </c>
      <c r="I1240" s="46" t="inlineStr">
        <is>
          <t>이종석</t>
        </is>
      </c>
      <c r="K1240" s="46" t="n">
        <v>1239</v>
      </c>
      <c r="L1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1">
      <c r="A1241" s="229" t="n">
        <v>46132</v>
      </c>
      <c r="B1241" s="46" t="inlineStr">
        <is>
          <t>정기검사</t>
        </is>
      </c>
      <c r="C1241" s="46" t="inlineStr">
        <is>
          <t>김포지역</t>
        </is>
      </c>
      <c r="D1241" s="46" t="inlineStr">
        <is>
          <t>에스엔에스</t>
        </is>
      </c>
      <c r="E1241" s="46" t="n">
        <v>700</v>
      </c>
      <c r="F1241" s="46" t="inlineStr">
        <is>
          <t>학운리</t>
        </is>
      </c>
      <c r="G1241" s="50" t="n">
        <v>0.3958333333333333</v>
      </c>
      <c r="H1241" s="51" t="n">
        <v>804760</v>
      </c>
      <c r="I1241" s="46" t="inlineStr">
        <is>
          <t>이덕기</t>
        </is>
      </c>
      <c r="K1241" s="46" t="n">
        <v>1240</v>
      </c>
      <c r="L1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2">
      <c r="A1242" s="229" t="n">
        <v>46132</v>
      </c>
      <c r="B1242" s="46" t="inlineStr">
        <is>
          <t>정기검사</t>
        </is>
      </c>
      <c r="C1242" s="46" t="inlineStr">
        <is>
          <t>김포지역</t>
        </is>
      </c>
      <c r="D1242" s="46" t="inlineStr">
        <is>
          <t>대한불소</t>
        </is>
      </c>
      <c r="E1242" s="46" t="n">
        <v>500</v>
      </c>
      <c r="F1242" s="46" t="inlineStr">
        <is>
          <t>대벽리</t>
        </is>
      </c>
      <c r="G1242" s="50" t="n">
        <v>0.4791666666666667</v>
      </c>
      <c r="H1242" s="51" t="n">
        <v>737000</v>
      </c>
      <c r="I1242" s="46" t="inlineStr">
        <is>
          <t>서수형</t>
        </is>
      </c>
      <c r="K1242" s="46" t="n">
        <v>1241</v>
      </c>
      <c r="L1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3">
      <c r="A1243" s="229" t="n">
        <v>46132</v>
      </c>
      <c r="B1243" s="46" t="inlineStr">
        <is>
          <t>정기검사</t>
        </is>
      </c>
      <c r="C1243" s="46" t="inlineStr">
        <is>
          <t>김포지역</t>
        </is>
      </c>
      <c r="D1243" s="46" t="inlineStr">
        <is>
          <t>신진산업</t>
        </is>
      </c>
      <c r="E1243" s="46" t="n">
        <v>200</v>
      </c>
      <c r="F1243" s="46" t="inlineStr">
        <is>
          <t>원산리</t>
        </is>
      </c>
      <c r="G1243" s="50" t="n">
        <v>0.3958333333333333</v>
      </c>
      <c r="H1243" s="51" t="n">
        <v>456720</v>
      </c>
      <c r="I1243" s="46" t="inlineStr">
        <is>
          <t>정신배</t>
        </is>
      </c>
      <c r="K1243" s="46" t="n">
        <v>1242</v>
      </c>
      <c r="L1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4">
      <c r="A1244" s="229" t="n">
        <v>46132</v>
      </c>
      <c r="B1244" s="46" t="inlineStr">
        <is>
          <t>정기검사</t>
        </is>
      </c>
      <c r="C1244" s="46" t="inlineStr">
        <is>
          <t>김포지역</t>
        </is>
      </c>
      <c r="D1244" s="46" t="inlineStr">
        <is>
          <t>라미에이스</t>
        </is>
      </c>
      <c r="E1244" s="46" t="n">
        <v>290</v>
      </c>
      <c r="F1244" s="46" t="inlineStr">
        <is>
          <t>고막리</t>
        </is>
      </c>
      <c r="G1244" s="50" t="n">
        <v>0.5416666666666666</v>
      </c>
      <c r="H1244" s="51" t="n">
        <v>515130</v>
      </c>
      <c r="I1244" s="46" t="inlineStr">
        <is>
          <t>허창수</t>
        </is>
      </c>
      <c r="K1244" s="46" t="n">
        <v>1243</v>
      </c>
      <c r="L1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5">
      <c r="A1245" s="229" t="n">
        <v>46132</v>
      </c>
      <c r="B1245" s="46" t="inlineStr">
        <is>
          <t>정기검사</t>
        </is>
      </c>
      <c r="C1245" s="46" t="inlineStr">
        <is>
          <t>김포지역</t>
        </is>
      </c>
      <c r="D1245" s="46" t="inlineStr">
        <is>
          <t>라미에이스</t>
        </is>
      </c>
      <c r="E1245" s="46" t="n">
        <v>291</v>
      </c>
      <c r="F1245" s="46" t="inlineStr">
        <is>
          <t>고막리</t>
        </is>
      </c>
      <c r="G1245" s="50" t="n">
        <v>0.5833333333333334</v>
      </c>
      <c r="H1245" s="51" t="n">
        <v>515130</v>
      </c>
      <c r="I1245" s="46" t="inlineStr">
        <is>
          <t>이종석</t>
        </is>
      </c>
      <c r="K1245" s="46" t="n">
        <v>1244</v>
      </c>
      <c r="L1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6">
      <c r="A1246" s="229" t="n">
        <v>46132</v>
      </c>
      <c r="B1246" s="46" t="inlineStr">
        <is>
          <t>정기검사</t>
        </is>
      </c>
      <c r="C1246" s="46" t="inlineStr">
        <is>
          <t>김포지역</t>
        </is>
      </c>
      <c r="D1246" s="46" t="inlineStr">
        <is>
          <t>극동에너비스</t>
        </is>
      </c>
      <c r="E1246" s="46" t="n">
        <v>15</v>
      </c>
      <c r="F1246" s="46" t="inlineStr">
        <is>
          <t>구래동</t>
        </is>
      </c>
      <c r="G1246" s="50" t="n">
        <v>0.3958333333333333</v>
      </c>
      <c r="H1246" s="51" t="n">
        <v>141020</v>
      </c>
      <c r="I1246" s="46" t="inlineStr">
        <is>
          <t>김영권</t>
        </is>
      </c>
      <c r="K1246" s="46" t="n">
        <v>1245</v>
      </c>
      <c r="L1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7">
      <c r="A1247" s="229" t="n">
        <v>46132</v>
      </c>
      <c r="B1247" s="46" t="inlineStr">
        <is>
          <t>정기검사</t>
        </is>
      </c>
      <c r="C1247" s="46" t="inlineStr">
        <is>
          <t>김포지역</t>
        </is>
      </c>
      <c r="D1247" s="46" t="inlineStr">
        <is>
          <t>태상</t>
        </is>
      </c>
      <c r="E1247" s="46" t="n">
        <v>290</v>
      </c>
      <c r="F1247" s="46" t="inlineStr">
        <is>
          <t>고정리</t>
        </is>
      </c>
      <c r="G1247" s="50" t="n">
        <v>0.6041666666666666</v>
      </c>
      <c r="H1247" s="51" t="n">
        <v>515130</v>
      </c>
      <c r="I1247" s="46" t="inlineStr">
        <is>
          <t>정성관</t>
        </is>
      </c>
      <c r="K1247" s="46" t="n">
        <v>1246</v>
      </c>
      <c r="L1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8">
      <c r="A1248" s="229" t="n">
        <v>46132</v>
      </c>
      <c r="B1248" s="46" t="inlineStr">
        <is>
          <t>정기검사</t>
        </is>
      </c>
      <c r="C1248" s="46" t="inlineStr">
        <is>
          <t>김포지역</t>
        </is>
      </c>
      <c r="D1248" s="46" t="inlineStr">
        <is>
          <t>전주이씨후민후손종중</t>
        </is>
      </c>
      <c r="E1248" s="46" t="n">
        <v>250</v>
      </c>
      <c r="F1248" s="46" t="inlineStr">
        <is>
          <t>석정리</t>
        </is>
      </c>
      <c r="G1248" s="50" t="n">
        <v>0.5</v>
      </c>
      <c r="H1248" s="51" t="n">
        <v>489170</v>
      </c>
      <c r="I1248" s="46" t="inlineStr">
        <is>
          <t>김영권</t>
        </is>
      </c>
      <c r="K1248" s="46" t="n">
        <v>1247</v>
      </c>
      <c r="L1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9">
      <c r="A1249" s="229" t="n">
        <v>46132</v>
      </c>
      <c r="B1249" s="46" t="inlineStr">
        <is>
          <t>사용전검사</t>
        </is>
      </c>
      <c r="C1249" s="46" t="inlineStr">
        <is>
          <t>김포지역</t>
        </is>
      </c>
      <c r="D1249" s="46" t="inlineStr">
        <is>
          <t>선광</t>
        </is>
      </c>
      <c r="E1249" s="46" t="inlineStr">
        <is>
          <t>재검사</t>
        </is>
      </c>
      <c r="F1249" s="46" t="n"/>
      <c r="G1249" s="50" t="n"/>
      <c r="H1249" s="51" t="n"/>
      <c r="I1249" s="46" t="inlineStr">
        <is>
          <t>정신배</t>
        </is>
      </c>
      <c r="K1249" s="46" t="n">
        <v>1248</v>
      </c>
      <c r="L1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0">
      <c r="A1250" s="229" t="n">
        <v>46132</v>
      </c>
      <c r="B1250" s="46" t="inlineStr">
        <is>
          <t>사용전검사</t>
        </is>
      </c>
      <c r="C1250" s="46" t="inlineStr">
        <is>
          <t>김포지역</t>
        </is>
      </c>
      <c r="D1250" s="46" t="inlineStr">
        <is>
          <t>정순태양광</t>
        </is>
      </c>
      <c r="E1250" s="46" t="n">
        <v>97</v>
      </c>
      <c r="F1250" s="46" t="inlineStr">
        <is>
          <t>학운리</t>
        </is>
      </c>
      <c r="G1250" s="50" t="n"/>
      <c r="H1250" s="51" t="n"/>
      <c r="I1250" s="46" t="inlineStr">
        <is>
          <t>이덕기</t>
        </is>
      </c>
      <c r="K1250" s="46" t="n">
        <v>1249</v>
      </c>
      <c r="L1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1">
      <c r="A1251" s="229" t="n">
        <v>46132</v>
      </c>
      <c r="B1251" s="46" t="inlineStr">
        <is>
          <t>사용전검사</t>
        </is>
      </c>
      <c r="C1251" s="46" t="inlineStr">
        <is>
          <t>김포지역</t>
        </is>
      </c>
      <c r="D1251" s="46" t="inlineStr">
        <is>
          <t>양졔장비아들</t>
        </is>
      </c>
      <c r="E1251" s="46" t="n">
        <v>15</v>
      </c>
      <c r="F1251" s="46" t="inlineStr">
        <is>
          <t>마송리</t>
        </is>
      </c>
      <c r="G1251" s="50" t="n"/>
      <c r="H1251" s="51" t="n"/>
      <c r="I1251" s="46" t="inlineStr">
        <is>
          <t>정성관</t>
        </is>
      </c>
      <c r="K1251" s="46" t="n">
        <v>1250</v>
      </c>
      <c r="L1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2">
      <c r="A1252" s="229" t="n">
        <v>46133</v>
      </c>
      <c r="B1252" s="46" t="inlineStr">
        <is>
          <t>정기검사</t>
        </is>
      </c>
      <c r="C1252" s="46" t="inlineStr">
        <is>
          <t>부천지역</t>
        </is>
      </c>
      <c r="D1252" s="46" t="inlineStr">
        <is>
          <t>레노부르크부천</t>
        </is>
      </c>
      <c r="E1252" s="46" t="inlineStr">
        <is>
          <t>4000/545</t>
        </is>
      </c>
      <c r="F1252" s="46" t="inlineStr">
        <is>
          <t>도당동</t>
        </is>
      </c>
      <c r="G1252" s="50" t="n">
        <v>0.25</v>
      </c>
      <c r="H1252" s="51" t="n">
        <v>2107160</v>
      </c>
      <c r="I1252" s="46" t="inlineStr">
        <is>
          <t>서수형</t>
        </is>
      </c>
      <c r="K1252" s="46" t="n">
        <v>1251</v>
      </c>
      <c r="L1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3">
      <c r="A1253" s="229" t="n">
        <v>46133</v>
      </c>
      <c r="B1253" s="46" t="inlineStr">
        <is>
          <t>정기검사</t>
        </is>
      </c>
      <c r="C1253" s="46" t="inlineStr">
        <is>
          <t>부천지역</t>
        </is>
      </c>
      <c r="D1253" s="46" t="inlineStr">
        <is>
          <t>푸른빌아파트</t>
        </is>
      </c>
      <c r="E1253" s="46" t="inlineStr">
        <is>
          <t>400/150</t>
        </is>
      </c>
      <c r="F1253" s="46" t="inlineStr">
        <is>
          <t>송내동</t>
        </is>
      </c>
      <c r="G1253" s="50" t="n">
        <v>0.4166666666666667</v>
      </c>
      <c r="H1253" s="51" t="n">
        <v>884070</v>
      </c>
      <c r="I1253" s="46" t="inlineStr">
        <is>
          <t>이덕기</t>
        </is>
      </c>
      <c r="K1253" s="46" t="n">
        <v>1252</v>
      </c>
      <c r="L1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4">
      <c r="A1254" s="229" t="n">
        <v>46133</v>
      </c>
      <c r="B1254" s="46" t="inlineStr">
        <is>
          <t>정기검사</t>
        </is>
      </c>
      <c r="C1254" s="46" t="inlineStr">
        <is>
          <t>부천지역</t>
        </is>
      </c>
      <c r="D1254" s="46" t="inlineStr">
        <is>
          <t>범아정공사</t>
        </is>
      </c>
      <c r="E1254" s="46" t="n">
        <v>500</v>
      </c>
      <c r="F1254" s="46" t="inlineStr">
        <is>
          <t>도당동</t>
        </is>
      </c>
      <c r="G1254" s="50" t="n">
        <v>0.5416666666666666</v>
      </c>
      <c r="H1254" s="51" t="n">
        <v>737000</v>
      </c>
      <c r="I1254" s="46" t="inlineStr">
        <is>
          <t>서수형</t>
        </is>
      </c>
      <c r="K1254" s="46" t="n">
        <v>1253</v>
      </c>
      <c r="L1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5">
      <c r="A1255" s="229" t="n">
        <v>46133</v>
      </c>
      <c r="B1255" s="46" t="inlineStr">
        <is>
          <t>정기검사</t>
        </is>
      </c>
      <c r="C1255" s="46" t="inlineStr">
        <is>
          <t>부천지역</t>
        </is>
      </c>
      <c r="D1255" s="46" t="inlineStr">
        <is>
          <t>한양수자인</t>
        </is>
      </c>
      <c r="E1255" s="46" t="inlineStr">
        <is>
          <t>300/180</t>
        </is>
      </c>
      <c r="F1255" s="46" t="inlineStr">
        <is>
          <t>역곡동</t>
        </is>
      </c>
      <c r="G1255" s="50" t="n">
        <v>0.5416666666666666</v>
      </c>
      <c r="H1255" s="51" t="n">
        <v>712140</v>
      </c>
      <c r="I1255" s="46" t="inlineStr">
        <is>
          <t>민재홍</t>
        </is>
      </c>
      <c r="K1255" s="46" t="n">
        <v>1254</v>
      </c>
      <c r="L1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6">
      <c r="A1256" s="229" t="n">
        <v>46133</v>
      </c>
      <c r="B1256" s="46" t="inlineStr">
        <is>
          <t>정기검사</t>
        </is>
      </c>
      <c r="C1256" s="46" t="inlineStr">
        <is>
          <t>부천지역</t>
        </is>
      </c>
      <c r="D1256" s="46" t="inlineStr">
        <is>
          <t>알파티앤씨</t>
        </is>
      </c>
      <c r="E1256" s="46" t="n">
        <v>290</v>
      </c>
      <c r="F1256" s="46" t="inlineStr">
        <is>
          <t>오정동</t>
        </is>
      </c>
      <c r="G1256" s="50" t="n">
        <v>0.375</v>
      </c>
      <c r="H1256" s="51" t="n">
        <v>515130</v>
      </c>
      <c r="I1256" s="46" t="inlineStr">
        <is>
          <t>송낙명</t>
        </is>
      </c>
      <c r="K1256" s="46" t="n">
        <v>1255</v>
      </c>
      <c r="L1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7">
      <c r="A1257" s="229" t="n">
        <v>46133</v>
      </c>
      <c r="B1257" s="46" t="inlineStr">
        <is>
          <t>정기검사</t>
        </is>
      </c>
      <c r="C1257" s="46" t="inlineStr">
        <is>
          <t>부천지역</t>
        </is>
      </c>
      <c r="D1257" s="46" t="inlineStr">
        <is>
          <t>부천지하상가</t>
        </is>
      </c>
      <c r="E1257" s="46" t="inlineStr">
        <is>
          <t>1500/145</t>
        </is>
      </c>
      <c r="F1257" s="46" t="inlineStr">
        <is>
          <t>부천역</t>
        </is>
      </c>
      <c r="G1257" s="50" t="n">
        <v>0.5833333333333334</v>
      </c>
      <c r="H1257" s="51" t="n">
        <v>1159070</v>
      </c>
      <c r="I1257" s="46" t="inlineStr">
        <is>
          <t>이덕기</t>
        </is>
      </c>
      <c r="K1257" s="46" t="n">
        <v>1256</v>
      </c>
      <c r="L1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8">
      <c r="A1258" s="229" t="n">
        <v>46133</v>
      </c>
      <c r="B1258" s="46" t="inlineStr">
        <is>
          <t>정기검사</t>
        </is>
      </c>
      <c r="C1258" s="46" t="inlineStr">
        <is>
          <t>부천지역</t>
        </is>
      </c>
      <c r="D1258" s="46" t="inlineStr">
        <is>
          <t>무영빌딩</t>
        </is>
      </c>
      <c r="E1258" s="46" t="inlineStr">
        <is>
          <t>400/115</t>
        </is>
      </c>
      <c r="F1258" s="46" t="inlineStr">
        <is>
          <t>삼정동</t>
        </is>
      </c>
      <c r="G1258" s="50" t="n">
        <v>0.6666666666666666</v>
      </c>
      <c r="H1258" s="51" t="n">
        <v>873730</v>
      </c>
      <c r="I1258" s="46" t="inlineStr">
        <is>
          <t>민재홍</t>
        </is>
      </c>
      <c r="K1258" s="46" t="n">
        <v>1257</v>
      </c>
      <c r="L1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9">
      <c r="A1259" s="229" t="n">
        <v>46133</v>
      </c>
      <c r="B1259" s="46" t="inlineStr">
        <is>
          <t>정기검사</t>
        </is>
      </c>
      <c r="C1259" s="46" t="inlineStr">
        <is>
          <t>부천지역</t>
        </is>
      </c>
      <c r="D1259" s="46" t="inlineStr">
        <is>
          <t>아이케이푸드</t>
        </is>
      </c>
      <c r="E1259" s="46" t="n">
        <v>400</v>
      </c>
      <c r="F1259" s="46" t="inlineStr">
        <is>
          <t>삼정동</t>
        </is>
      </c>
      <c r="G1259" s="50" t="n">
        <v>0.5</v>
      </c>
      <c r="H1259" s="51" t="n">
        <v>703120</v>
      </c>
      <c r="I1259" s="46" t="inlineStr">
        <is>
          <t>송낙명</t>
        </is>
      </c>
      <c r="K1259" s="46" t="n">
        <v>1258</v>
      </c>
      <c r="L1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0">
      <c r="A1260" s="229" t="n">
        <v>46133</v>
      </c>
      <c r="B1260" s="46" t="inlineStr">
        <is>
          <t>정기검사</t>
        </is>
      </c>
      <c r="C1260" s="46" t="inlineStr">
        <is>
          <t>부천지역</t>
        </is>
      </c>
      <c r="D1260" s="46" t="inlineStr">
        <is>
          <t>아이케이푸드</t>
        </is>
      </c>
      <c r="E1260" s="46" t="n">
        <v>500</v>
      </c>
      <c r="F1260" s="46" t="inlineStr">
        <is>
          <t>삼정동</t>
        </is>
      </c>
      <c r="G1260" s="50" t="n">
        <v>0.5416666666666666</v>
      </c>
      <c r="H1260" s="51" t="n">
        <v>737000</v>
      </c>
      <c r="I1260" s="46" t="inlineStr">
        <is>
          <t>송낙명</t>
        </is>
      </c>
      <c r="K1260" s="46" t="n">
        <v>1259</v>
      </c>
      <c r="L1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1">
      <c r="A1261" s="229" t="n">
        <v>46133</v>
      </c>
      <c r="B1261" s="46" t="inlineStr">
        <is>
          <t>정기검사</t>
        </is>
      </c>
      <c r="C1261" s="46" t="inlineStr">
        <is>
          <t>부천지역</t>
        </is>
      </c>
      <c r="D1261" s="46" t="inlineStr">
        <is>
          <t>원종이편한세상</t>
        </is>
      </c>
      <c r="E1261" s="46" t="inlineStr">
        <is>
          <t>600/236</t>
        </is>
      </c>
      <c r="F1261" s="46" t="inlineStr">
        <is>
          <t>원종동</t>
        </is>
      </c>
      <c r="G1261" s="50" t="n">
        <v>0.625</v>
      </c>
      <c r="H1261" s="51" t="n">
        <v>977240</v>
      </c>
      <c r="I1261" s="46" t="inlineStr">
        <is>
          <t>민경수</t>
        </is>
      </c>
      <c r="K1261" s="46" t="n">
        <v>1260</v>
      </c>
      <c r="L1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2">
      <c r="A1262" s="229" t="n">
        <v>46133</v>
      </c>
      <c r="B1262" s="46" t="inlineStr">
        <is>
          <t>정기검사</t>
        </is>
      </c>
      <c r="C1262" s="46" t="inlineStr">
        <is>
          <t>김포지역</t>
        </is>
      </c>
      <c r="D1262" s="46" t="inlineStr">
        <is>
          <t>대경아이스</t>
        </is>
      </c>
      <c r="E1262" s="46" t="n">
        <v>290</v>
      </c>
      <c r="F1262" s="46" t="inlineStr">
        <is>
          <t>학운리</t>
        </is>
      </c>
      <c r="G1262" s="50" t="n">
        <v>0.5416666666666666</v>
      </c>
      <c r="H1262" s="51" t="n">
        <v>515130</v>
      </c>
      <c r="I1262" s="46" t="inlineStr">
        <is>
          <t>이종석</t>
        </is>
      </c>
      <c r="K1262" s="46" t="n">
        <v>1261</v>
      </c>
      <c r="L1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3">
      <c r="A1263" s="229" t="n">
        <v>46133</v>
      </c>
      <c r="B1263" s="46" t="inlineStr">
        <is>
          <t>정기검사</t>
        </is>
      </c>
      <c r="C1263" s="46" t="inlineStr">
        <is>
          <t>김포지역</t>
        </is>
      </c>
      <c r="D1263" s="46" t="inlineStr">
        <is>
          <t>드림스퀘어</t>
        </is>
      </c>
      <c r="E1263" s="46" t="n">
        <v>18.56</v>
      </c>
      <c r="F1263" s="46" t="inlineStr">
        <is>
          <t>태리</t>
        </is>
      </c>
      <c r="G1263" s="50" t="n">
        <v>0.5833333333333334</v>
      </c>
      <c r="H1263" s="51" t="n">
        <v>94160</v>
      </c>
      <c r="I1263" s="46" t="inlineStr">
        <is>
          <t>정신배</t>
        </is>
      </c>
      <c r="K1263" s="46" t="n">
        <v>1262</v>
      </c>
      <c r="L1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4">
      <c r="A1264" s="229" t="n">
        <v>46133</v>
      </c>
      <c r="B1264" s="46" t="inlineStr">
        <is>
          <t>정기검사</t>
        </is>
      </c>
      <c r="C1264" s="46" t="inlineStr">
        <is>
          <t>김포지역</t>
        </is>
      </c>
      <c r="D1264" s="46" t="inlineStr">
        <is>
          <t>태화산업</t>
        </is>
      </c>
      <c r="E1264" s="46" t="n">
        <v>800</v>
      </c>
      <c r="F1264" s="46" t="inlineStr">
        <is>
          <t>약암리</t>
        </is>
      </c>
      <c r="G1264" s="50" t="n">
        <v>0.5416666666666666</v>
      </c>
      <c r="H1264" s="51" t="n">
        <v>838640</v>
      </c>
      <c r="I1264" s="46" t="inlineStr">
        <is>
          <t>김영권</t>
        </is>
      </c>
      <c r="K1264" s="46" t="n">
        <v>1263</v>
      </c>
      <c r="L1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5">
      <c r="A1265" s="229" t="n">
        <v>46133</v>
      </c>
      <c r="B1265" s="46" t="inlineStr">
        <is>
          <t>정기검사</t>
        </is>
      </c>
      <c r="C1265" s="46" t="inlineStr">
        <is>
          <t>김포지역</t>
        </is>
      </c>
      <c r="D1265" s="46" t="inlineStr">
        <is>
          <t>광인산업</t>
        </is>
      </c>
      <c r="E1265" s="46" t="n">
        <v>990</v>
      </c>
      <c r="F1265" s="46" t="inlineStr">
        <is>
          <t>오니산리</t>
        </is>
      </c>
      <c r="G1265" s="50" t="n">
        <v>0.5416666666666666</v>
      </c>
      <c r="H1265" s="51" t="n">
        <v>1014090</v>
      </c>
      <c r="I1265" s="46" t="inlineStr">
        <is>
          <t>정성관</t>
        </is>
      </c>
      <c r="K1265" s="46" t="n">
        <v>1264</v>
      </c>
      <c r="L1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6">
      <c r="A1266" s="229" t="n">
        <v>46133</v>
      </c>
      <c r="B1266" s="46" t="inlineStr">
        <is>
          <t>정기검사</t>
        </is>
      </c>
      <c r="C1266" s="46" t="inlineStr">
        <is>
          <t>김포지역</t>
        </is>
      </c>
      <c r="D1266" s="46" t="inlineStr">
        <is>
          <t>남강에프앤비</t>
        </is>
      </c>
      <c r="E1266" s="46" t="n">
        <v>200</v>
      </c>
      <c r="F1266" s="46" t="inlineStr">
        <is>
          <t>석모리</t>
        </is>
      </c>
      <c r="G1266" s="50" t="n">
        <v>0.4166666666666667</v>
      </c>
      <c r="H1266" s="51" t="n">
        <v>456720</v>
      </c>
      <c r="I1266" s="46" t="inlineStr">
        <is>
          <t>정신배</t>
        </is>
      </c>
      <c r="K1266" s="46" t="n">
        <v>1265</v>
      </c>
      <c r="L1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7">
      <c r="A1267" s="229" t="n">
        <v>46133</v>
      </c>
      <c r="B1267" s="46" t="inlineStr">
        <is>
          <t>정기검사</t>
        </is>
      </c>
      <c r="C1267" s="46" t="inlineStr">
        <is>
          <t>김포지역</t>
        </is>
      </c>
      <c r="D1267" s="46" t="inlineStr">
        <is>
          <t>동진테크</t>
        </is>
      </c>
      <c r="E1267" s="46" t="n">
        <v>149</v>
      </c>
      <c r="F1267" s="46" t="inlineStr">
        <is>
          <t>귀전리</t>
        </is>
      </c>
      <c r="G1267" s="50" t="n">
        <v>0.5416666666666666</v>
      </c>
      <c r="H1267" s="51" t="n">
        <v>231550</v>
      </c>
      <c r="I1267" s="46" t="inlineStr">
        <is>
          <t>우승택</t>
        </is>
      </c>
      <c r="K1267" s="46" t="n">
        <v>1266</v>
      </c>
      <c r="L1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8">
      <c r="A1268" s="229" t="n">
        <v>46133</v>
      </c>
      <c r="B1268" s="46" t="inlineStr">
        <is>
          <t>정기검사</t>
        </is>
      </c>
      <c r="C1268" s="46" t="inlineStr">
        <is>
          <t>김포지역</t>
        </is>
      </c>
      <c r="D1268" s="46" t="inlineStr">
        <is>
          <t>학운프라자</t>
        </is>
      </c>
      <c r="E1268" s="46" t="n">
        <v>99</v>
      </c>
      <c r="F1268" s="46" t="inlineStr">
        <is>
          <t>학운리</t>
        </is>
      </c>
      <c r="G1268" s="50" t="n">
        <v>0.4375</v>
      </c>
      <c r="H1268" s="51" t="n">
        <v>255530</v>
      </c>
      <c r="I1268" s="46" t="inlineStr">
        <is>
          <t>허창수</t>
        </is>
      </c>
      <c r="K1268" s="46" t="n">
        <v>1267</v>
      </c>
      <c r="L1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9">
      <c r="A1269" s="229" t="n">
        <v>46133</v>
      </c>
      <c r="B1269" s="46" t="inlineStr">
        <is>
          <t>메모</t>
        </is>
      </c>
      <c r="C1269" s="46" t="inlineStr">
        <is>
          <t>부천지역</t>
        </is>
      </c>
      <c r="D1269" s="46" t="inlineStr">
        <is>
          <t>한태희휴가</t>
        </is>
      </c>
      <c r="E1269" s="46" t="n"/>
      <c r="F1269" s="46" t="n"/>
      <c r="G1269" s="50" t="n"/>
      <c r="H1269" s="51" t="n"/>
      <c r="I1269" s="46" t="n"/>
      <c r="K1269" s="46" t="n">
        <v>1268</v>
      </c>
      <c r="L1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0">
      <c r="A1270" s="229" t="n">
        <v>46133</v>
      </c>
      <c r="B1270" s="46" t="inlineStr">
        <is>
          <t>사용전검사</t>
        </is>
      </c>
      <c r="C1270" s="46" t="inlineStr">
        <is>
          <t>김포지역</t>
        </is>
      </c>
      <c r="D1270" s="46" t="inlineStr">
        <is>
          <t>그린라이트1호</t>
        </is>
      </c>
      <c r="E1270" s="46" t="n">
        <v>77</v>
      </c>
      <c r="F1270" s="46" t="inlineStr">
        <is>
          <t>갈산리</t>
        </is>
      </c>
      <c r="G1270" s="50" t="n"/>
      <c r="H1270" s="51" t="n"/>
      <c r="I1270" s="46" t="inlineStr">
        <is>
          <t>송두기</t>
        </is>
      </c>
      <c r="K1270" s="46" t="n">
        <v>1269</v>
      </c>
      <c r="L1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1">
      <c r="A1271" s="229" t="n">
        <v>46133</v>
      </c>
      <c r="B1271" s="46" t="inlineStr">
        <is>
          <t>사용전검사</t>
        </is>
      </c>
      <c r="C1271" s="46" t="inlineStr">
        <is>
          <t>김포지역</t>
        </is>
      </c>
      <c r="D1271" s="46" t="inlineStr">
        <is>
          <t>그린라이트2호</t>
        </is>
      </c>
      <c r="E1271" s="46" t="n">
        <v>78</v>
      </c>
      <c r="F1271" s="46" t="inlineStr">
        <is>
          <t>갈산리</t>
        </is>
      </c>
      <c r="G1271" s="50" t="n"/>
      <c r="H1271" s="51" t="n"/>
      <c r="I1271" s="46" t="inlineStr">
        <is>
          <t>송두기</t>
        </is>
      </c>
      <c r="K1271" s="46" t="n">
        <v>1270</v>
      </c>
      <c r="L1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2">
      <c r="A1272" s="229" t="n">
        <v>46133</v>
      </c>
      <c r="B1272" s="46" t="inlineStr">
        <is>
          <t>사용전검사</t>
        </is>
      </c>
      <c r="C1272" s="46" t="inlineStr">
        <is>
          <t>김포지역</t>
        </is>
      </c>
      <c r="D1272" s="46" t="inlineStr">
        <is>
          <t>그린라이트3호</t>
        </is>
      </c>
      <c r="E1272" s="46" t="n">
        <v>79</v>
      </c>
      <c r="F1272" s="46" t="inlineStr">
        <is>
          <t>갈산리</t>
        </is>
      </c>
      <c r="G1272" s="50" t="n"/>
      <c r="H1272" s="51" t="n"/>
      <c r="I1272" s="46" t="inlineStr">
        <is>
          <t>송두기</t>
        </is>
      </c>
      <c r="K1272" s="46" t="n">
        <v>1271</v>
      </c>
      <c r="L1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3">
      <c r="A1273" s="229" t="n">
        <v>46133</v>
      </c>
      <c r="B1273" s="46" t="inlineStr">
        <is>
          <t>사용전검사</t>
        </is>
      </c>
      <c r="C1273" s="46" t="inlineStr">
        <is>
          <t>김포지역</t>
        </is>
      </c>
      <c r="D1273" s="46" t="inlineStr">
        <is>
          <t>제일태양광</t>
        </is>
      </c>
      <c r="E1273" s="46" t="n">
        <v>111</v>
      </c>
      <c r="F1273" s="46" t="inlineStr">
        <is>
          <t>학운리</t>
        </is>
      </c>
      <c r="G1273" s="50" t="n"/>
      <c r="H1273" s="51" t="n"/>
      <c r="I1273" s="46" t="inlineStr">
        <is>
          <t>허창수</t>
        </is>
      </c>
      <c r="K1273" s="46" t="n">
        <v>1272</v>
      </c>
      <c r="L1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4">
      <c r="A1274" s="229" t="n">
        <v>46134</v>
      </c>
      <c r="B1274" s="46" t="inlineStr">
        <is>
          <t>정기검사</t>
        </is>
      </c>
      <c r="C1274" s="46" t="inlineStr">
        <is>
          <t>부천지역</t>
        </is>
      </c>
      <c r="D1274" s="46" t="inlineStr">
        <is>
          <t>트리플타워B</t>
        </is>
      </c>
      <c r="E1274" s="46" t="inlineStr">
        <is>
          <t>950/237</t>
        </is>
      </c>
      <c r="F1274" s="46" t="inlineStr">
        <is>
          <t>중동</t>
        </is>
      </c>
      <c r="G1274" s="50" t="n">
        <v>0.3958333333333333</v>
      </c>
      <c r="H1274" s="51" t="n">
        <v>1095820</v>
      </c>
      <c r="I1274" s="46" t="inlineStr">
        <is>
          <t>서수형</t>
        </is>
      </c>
      <c r="K1274" s="46" t="n">
        <v>1273</v>
      </c>
      <c r="L1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5">
      <c r="A1275" s="229" t="n">
        <v>46134</v>
      </c>
      <c r="B1275" s="46" t="inlineStr">
        <is>
          <t>정기검사</t>
        </is>
      </c>
      <c r="C1275" s="46" t="inlineStr">
        <is>
          <t>부천지역</t>
        </is>
      </c>
      <c r="D1275" s="46" t="inlineStr">
        <is>
          <t>동일석유</t>
        </is>
      </c>
      <c r="E1275" s="46" t="inlineStr">
        <is>
          <t>150/145</t>
        </is>
      </c>
      <c r="F1275" s="46" t="inlineStr">
        <is>
          <t>삼정동</t>
        </is>
      </c>
      <c r="G1275" s="50" t="n">
        <v>0.4375</v>
      </c>
      <c r="H1275" s="51" t="n">
        <v>603680</v>
      </c>
      <c r="I1275" s="46" t="inlineStr">
        <is>
          <t>서수형</t>
        </is>
      </c>
      <c r="K1275" s="46" t="n">
        <v>1274</v>
      </c>
      <c r="L1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6">
      <c r="A1276" s="229" t="n">
        <v>46134</v>
      </c>
      <c r="B1276" s="46" t="inlineStr">
        <is>
          <t>정기검사</t>
        </is>
      </c>
      <c r="C1276" s="46" t="inlineStr">
        <is>
          <t>부천지역</t>
        </is>
      </c>
      <c r="D1276" s="46" t="inlineStr">
        <is>
          <t>부천폴리백</t>
        </is>
      </c>
      <c r="E1276" s="46" t="n">
        <v>290</v>
      </c>
      <c r="F1276" s="46" t="inlineStr">
        <is>
          <t>삼정동</t>
        </is>
      </c>
      <c r="G1276" s="50" t="n">
        <v>0.5208333333333334</v>
      </c>
      <c r="H1276" s="51" t="n">
        <v>515130</v>
      </c>
      <c r="I1276" s="46" t="inlineStr">
        <is>
          <t>이종석</t>
        </is>
      </c>
      <c r="K1276" s="46" t="n">
        <v>1275</v>
      </c>
      <c r="L1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7">
      <c r="A1277" s="229" t="n">
        <v>46134</v>
      </c>
      <c r="B1277" s="46" t="inlineStr">
        <is>
          <t>정기검사</t>
        </is>
      </c>
      <c r="C1277" s="46" t="inlineStr">
        <is>
          <t>부천지역</t>
        </is>
      </c>
      <c r="D1277" s="46" t="inlineStr">
        <is>
          <t>청담더마크</t>
        </is>
      </c>
      <c r="E1277" s="46" t="inlineStr">
        <is>
          <t>990/491</t>
        </is>
      </c>
      <c r="F1277" s="46" t="inlineStr">
        <is>
          <t>심곡본동</t>
        </is>
      </c>
      <c r="G1277" s="50" t="n">
        <v>0.3958333333333333</v>
      </c>
      <c r="H1277" s="51" t="n">
        <v>1158190</v>
      </c>
      <c r="I1277" s="46" t="inlineStr">
        <is>
          <t>허창수</t>
        </is>
      </c>
      <c r="K1277" s="46" t="n">
        <v>1276</v>
      </c>
      <c r="L1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8">
      <c r="A1278" s="229" t="n">
        <v>46134</v>
      </c>
      <c r="B1278" s="46" t="inlineStr">
        <is>
          <t>정기검사</t>
        </is>
      </c>
      <c r="C1278" s="46" t="inlineStr">
        <is>
          <t>부천지역</t>
        </is>
      </c>
      <c r="D1278" s="46" t="inlineStr">
        <is>
          <t>트리플타워A</t>
        </is>
      </c>
      <c r="E1278" s="46" t="inlineStr">
        <is>
          <t>950/236</t>
        </is>
      </c>
      <c r="F1278" s="46" t="inlineStr">
        <is>
          <t>중동</t>
        </is>
      </c>
      <c r="G1278" s="50" t="n">
        <v>0.3958333333333333</v>
      </c>
      <c r="H1278" s="51" t="n">
        <v>1095820</v>
      </c>
      <c r="I1278" s="46" t="inlineStr">
        <is>
          <t>송낙명</t>
        </is>
      </c>
      <c r="K1278" s="46" t="n">
        <v>1277</v>
      </c>
      <c r="L1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9">
      <c r="A1279" s="229" t="n">
        <v>46134</v>
      </c>
      <c r="B1279" s="46" t="inlineStr">
        <is>
          <t>정기검사</t>
        </is>
      </c>
      <c r="C1279" s="46" t="inlineStr">
        <is>
          <t>부천지역</t>
        </is>
      </c>
      <c r="D1279" s="46" t="inlineStr">
        <is>
          <t>올데이티</t>
        </is>
      </c>
      <c r="E1279" s="46" t="n">
        <v>290</v>
      </c>
      <c r="F1279" s="46" t="inlineStr">
        <is>
          <t>중동</t>
        </is>
      </c>
      <c r="G1279" s="50" t="n">
        <v>0.5416666666666666</v>
      </c>
      <c r="H1279" s="51" t="n">
        <v>515130</v>
      </c>
      <c r="I1279" s="46" t="inlineStr">
        <is>
          <t>송낙명</t>
        </is>
      </c>
      <c r="K1279" s="46" t="n">
        <v>1278</v>
      </c>
      <c r="L1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0">
      <c r="A1280" s="229" t="n">
        <v>46134</v>
      </c>
      <c r="B1280" s="46" t="inlineStr">
        <is>
          <t>정기검사</t>
        </is>
      </c>
      <c r="C1280" s="46" t="inlineStr">
        <is>
          <t>김포지역</t>
        </is>
      </c>
      <c r="D1280" s="46" t="inlineStr">
        <is>
          <t>삼현화학</t>
        </is>
      </c>
      <c r="E1280" s="46" t="n">
        <v>400</v>
      </c>
      <c r="F1280" s="46" t="inlineStr">
        <is>
          <t>갈산리</t>
        </is>
      </c>
      <c r="G1280" s="50" t="n">
        <v>0.5</v>
      </c>
      <c r="H1280" s="51" t="n">
        <v>703120</v>
      </c>
      <c r="I1280" s="46" t="inlineStr">
        <is>
          <t>우승택</t>
        </is>
      </c>
      <c r="K1280" s="46" t="n">
        <v>1279</v>
      </c>
      <c r="L1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1">
      <c r="A1281" s="229" t="n">
        <v>46134</v>
      </c>
      <c r="B1281" s="46" t="inlineStr">
        <is>
          <t>정기검사</t>
        </is>
      </c>
      <c r="C1281" s="46" t="inlineStr">
        <is>
          <t>김포지역</t>
        </is>
      </c>
      <c r="D1281" s="46" t="inlineStr">
        <is>
          <t>향산중계펌프장</t>
        </is>
      </c>
      <c r="E1281" s="46" t="n">
        <v>800</v>
      </c>
      <c r="F1281" s="46" t="inlineStr">
        <is>
          <t>향산리</t>
        </is>
      </c>
      <c r="G1281" s="50" t="n">
        <v>0.25</v>
      </c>
      <c r="H1281" s="51" t="n">
        <v>1145760</v>
      </c>
      <c r="I1281" s="46" t="inlineStr">
        <is>
          <t>민재홍</t>
        </is>
      </c>
      <c r="K1281" s="46" t="n">
        <v>1280</v>
      </c>
      <c r="L1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2">
      <c r="A1282" s="229" t="n">
        <v>46134</v>
      </c>
      <c r="B1282" s="46" t="inlineStr">
        <is>
          <t>정기검사</t>
        </is>
      </c>
      <c r="C1282" s="46" t="inlineStr">
        <is>
          <t>김포지역</t>
        </is>
      </c>
      <c r="D1282" s="46" t="inlineStr">
        <is>
          <t>청라에너지</t>
        </is>
      </c>
      <c r="E1282" s="46" t="n">
        <v>8500</v>
      </c>
      <c r="F1282" s="46" t="inlineStr">
        <is>
          <t>마산동</t>
        </is>
      </c>
      <c r="G1282" s="50" t="n">
        <v>0.3958333333333333</v>
      </c>
      <c r="H1282" s="51" t="n">
        <v>2039950</v>
      </c>
      <c r="I1282" s="46" t="inlineStr">
        <is>
          <t>민경수</t>
        </is>
      </c>
      <c r="K1282" s="46" t="n">
        <v>1281</v>
      </c>
      <c r="L1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3">
      <c r="A1283" s="229" t="n">
        <v>46134</v>
      </c>
      <c r="B1283" s="46" t="inlineStr">
        <is>
          <t>정기검사</t>
        </is>
      </c>
      <c r="C1283" s="46" t="inlineStr">
        <is>
          <t>김포지역</t>
        </is>
      </c>
      <c r="D1283" s="46" t="inlineStr">
        <is>
          <t>유한캐스터</t>
        </is>
      </c>
      <c r="E1283" s="46" t="n">
        <v>400</v>
      </c>
      <c r="F1283" s="46" t="inlineStr">
        <is>
          <t>양택리</t>
        </is>
      </c>
      <c r="G1283" s="50" t="n">
        <v>0.4791666666666667</v>
      </c>
      <c r="H1283" s="51" t="n">
        <v>703120</v>
      </c>
      <c r="I1283" s="46" t="inlineStr">
        <is>
          <t>김영권</t>
        </is>
      </c>
      <c r="K1283" s="46" t="n">
        <v>1282</v>
      </c>
      <c r="L1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4">
      <c r="A1284" s="229" t="n">
        <v>46134</v>
      </c>
      <c r="B1284" s="46" t="inlineStr">
        <is>
          <t>정기검사</t>
        </is>
      </c>
      <c r="C1284" s="46" t="inlineStr">
        <is>
          <t>김포지역</t>
        </is>
      </c>
      <c r="D1284" s="46" t="inlineStr">
        <is>
          <t>티에스에어</t>
        </is>
      </c>
      <c r="E1284" s="46" t="n">
        <v>290</v>
      </c>
      <c r="F1284" s="46" t="inlineStr">
        <is>
          <t>학운리</t>
        </is>
      </c>
      <c r="G1284" s="50" t="n">
        <v>0.4722222222222222</v>
      </c>
      <c r="H1284" s="51" t="n">
        <v>515130</v>
      </c>
      <c r="I1284" s="46" t="inlineStr">
        <is>
          <t>정성관</t>
        </is>
      </c>
      <c r="K1284" s="46" t="n">
        <v>1283</v>
      </c>
      <c r="L1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5">
      <c r="A1285" s="229" t="n">
        <v>46134</v>
      </c>
      <c r="B1285" s="46" t="inlineStr">
        <is>
          <t>정기검사</t>
        </is>
      </c>
      <c r="C1285" s="46" t="inlineStr">
        <is>
          <t>김포지역</t>
        </is>
      </c>
      <c r="D1285" s="46" t="inlineStr">
        <is>
          <t>라베니체마치에비뉴</t>
        </is>
      </c>
      <c r="E1285" s="46" t="inlineStr">
        <is>
          <t>750/182</t>
        </is>
      </c>
      <c r="F1285" s="46" t="inlineStr">
        <is>
          <t>장기동</t>
        </is>
      </c>
      <c r="G1285" s="50" t="n">
        <v>0.4166666666666667</v>
      </c>
      <c r="H1285" s="51" t="n">
        <v>1012110</v>
      </c>
      <c r="I1285" s="46" t="inlineStr">
        <is>
          <t>정신배</t>
        </is>
      </c>
      <c r="K1285" s="46" t="n">
        <v>1284</v>
      </c>
      <c r="L1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6">
      <c r="A1286" s="229" t="n">
        <v>46134</v>
      </c>
      <c r="B1286" s="46" t="inlineStr">
        <is>
          <t>정기검사</t>
        </is>
      </c>
      <c r="C1286" s="46" t="inlineStr">
        <is>
          <t>김포지역</t>
        </is>
      </c>
      <c r="D1286" s="46" t="inlineStr">
        <is>
          <t>스타코프</t>
        </is>
      </c>
      <c r="E1286" s="46" t="inlineStr">
        <is>
          <t>전기차</t>
        </is>
      </c>
      <c r="F1286" s="46" t="inlineStr">
        <is>
          <t>태리</t>
        </is>
      </c>
      <c r="G1286" s="50" t="n">
        <v>0.4166666666666667</v>
      </c>
      <c r="H1286" s="51" t="n">
        <v>216700</v>
      </c>
      <c r="I1286" s="46" t="inlineStr">
        <is>
          <t>정성관</t>
        </is>
      </c>
      <c r="K1286" s="46" t="n">
        <v>1285</v>
      </c>
      <c r="L1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7">
      <c r="A1287" s="229" t="n">
        <v>46134</v>
      </c>
      <c r="B1287" s="46" t="inlineStr">
        <is>
          <t>정기검사</t>
        </is>
      </c>
      <c r="C1287" s="46" t="inlineStr">
        <is>
          <t>김포지역</t>
        </is>
      </c>
      <c r="D1287" s="46" t="inlineStr">
        <is>
          <t>한국전력공사</t>
        </is>
      </c>
      <c r="E1287" s="46" t="inlineStr">
        <is>
          <t>전기차</t>
        </is>
      </c>
      <c r="F1287" s="46" t="inlineStr">
        <is>
          <t>북변동</t>
        </is>
      </c>
      <c r="G1287" s="50" t="n">
        <v>0.4166666666666667</v>
      </c>
      <c r="H1287" s="51" t="n">
        <v>254540</v>
      </c>
      <c r="I1287" s="46" t="inlineStr">
        <is>
          <t>정신배</t>
        </is>
      </c>
      <c r="K1287" s="46" t="n">
        <v>1286</v>
      </c>
      <c r="L1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8">
      <c r="A1288" s="229" t="n">
        <v>46134</v>
      </c>
      <c r="B1288" s="46" t="inlineStr">
        <is>
          <t>정기검사</t>
        </is>
      </c>
      <c r="C1288" s="46" t="inlineStr">
        <is>
          <t>김포지역</t>
        </is>
      </c>
      <c r="D1288" s="46" t="inlineStr">
        <is>
          <t>포병연대306</t>
        </is>
      </c>
      <c r="E1288" s="46" t="n">
        <v>350</v>
      </c>
      <c r="F1288" s="46" t="inlineStr">
        <is>
          <t>고양리</t>
        </is>
      </c>
      <c r="G1288" s="50" t="n">
        <v>0.4375</v>
      </c>
      <c r="H1288" s="51" t="n">
        <v>686180</v>
      </c>
      <c r="I1288" s="46" t="inlineStr">
        <is>
          <t>한태희</t>
        </is>
      </c>
      <c r="K1288" s="46" t="n">
        <v>1287</v>
      </c>
      <c r="L1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9">
      <c r="A1289" s="229" t="n">
        <v>46134</v>
      </c>
      <c r="B1289" s="46" t="inlineStr">
        <is>
          <t>사용전검사</t>
        </is>
      </c>
      <c r="C1289" s="46" t="inlineStr">
        <is>
          <t>부천지역</t>
        </is>
      </c>
      <c r="D1289" s="46" t="inlineStr">
        <is>
          <t>은진주택</t>
        </is>
      </c>
      <c r="E1289" s="46" t="inlineStr">
        <is>
          <t>700/491</t>
        </is>
      </c>
      <c r="F1289" s="46" t="inlineStr">
        <is>
          <t>심곡동</t>
        </is>
      </c>
      <c r="G1289" s="50" t="n"/>
      <c r="H1289" s="51" t="n"/>
      <c r="I1289" s="46" t="inlineStr">
        <is>
          <t>이종석</t>
        </is>
      </c>
      <c r="K1289" s="46" t="n">
        <v>1288</v>
      </c>
      <c r="L1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0">
      <c r="A1290" s="229" t="n">
        <v>46134</v>
      </c>
      <c r="B1290" s="46" t="inlineStr">
        <is>
          <t>사용전검사</t>
        </is>
      </c>
      <c r="C1290" s="46" t="inlineStr">
        <is>
          <t>부천지역</t>
        </is>
      </c>
      <c r="D1290" s="46" t="inlineStr">
        <is>
          <t>제일수산</t>
        </is>
      </c>
      <c r="E1290" s="46" t="n">
        <v>12</v>
      </c>
      <c r="F1290" s="46" t="inlineStr">
        <is>
          <t>역곡</t>
        </is>
      </c>
      <c r="G1290" s="50" t="n"/>
      <c r="H1290" s="51" t="n"/>
      <c r="I1290" s="46" t="inlineStr">
        <is>
          <t>서수형</t>
        </is>
      </c>
      <c r="K1290" s="46" t="n">
        <v>1289</v>
      </c>
      <c r="L1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1">
      <c r="A1291" s="229" t="n">
        <v>46134</v>
      </c>
      <c r="B1291" s="46" t="inlineStr">
        <is>
          <t>메모</t>
        </is>
      </c>
      <c r="C1291" s="46" t="inlineStr">
        <is>
          <t>부천지역</t>
        </is>
      </c>
      <c r="D1291" s="46" t="inlineStr">
        <is>
          <t>이덕기휴가</t>
        </is>
      </c>
      <c r="E1291" s="46" t="n"/>
      <c r="F1291" s="46" t="n"/>
      <c r="G1291" s="50" t="n"/>
      <c r="H1291" s="51" t="n"/>
      <c r="I1291" s="46" t="n"/>
      <c r="K1291" s="46" t="n">
        <v>1290</v>
      </c>
      <c r="L1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2">
      <c r="A1292" s="229" t="n">
        <v>46134</v>
      </c>
      <c r="B1292" s="46" t="inlineStr">
        <is>
          <t>사용전검사</t>
        </is>
      </c>
      <c r="C1292" s="46" t="inlineStr">
        <is>
          <t>김포지역</t>
        </is>
      </c>
      <c r="D1292" s="46" t="inlineStr">
        <is>
          <t>대산1호</t>
        </is>
      </c>
      <c r="E1292" s="46" t="n">
        <v>88</v>
      </c>
      <c r="F1292" s="46" t="inlineStr">
        <is>
          <t>송마리</t>
        </is>
      </c>
      <c r="G1292" s="50" t="n"/>
      <c r="H1292" s="51" t="n"/>
      <c r="I1292" s="46" t="inlineStr">
        <is>
          <t>송두기</t>
        </is>
      </c>
      <c r="K1292" s="46" t="n">
        <v>1291</v>
      </c>
      <c r="L1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3">
      <c r="A1293" s="229" t="n">
        <v>46134</v>
      </c>
      <c r="B1293" s="46" t="inlineStr">
        <is>
          <t>사용전검사</t>
        </is>
      </c>
      <c r="C1293" s="46" t="inlineStr">
        <is>
          <t>김포지역</t>
        </is>
      </c>
      <c r="D1293" s="46" t="inlineStr">
        <is>
          <t>대산2호</t>
        </is>
      </c>
      <c r="E1293" s="46" t="n">
        <v>89</v>
      </c>
      <c r="F1293" s="46" t="inlineStr">
        <is>
          <t>송마리</t>
        </is>
      </c>
      <c r="G1293" s="50" t="n"/>
      <c r="H1293" s="51" t="n"/>
      <c r="I1293" s="46" t="inlineStr">
        <is>
          <t>송두기</t>
        </is>
      </c>
      <c r="K1293" s="46" t="n">
        <v>1292</v>
      </c>
      <c r="L1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4">
      <c r="A1294" s="229" t="n">
        <v>46134</v>
      </c>
      <c r="B1294" s="46" t="inlineStr">
        <is>
          <t>사용전검사</t>
        </is>
      </c>
      <c r="C1294" s="46" t="inlineStr">
        <is>
          <t>김포지역</t>
        </is>
      </c>
      <c r="D1294" s="46" t="inlineStr">
        <is>
          <t>대산3호</t>
        </is>
      </c>
      <c r="E1294" s="46" t="n">
        <v>90</v>
      </c>
      <c r="F1294" s="46" t="inlineStr">
        <is>
          <t>송마리</t>
        </is>
      </c>
      <c r="G1294" s="50" t="n"/>
      <c r="H1294" s="51" t="n"/>
      <c r="I1294" s="46" t="inlineStr">
        <is>
          <t>송두기</t>
        </is>
      </c>
      <c r="K1294" s="46" t="n">
        <v>1293</v>
      </c>
      <c r="L1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5">
      <c r="A1295" s="229" t="n">
        <v>46134</v>
      </c>
      <c r="B1295" s="46" t="inlineStr">
        <is>
          <t>사용전검사</t>
        </is>
      </c>
      <c r="C1295" s="46" t="inlineStr">
        <is>
          <t>김포지역</t>
        </is>
      </c>
      <c r="D1295" s="46" t="inlineStr">
        <is>
          <t>대능</t>
        </is>
      </c>
      <c r="E1295" s="46" t="n">
        <v>69</v>
      </c>
      <c r="F1295" s="46" t="inlineStr">
        <is>
          <t>대능리</t>
        </is>
      </c>
      <c r="G1295" s="50" t="n"/>
      <c r="H1295" s="51" t="n"/>
      <c r="I1295" s="46" t="inlineStr">
        <is>
          <t>민재홍</t>
        </is>
      </c>
      <c r="K1295" s="46" t="n">
        <v>1294</v>
      </c>
      <c r="L1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6">
      <c r="A1296" s="229" t="n">
        <v>46135</v>
      </c>
      <c r="B1296" s="46" t="inlineStr">
        <is>
          <t>정기검사</t>
        </is>
      </c>
      <c r="C1296" s="46" t="inlineStr">
        <is>
          <t>부천지역</t>
        </is>
      </c>
      <c r="D1296" s="46" t="inlineStr">
        <is>
          <t>트리플타워C</t>
        </is>
      </c>
      <c r="E1296" s="46" t="inlineStr">
        <is>
          <t>950/238</t>
        </is>
      </c>
      <c r="F1296" s="46" t="inlineStr">
        <is>
          <t>중동</t>
        </is>
      </c>
      <c r="G1296" s="50" t="n">
        <v>0.4791666666666667</v>
      </c>
      <c r="H1296" s="51" t="n">
        <v>1095820</v>
      </c>
      <c r="I1296" s="46" t="inlineStr">
        <is>
          <t>송낙명</t>
        </is>
      </c>
      <c r="K1296" s="46" t="n">
        <v>1295</v>
      </c>
      <c r="L1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7">
      <c r="A1297" s="229" t="n">
        <v>46135</v>
      </c>
      <c r="B1297" s="46" t="inlineStr">
        <is>
          <t>정기검사</t>
        </is>
      </c>
      <c r="C1297" s="46" t="inlineStr">
        <is>
          <t>부천지역</t>
        </is>
      </c>
      <c r="D1297" s="46" t="inlineStr">
        <is>
          <t>토성프라자</t>
        </is>
      </c>
      <c r="E1297" s="46" t="inlineStr">
        <is>
          <t>400/114</t>
        </is>
      </c>
      <c r="F1297" s="46" t="inlineStr">
        <is>
          <t>상동</t>
        </is>
      </c>
      <c r="G1297" s="50" t="n">
        <v>0.4166666666666667</v>
      </c>
      <c r="H1297" s="51" t="n">
        <v>873400</v>
      </c>
      <c r="I1297" s="46" t="inlineStr">
        <is>
          <t>송두기</t>
        </is>
      </c>
      <c r="K1297" s="46" t="n">
        <v>1296</v>
      </c>
      <c r="L1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8">
      <c r="A1298" s="229" t="n">
        <v>46135</v>
      </c>
      <c r="B1298" s="46" t="inlineStr">
        <is>
          <t>정기검사</t>
        </is>
      </c>
      <c r="C1298" s="46" t="inlineStr">
        <is>
          <t>부천지역</t>
        </is>
      </c>
      <c r="D1298" s="46" t="inlineStr">
        <is>
          <t>매일식품</t>
        </is>
      </c>
      <c r="E1298" s="46" t="n">
        <v>950</v>
      </c>
      <c r="F1298" s="46" t="inlineStr">
        <is>
          <t>도당동</t>
        </is>
      </c>
      <c r="G1298" s="50" t="n">
        <v>0.6041666666666666</v>
      </c>
      <c r="H1298" s="51" t="n">
        <v>889460</v>
      </c>
      <c r="I1298" s="46" t="inlineStr">
        <is>
          <t>김영권</t>
        </is>
      </c>
      <c r="K1298" s="46" t="n">
        <v>1297</v>
      </c>
      <c r="L1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9">
      <c r="A1299" s="229" t="n">
        <v>46135</v>
      </c>
      <c r="B1299" s="46" t="inlineStr">
        <is>
          <t>정기검사</t>
        </is>
      </c>
      <c r="C1299" s="46" t="inlineStr">
        <is>
          <t>부천지역</t>
        </is>
      </c>
      <c r="D1299" s="46" t="inlineStr">
        <is>
          <t>효원상사</t>
        </is>
      </c>
      <c r="E1299" s="46" t="n">
        <v>700</v>
      </c>
      <c r="F1299" s="46" t="inlineStr">
        <is>
          <t>내동</t>
        </is>
      </c>
      <c r="G1299" s="50" t="n">
        <v>0.5</v>
      </c>
      <c r="H1299" s="51" t="n">
        <v>804760</v>
      </c>
      <c r="I1299" s="46" t="inlineStr">
        <is>
          <t>송두기</t>
        </is>
      </c>
      <c r="K1299" s="46" t="n">
        <v>1298</v>
      </c>
      <c r="L1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0">
      <c r="A1300" s="229" t="n">
        <v>46135</v>
      </c>
      <c r="B1300" s="46" t="inlineStr">
        <is>
          <t>정기검사</t>
        </is>
      </c>
      <c r="C1300" s="46" t="inlineStr">
        <is>
          <t>부천지역</t>
        </is>
      </c>
      <c r="D1300" s="46" t="inlineStr">
        <is>
          <t>우송송내아파트</t>
        </is>
      </c>
      <c r="E1300" s="46" t="inlineStr">
        <is>
          <t>1700/350</t>
        </is>
      </c>
      <c r="F1300" s="46" t="inlineStr">
        <is>
          <t>송내동</t>
        </is>
      </c>
      <c r="G1300" s="50" t="n">
        <v>0.5833333333333334</v>
      </c>
      <c r="H1300" s="51" t="n">
        <v>1233760</v>
      </c>
      <c r="I1300" s="46" t="inlineStr">
        <is>
          <t>우승택</t>
        </is>
      </c>
      <c r="K1300" s="46" t="n">
        <v>1299</v>
      </c>
      <c r="L1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1">
      <c r="A1301" s="229" t="n">
        <v>46135</v>
      </c>
      <c r="B1301" s="46" t="inlineStr">
        <is>
          <t>정기검사</t>
        </is>
      </c>
      <c r="C1301" s="46" t="inlineStr">
        <is>
          <t>부천지역</t>
        </is>
      </c>
      <c r="D1301" s="46" t="inlineStr">
        <is>
          <t>푸르지오상가</t>
        </is>
      </c>
      <c r="E1301" s="46" t="n">
        <v>250</v>
      </c>
      <c r="F1301" s="46" t="inlineStr">
        <is>
          <t>송내동</t>
        </is>
      </c>
      <c r="G1301" s="50" t="n">
        <v>0.3958333333333333</v>
      </c>
      <c r="H1301" s="51" t="n">
        <v>489170</v>
      </c>
      <c r="I1301" s="46" t="inlineStr">
        <is>
          <t>한태희</t>
        </is>
      </c>
      <c r="K1301" s="46" t="n">
        <v>1300</v>
      </c>
      <c r="L1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2">
      <c r="A1302" s="229" t="n">
        <v>46135</v>
      </c>
      <c r="B1302" s="46" t="inlineStr">
        <is>
          <t>정기검사</t>
        </is>
      </c>
      <c r="C1302" s="46" t="inlineStr">
        <is>
          <t>부천지역</t>
        </is>
      </c>
      <c r="D1302" s="46" t="inlineStr">
        <is>
          <t>성모병원</t>
        </is>
      </c>
      <c r="E1302" s="46" t="inlineStr">
        <is>
          <t>전기차</t>
        </is>
      </c>
      <c r="F1302" s="46" t="inlineStr">
        <is>
          <t>소사동</t>
        </is>
      </c>
      <c r="G1302" s="50" t="n">
        <v>0.6458333333333334</v>
      </c>
      <c r="H1302" s="51" t="n">
        <v>81180</v>
      </c>
      <c r="I1302" s="46" t="inlineStr">
        <is>
          <t>한태희</t>
        </is>
      </c>
      <c r="K1302" s="46" t="n">
        <v>1301</v>
      </c>
      <c r="L1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3">
      <c r="A1303" s="229" t="n">
        <v>46135</v>
      </c>
      <c r="B1303" s="46" t="inlineStr">
        <is>
          <t>정기검사</t>
        </is>
      </c>
      <c r="C1303" s="46" t="inlineStr">
        <is>
          <t>부천지역</t>
        </is>
      </c>
      <c r="D1303" s="46" t="inlineStr">
        <is>
          <t>조은수산</t>
        </is>
      </c>
      <c r="E1303" s="46" t="n">
        <v>700</v>
      </c>
      <c r="F1303" s="46" t="inlineStr">
        <is>
          <t>도당동</t>
        </is>
      </c>
      <c r="G1303" s="50" t="n">
        <v>0.5</v>
      </c>
      <c r="H1303" s="51" t="n">
        <v>804760</v>
      </c>
      <c r="I1303" s="46" t="inlineStr">
        <is>
          <t>송낙명</t>
        </is>
      </c>
      <c r="K1303" s="46" t="n">
        <v>1302</v>
      </c>
      <c r="L1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4">
      <c r="A1304" s="229" t="n">
        <v>46135</v>
      </c>
      <c r="B1304" s="46" t="inlineStr">
        <is>
          <t>정기검사</t>
        </is>
      </c>
      <c r="C1304" s="46" t="inlineStr">
        <is>
          <t>김포지역</t>
        </is>
      </c>
      <c r="D1304" s="46" t="inlineStr">
        <is>
          <t>도우빌딩</t>
        </is>
      </c>
      <c r="E1304" s="46" t="n">
        <v>200</v>
      </c>
      <c r="F1304" s="46" t="inlineStr">
        <is>
          <t>고촌</t>
        </is>
      </c>
      <c r="G1304" s="50" t="n">
        <v>0.3958333333333333</v>
      </c>
      <c r="H1304" s="51" t="n">
        <v>456720</v>
      </c>
      <c r="I1304" s="46" t="inlineStr">
        <is>
          <t>정성관</t>
        </is>
      </c>
      <c r="K1304" s="46" t="n">
        <v>1303</v>
      </c>
      <c r="L1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5">
      <c r="A1305" s="229" t="n">
        <v>46135</v>
      </c>
      <c r="B1305" s="46" t="inlineStr">
        <is>
          <t>정기검사</t>
        </is>
      </c>
      <c r="C1305" s="46" t="inlineStr">
        <is>
          <t>김포지역</t>
        </is>
      </c>
      <c r="D1305" s="46" t="inlineStr">
        <is>
          <t>코스고리아</t>
        </is>
      </c>
      <c r="E1305" s="46" t="inlineStr">
        <is>
          <t>757/273</t>
        </is>
      </c>
      <c r="F1305" s="46" t="inlineStr">
        <is>
          <t>고촌</t>
        </is>
      </c>
      <c r="G1305" s="50" t="n">
        <v>0.25</v>
      </c>
      <c r="H1305" s="51" t="n">
        <v>1434290</v>
      </c>
      <c r="I1305" s="46" t="inlineStr">
        <is>
          <t>허창수</t>
        </is>
      </c>
      <c r="K1305" s="46" t="n">
        <v>1304</v>
      </c>
      <c r="L1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6">
      <c r="A1306" s="229" t="n">
        <v>46135</v>
      </c>
      <c r="B1306" s="46" t="inlineStr">
        <is>
          <t>정기검사</t>
        </is>
      </c>
      <c r="C1306" s="46" t="inlineStr">
        <is>
          <t>김포지역</t>
        </is>
      </c>
      <c r="D1306" s="46" t="inlineStr">
        <is>
          <t>경동미르웰시티</t>
        </is>
      </c>
      <c r="E1306" s="46" t="inlineStr">
        <is>
          <t>6250/682</t>
        </is>
      </c>
      <c r="F1306" s="46" t="inlineStr">
        <is>
          <t>장기동</t>
        </is>
      </c>
      <c r="G1306" s="50" t="n">
        <v>0.875</v>
      </c>
      <c r="H1306" s="51" t="n">
        <v>2414610</v>
      </c>
      <c r="I1306" s="46" t="n"/>
      <c r="K1306" s="46" t="n">
        <v>1305</v>
      </c>
      <c r="L1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7">
      <c r="A1307" s="229" t="n">
        <v>46135</v>
      </c>
      <c r="B1307" s="46" t="inlineStr">
        <is>
          <t>정기검사</t>
        </is>
      </c>
      <c r="C1307" s="46" t="inlineStr">
        <is>
          <t>김포지역</t>
        </is>
      </c>
      <c r="D1307" s="46" t="inlineStr">
        <is>
          <t>유니콘</t>
        </is>
      </c>
      <c r="E1307" s="46" t="inlineStr">
        <is>
          <t>600/200</t>
        </is>
      </c>
      <c r="F1307" s="46" t="inlineStr">
        <is>
          <t>고촌</t>
        </is>
      </c>
      <c r="G1307" s="50" t="n">
        <v>0.3333333333333333</v>
      </c>
      <c r="H1307" s="51" t="n">
        <v>1256640</v>
      </c>
      <c r="I1307" s="46" t="inlineStr">
        <is>
          <t>서수형</t>
        </is>
      </c>
      <c r="K1307" s="46" t="n">
        <v>1306</v>
      </c>
      <c r="L1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8">
      <c r="A1308" s="229" t="n">
        <v>46135</v>
      </c>
      <c r="B1308" s="46" t="inlineStr">
        <is>
          <t>정기검사</t>
        </is>
      </c>
      <c r="C1308" s="46" t="inlineStr">
        <is>
          <t>김포지역</t>
        </is>
      </c>
      <c r="D1308" s="46" t="inlineStr">
        <is>
          <t>썬앤빌더킹</t>
        </is>
      </c>
      <c r="E1308" s="46" t="n">
        <v>251</v>
      </c>
      <c r="F1308" s="46" t="inlineStr">
        <is>
          <t>구래동</t>
        </is>
      </c>
      <c r="G1308" s="50" t="n">
        <v>0.5625</v>
      </c>
      <c r="H1308" s="51" t="n">
        <v>413930</v>
      </c>
      <c r="I1308" s="46" t="inlineStr">
        <is>
          <t>정신배</t>
        </is>
      </c>
      <c r="K1308" s="46" t="n">
        <v>1307</v>
      </c>
      <c r="L1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9">
      <c r="A1309" s="229" t="n">
        <v>46135</v>
      </c>
      <c r="B1309" s="46" t="inlineStr">
        <is>
          <t>정기검사</t>
        </is>
      </c>
      <c r="C1309" s="46" t="inlineStr">
        <is>
          <t>김포지역</t>
        </is>
      </c>
      <c r="D1309" s="46" t="inlineStr">
        <is>
          <t>영가실업</t>
        </is>
      </c>
      <c r="E1309" s="46" t="n">
        <v>950</v>
      </c>
      <c r="F1309" s="46" t="inlineStr">
        <is>
          <t>석정리</t>
        </is>
      </c>
      <c r="G1309" s="50" t="n">
        <v>0.4791666666666667</v>
      </c>
      <c r="H1309" s="51" t="n">
        <v>889460</v>
      </c>
      <c r="I1309" s="46" t="inlineStr">
        <is>
          <t>정신배</t>
        </is>
      </c>
      <c r="K1309" s="46" t="n">
        <v>1308</v>
      </c>
      <c r="L1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0">
      <c r="A1310" s="229" t="n">
        <v>46135</v>
      </c>
      <c r="B1310" s="46" t="inlineStr">
        <is>
          <t>정기검사</t>
        </is>
      </c>
      <c r="C1310" s="46" t="inlineStr">
        <is>
          <t>김포지역</t>
        </is>
      </c>
      <c r="D1310" s="46" t="inlineStr">
        <is>
          <t>더블원</t>
        </is>
      </c>
      <c r="E1310" s="46" t="n">
        <v>200</v>
      </c>
      <c r="F1310" s="46" t="inlineStr">
        <is>
          <t>고양리</t>
        </is>
      </c>
      <c r="G1310" s="50" t="n">
        <v>0.5</v>
      </c>
      <c r="H1310" s="51" t="n">
        <v>456720</v>
      </c>
      <c r="I1310" s="46" t="inlineStr">
        <is>
          <t>서수형</t>
        </is>
      </c>
      <c r="K1310" s="46" t="n">
        <v>1309</v>
      </c>
      <c r="L1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1">
      <c r="A1311" s="229" t="n">
        <v>46135</v>
      </c>
      <c r="B1311" s="46" t="inlineStr">
        <is>
          <t>정기검사</t>
        </is>
      </c>
      <c r="C1311" s="46" t="inlineStr">
        <is>
          <t>김포지역</t>
        </is>
      </c>
      <c r="D1311" s="46" t="inlineStr">
        <is>
          <t>풍무센트럴</t>
        </is>
      </c>
      <c r="E1311" s="46" t="n">
        <v>300</v>
      </c>
      <c r="F1311" s="46" t="inlineStr">
        <is>
          <t>풍무동</t>
        </is>
      </c>
      <c r="G1311" s="50" t="n">
        <v>0.3958333333333333</v>
      </c>
      <c r="H1311" s="51" t="n">
        <v>521730</v>
      </c>
      <c r="I1311" s="46" t="inlineStr">
        <is>
          <t>민재홍</t>
        </is>
      </c>
      <c r="K1311" s="46" t="n">
        <v>1310</v>
      </c>
      <c r="L1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2">
      <c r="A1312" s="229" t="n">
        <v>46135</v>
      </c>
      <c r="B1312" s="46" t="inlineStr">
        <is>
          <t>정기검사</t>
        </is>
      </c>
      <c r="C1312" s="46" t="inlineStr">
        <is>
          <t>김포지역</t>
        </is>
      </c>
      <c r="D1312" s="46" t="inlineStr">
        <is>
          <t>국천산업</t>
        </is>
      </c>
      <c r="E1312" s="46" t="n">
        <v>300</v>
      </c>
      <c r="F1312" s="46" t="inlineStr">
        <is>
          <t>풍무동</t>
        </is>
      </c>
      <c r="G1312" s="50" t="n">
        <v>0.3958333333333333</v>
      </c>
      <c r="H1312" s="51" t="n">
        <v>521730</v>
      </c>
      <c r="I1312" s="46" t="inlineStr">
        <is>
          <t>이종석</t>
        </is>
      </c>
      <c r="K1312" s="46" t="n">
        <v>1311</v>
      </c>
      <c r="L1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3">
      <c r="A1313" s="229" t="n">
        <v>46135</v>
      </c>
      <c r="B1313" s="46" t="inlineStr">
        <is>
          <t>정기검사</t>
        </is>
      </c>
      <c r="C1313" s="46" t="inlineStr">
        <is>
          <t>김포지역</t>
        </is>
      </c>
      <c r="D1313" s="46" t="inlineStr">
        <is>
          <t>엘지헬로비전</t>
        </is>
      </c>
      <c r="E1313" s="46" t="inlineStr">
        <is>
          <t>500/455</t>
        </is>
      </c>
      <c r="F1313" s="46" t="inlineStr">
        <is>
          <t>장기동</t>
        </is>
      </c>
      <c r="G1313" s="50" t="n">
        <v>0.8125</v>
      </c>
      <c r="H1313" s="51" t="n">
        <v>1056770</v>
      </c>
      <c r="I1313" s="46" t="n"/>
      <c r="K1313" s="46" t="n">
        <v>1312</v>
      </c>
      <c r="L1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4">
      <c r="A1314" s="229" t="n">
        <v>46135</v>
      </c>
      <c r="B1314" s="46" t="inlineStr">
        <is>
          <t>메모</t>
        </is>
      </c>
      <c r="C1314" s="46" t="inlineStr">
        <is>
          <t>부천지역</t>
        </is>
      </c>
      <c r="D1314" s="46" t="inlineStr">
        <is>
          <t>이덕기휴가</t>
        </is>
      </c>
      <c r="E1314" s="46" t="n"/>
      <c r="F1314" s="46" t="n"/>
      <c r="G1314" s="50" t="n"/>
      <c r="H1314" s="51" t="n"/>
      <c r="I1314" s="46" t="n"/>
      <c r="K1314" s="46" t="n">
        <v>1313</v>
      </c>
      <c r="L1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5">
      <c r="A1315" s="229" t="n">
        <v>46135</v>
      </c>
      <c r="B1315" s="46" t="inlineStr">
        <is>
          <t>메모</t>
        </is>
      </c>
      <c r="C1315" s="46" t="inlineStr">
        <is>
          <t>부천지역</t>
        </is>
      </c>
      <c r="D1315" s="46" t="inlineStr">
        <is>
          <t>민경수휴가</t>
        </is>
      </c>
      <c r="E1315" s="46" t="n"/>
      <c r="F1315" s="46" t="n"/>
      <c r="G1315" s="50" t="n"/>
      <c r="H1315" s="51" t="n"/>
      <c r="I1315" s="46" t="n"/>
      <c r="K1315" s="46" t="n">
        <v>1314</v>
      </c>
      <c r="L1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6">
      <c r="A1316" s="229" t="n">
        <v>46136</v>
      </c>
      <c r="B1316" s="46" t="inlineStr">
        <is>
          <t>정기검사</t>
        </is>
      </c>
      <c r="C1316" s="46" t="inlineStr">
        <is>
          <t>부천지역</t>
        </is>
      </c>
      <c r="D1316" s="46" t="inlineStr">
        <is>
          <t>삼창기전</t>
        </is>
      </c>
      <c r="E1316" s="46" t="n">
        <v>200</v>
      </c>
      <c r="F1316" s="46" t="inlineStr">
        <is>
          <t>상동</t>
        </is>
      </c>
      <c r="G1316" s="50" t="n">
        <v>0.4791666666666667</v>
      </c>
      <c r="H1316" s="51" t="n">
        <v>456720</v>
      </c>
      <c r="I1316" s="46" t="inlineStr">
        <is>
          <t>서수형</t>
        </is>
      </c>
      <c r="K1316" s="46" t="n">
        <v>1315</v>
      </c>
      <c r="L1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7">
      <c r="A1317" s="229" t="n">
        <v>46136</v>
      </c>
      <c r="B1317" s="46" t="inlineStr">
        <is>
          <t>정기검사</t>
        </is>
      </c>
      <c r="C1317" s="46" t="inlineStr">
        <is>
          <t>부천지역</t>
        </is>
      </c>
      <c r="D1317" s="46" t="inlineStr">
        <is>
          <t>네오비즈</t>
        </is>
      </c>
      <c r="E1317" s="46" t="n">
        <v>450</v>
      </c>
      <c r="F1317" s="46" t="inlineStr">
        <is>
          <t>삼정동</t>
        </is>
      </c>
      <c r="G1317" s="50" t="n">
        <v>0.5</v>
      </c>
      <c r="H1317" s="51" t="n">
        <v>720060</v>
      </c>
      <c r="I1317" s="46" t="inlineStr">
        <is>
          <t>민재홍</t>
        </is>
      </c>
      <c r="K1317" s="46" t="n">
        <v>1316</v>
      </c>
      <c r="L1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8">
      <c r="A1318" s="229" t="n">
        <v>46136</v>
      </c>
      <c r="B1318" s="46" t="inlineStr">
        <is>
          <t>정기검사</t>
        </is>
      </c>
      <c r="C1318" s="46" t="inlineStr">
        <is>
          <t>부천지역</t>
        </is>
      </c>
      <c r="D1318" s="46" t="inlineStr">
        <is>
          <t>더뷰에디스</t>
        </is>
      </c>
      <c r="E1318" s="46" t="inlineStr">
        <is>
          <t>500/227</t>
        </is>
      </c>
      <c r="F1318" s="46" t="inlineStr">
        <is>
          <t>심곡동</t>
        </is>
      </c>
      <c r="G1318" s="50" t="n">
        <v>0.6041666666666666</v>
      </c>
      <c r="H1318" s="51" t="n">
        <v>940720</v>
      </c>
      <c r="I1318" s="46" t="inlineStr">
        <is>
          <t>민재홍</t>
        </is>
      </c>
      <c r="K1318" s="46" t="n">
        <v>1317</v>
      </c>
      <c r="L1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9">
      <c r="A1319" s="229" t="n">
        <v>46136</v>
      </c>
      <c r="B1319" s="46" t="inlineStr">
        <is>
          <t>정기검사</t>
        </is>
      </c>
      <c r="C1319" s="46" t="inlineStr">
        <is>
          <t>부천지역</t>
        </is>
      </c>
      <c r="D1319" s="46" t="inlineStr">
        <is>
          <t>위더스</t>
        </is>
      </c>
      <c r="E1319" s="46" t="n">
        <v>150</v>
      </c>
      <c r="F1319" s="46" t="inlineStr">
        <is>
          <t>춘의동</t>
        </is>
      </c>
      <c r="G1319" s="50" t="n">
        <v>0.5208333333333334</v>
      </c>
      <c r="H1319" s="51" t="n">
        <v>424160</v>
      </c>
      <c r="I1319" s="46" t="inlineStr">
        <is>
          <t>송낙명</t>
        </is>
      </c>
      <c r="K1319" s="46" t="n">
        <v>1318</v>
      </c>
      <c r="L1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0">
      <c r="A1320" s="229" t="n">
        <v>46136</v>
      </c>
      <c r="B1320" s="46" t="inlineStr">
        <is>
          <t>정기검사</t>
        </is>
      </c>
      <c r="C1320" s="46" t="inlineStr">
        <is>
          <t>부천지역</t>
        </is>
      </c>
      <c r="D1320" s="46" t="inlineStr">
        <is>
          <t>미성이앤씨</t>
        </is>
      </c>
      <c r="E1320" s="46" t="n">
        <v>550</v>
      </c>
      <c r="F1320" s="46" t="inlineStr">
        <is>
          <t>내동</t>
        </is>
      </c>
      <c r="G1320" s="50" t="n">
        <v>0.5</v>
      </c>
      <c r="H1320" s="51" t="n">
        <v>753940</v>
      </c>
      <c r="I1320" s="46" t="inlineStr">
        <is>
          <t>송낙명</t>
        </is>
      </c>
      <c r="K1320" s="46" t="n">
        <v>1319</v>
      </c>
      <c r="L1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1">
      <c r="A1321" s="229" t="n">
        <v>46136</v>
      </c>
      <c r="B1321" s="46" t="inlineStr">
        <is>
          <t>정기검사</t>
        </is>
      </c>
      <c r="C1321" s="46" t="inlineStr">
        <is>
          <t>부천지역</t>
        </is>
      </c>
      <c r="D1321" s="46" t="inlineStr">
        <is>
          <t>대우프라자</t>
        </is>
      </c>
      <c r="E1321" s="46" t="inlineStr">
        <is>
          <t>전기차</t>
        </is>
      </c>
      <c r="F1321" s="46" t="inlineStr">
        <is>
          <t>중동</t>
        </is>
      </c>
      <c r="G1321" s="50" t="n"/>
      <c r="H1321" s="51" t="n">
        <v>55770</v>
      </c>
      <c r="I1321" s="46" t="inlineStr">
        <is>
          <t>서수형</t>
        </is>
      </c>
      <c r="K1321" s="46" t="n">
        <v>1320</v>
      </c>
      <c r="L1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2">
      <c r="A1322" s="229" t="n">
        <v>46136</v>
      </c>
      <c r="B1322" s="46" t="inlineStr">
        <is>
          <t>정기검사</t>
        </is>
      </c>
      <c r="C1322" s="46" t="inlineStr">
        <is>
          <t>김포지역</t>
        </is>
      </c>
      <c r="D1322" s="46" t="inlineStr">
        <is>
          <t>제이씨씨코리아</t>
        </is>
      </c>
      <c r="E1322" s="46" t="n">
        <v>150</v>
      </c>
      <c r="F1322" s="46" t="inlineStr">
        <is>
          <t>학운리</t>
        </is>
      </c>
      <c r="G1322" s="50" t="n">
        <v>0.3958333333333333</v>
      </c>
      <c r="H1322" s="51" t="n">
        <v>232430</v>
      </c>
      <c r="I1322" s="46" t="inlineStr">
        <is>
          <t>허창수</t>
        </is>
      </c>
      <c r="K1322" s="46" t="n">
        <v>1321</v>
      </c>
      <c r="L1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3">
      <c r="A1323" s="229" t="n">
        <v>46136</v>
      </c>
      <c r="B1323" s="46" t="inlineStr">
        <is>
          <t>정기검사</t>
        </is>
      </c>
      <c r="C1323" s="46" t="inlineStr">
        <is>
          <t>김포지역</t>
        </is>
      </c>
      <c r="D1323" s="46" t="inlineStr">
        <is>
          <t>정우전기</t>
        </is>
      </c>
      <c r="E1323" s="46" t="n">
        <v>550</v>
      </c>
      <c r="F1323" s="46" t="inlineStr">
        <is>
          <t>학운리</t>
        </is>
      </c>
      <c r="G1323" s="50" t="n">
        <v>0.5416666666666666</v>
      </c>
      <c r="H1323" s="51" t="n">
        <v>753940</v>
      </c>
      <c r="I1323" s="46" t="inlineStr">
        <is>
          <t>정성관</t>
        </is>
      </c>
      <c r="K1323" s="46" t="n">
        <v>1322</v>
      </c>
      <c r="L1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4">
      <c r="A1324" s="229" t="n">
        <v>46136</v>
      </c>
      <c r="B1324" s="46" t="inlineStr">
        <is>
          <t>정기검사</t>
        </is>
      </c>
      <c r="C1324" s="46" t="inlineStr">
        <is>
          <t>김포지역</t>
        </is>
      </c>
      <c r="D1324" s="46" t="inlineStr">
        <is>
          <t>송포프라자</t>
        </is>
      </c>
      <c r="E1324" s="46" t="inlineStr">
        <is>
          <t>700/182</t>
        </is>
      </c>
      <c r="F1324" s="46" t="inlineStr">
        <is>
          <t>장기동</t>
        </is>
      </c>
      <c r="G1324" s="50" t="n">
        <v>0.5416666666666666</v>
      </c>
      <c r="H1324" s="51" t="n">
        <v>995170</v>
      </c>
      <c r="I1324" s="46" t="inlineStr">
        <is>
          <t>김영권</t>
        </is>
      </c>
      <c r="K1324" s="46" t="n">
        <v>1323</v>
      </c>
      <c r="L1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5">
      <c r="A1325" s="229" t="n">
        <v>46136</v>
      </c>
      <c r="B1325" s="46" t="inlineStr">
        <is>
          <t>정기검사</t>
        </is>
      </c>
      <c r="C1325" s="46" t="inlineStr">
        <is>
          <t>김포지역</t>
        </is>
      </c>
      <c r="D1325" s="46" t="inlineStr">
        <is>
          <t>선일씨스템</t>
        </is>
      </c>
      <c r="E1325" s="46" t="n">
        <v>290</v>
      </c>
      <c r="F1325" s="46" t="inlineStr">
        <is>
          <t>양택리</t>
        </is>
      </c>
      <c r="G1325" s="50" t="n">
        <v>0.4791666666666667</v>
      </c>
      <c r="H1325" s="51" t="n">
        <v>515130</v>
      </c>
      <c r="I1325" s="46" t="inlineStr">
        <is>
          <t>우승택</t>
        </is>
      </c>
      <c r="K1325" s="46" t="n">
        <v>1324</v>
      </c>
      <c r="L1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6">
      <c r="A1326" s="229" t="n">
        <v>46136</v>
      </c>
      <c r="B1326" s="46" t="inlineStr">
        <is>
          <t>정기검사</t>
        </is>
      </c>
      <c r="C1326" s="46" t="inlineStr">
        <is>
          <t>김포지역</t>
        </is>
      </c>
      <c r="D1326" s="46" t="inlineStr">
        <is>
          <t>한성알루미늄</t>
        </is>
      </c>
      <c r="E1326" s="46" t="n">
        <v>800</v>
      </c>
      <c r="F1326" s="46" t="inlineStr">
        <is>
          <t>학운리</t>
        </is>
      </c>
      <c r="G1326" s="50" t="n">
        <v>0.5</v>
      </c>
      <c r="H1326" s="51" t="n">
        <v>838640</v>
      </c>
      <c r="I1326" s="46" t="inlineStr">
        <is>
          <t>이종석</t>
        </is>
      </c>
      <c r="K1326" s="46" t="n">
        <v>1325</v>
      </c>
      <c r="L1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7">
      <c r="A1327" s="229" t="n">
        <v>46136</v>
      </c>
      <c r="B1327" s="46" t="inlineStr">
        <is>
          <t>정기검사</t>
        </is>
      </c>
      <c r="C1327" s="46" t="inlineStr">
        <is>
          <t>김포지역</t>
        </is>
      </c>
      <c r="D1327" s="46" t="inlineStr">
        <is>
          <t>김지안-배부</t>
        </is>
      </c>
      <c r="E1327" s="46" t="n">
        <v>3</v>
      </c>
      <c r="F1327" s="46" t="inlineStr">
        <is>
          <t>대벽리</t>
        </is>
      </c>
      <c r="G1327" s="50" t="n"/>
      <c r="H1327" s="51" t="n">
        <v>89210</v>
      </c>
      <c r="I1327" s="46" t="inlineStr">
        <is>
          <t>정신배</t>
        </is>
      </c>
      <c r="K1327" s="46" t="n">
        <v>1326</v>
      </c>
      <c r="L1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8">
      <c r="A1328" s="229" t="n">
        <v>46136</v>
      </c>
      <c r="B1328" s="46" t="inlineStr">
        <is>
          <t>정기검사</t>
        </is>
      </c>
      <c r="C1328" s="46" t="inlineStr">
        <is>
          <t>김포지역</t>
        </is>
      </c>
      <c r="D1328" s="46" t="inlineStr">
        <is>
          <t>정육각</t>
        </is>
      </c>
      <c r="E1328" s="46" t="n">
        <v>750</v>
      </c>
      <c r="F1328" s="46" t="inlineStr">
        <is>
          <t>고촌</t>
        </is>
      </c>
      <c r="G1328" s="50" t="n">
        <v>0.4375</v>
      </c>
      <c r="H1328" s="51" t="n">
        <v>821700</v>
      </c>
      <c r="I1328" s="46" t="inlineStr">
        <is>
          <t>송두기</t>
        </is>
      </c>
      <c r="K1328" s="46" t="n">
        <v>1327</v>
      </c>
      <c r="L1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9">
      <c r="A1329" s="229" t="n">
        <v>46136</v>
      </c>
      <c r="B1329" s="46" t="inlineStr">
        <is>
          <t>메모</t>
        </is>
      </c>
      <c r="C1329" s="46" t="inlineStr">
        <is>
          <t>부천지역</t>
        </is>
      </c>
      <c r="D1329" s="46" t="inlineStr">
        <is>
          <t>이덕기휴가</t>
        </is>
      </c>
      <c r="E1329" s="46" t="n"/>
      <c r="F1329" s="46" t="n"/>
      <c r="G1329" s="50" t="n"/>
      <c r="H1329" s="51" t="n"/>
      <c r="I1329" s="46" t="n"/>
      <c r="K1329" s="46" t="n">
        <v>1328</v>
      </c>
      <c r="L1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0">
      <c r="A1330" s="229" t="n">
        <v>46136</v>
      </c>
      <c r="B1330" s="46" t="inlineStr">
        <is>
          <t>메모</t>
        </is>
      </c>
      <c r="C1330" s="46" t="inlineStr">
        <is>
          <t>부천지역</t>
        </is>
      </c>
      <c r="D1330" s="46" t="inlineStr">
        <is>
          <t>민경수휴가</t>
        </is>
      </c>
      <c r="E1330" s="46" t="n"/>
      <c r="F1330" s="46" t="n"/>
      <c r="G1330" s="50" t="n"/>
      <c r="H1330" s="51" t="n"/>
      <c r="I1330" s="46" t="n"/>
      <c r="K1330" s="46" t="n">
        <v>1329</v>
      </c>
      <c r="L1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1">
      <c r="A1331" s="229" t="n">
        <v>46136</v>
      </c>
      <c r="B1331" s="46" t="inlineStr">
        <is>
          <t>사용전검사</t>
        </is>
      </c>
      <c r="C1331" s="46" t="inlineStr">
        <is>
          <t>김포지역</t>
        </is>
      </c>
      <c r="D1331" s="46" t="inlineStr">
        <is>
          <t>한국에스피아이</t>
        </is>
      </c>
      <c r="E1331" s="46" t="n">
        <v>54</v>
      </c>
      <c r="F1331" s="46" t="inlineStr">
        <is>
          <t>고정리</t>
        </is>
      </c>
      <c r="G1331" s="50" t="n"/>
      <c r="H1331" s="51" t="n"/>
      <c r="I1331" s="46" t="inlineStr">
        <is>
          <t>한태희</t>
        </is>
      </c>
      <c r="K1331" s="46" t="n">
        <v>1330</v>
      </c>
      <c r="L1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2">
      <c r="A1332" s="229" t="n">
        <v>46136</v>
      </c>
      <c r="B1332" s="46" t="inlineStr">
        <is>
          <t>사용전검사</t>
        </is>
      </c>
      <c r="C1332" s="46" t="inlineStr">
        <is>
          <t>김포지역</t>
        </is>
      </c>
      <c r="D1332" s="46" t="inlineStr">
        <is>
          <t>국민1호</t>
        </is>
      </c>
      <c r="E1332" s="46" t="n">
        <v>76</v>
      </c>
      <c r="F1332" s="46" t="inlineStr">
        <is>
          <t>군하리</t>
        </is>
      </c>
      <c r="G1332" s="50" t="n"/>
      <c r="H1332" s="51" t="n"/>
      <c r="I1332" s="46" t="inlineStr">
        <is>
          <t>한태희</t>
        </is>
      </c>
      <c r="K1332" s="46" t="n">
        <v>1331</v>
      </c>
      <c r="L1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3">
      <c r="A1333" s="229" t="n">
        <v>46136</v>
      </c>
      <c r="B1333" s="46" t="inlineStr">
        <is>
          <t>사용전검사</t>
        </is>
      </c>
      <c r="C1333" s="46" t="inlineStr">
        <is>
          <t>김포지역</t>
        </is>
      </c>
      <c r="D1333" s="46" t="inlineStr">
        <is>
          <t>축도수산</t>
        </is>
      </c>
      <c r="E1333" s="46" t="n">
        <v>10</v>
      </c>
      <c r="F1333" s="46" t="inlineStr">
        <is>
          <t>신곡리</t>
        </is>
      </c>
      <c r="G1333" s="50" t="n"/>
      <c r="H1333" s="51" t="n"/>
      <c r="I1333" s="46" t="inlineStr">
        <is>
          <t>송두기</t>
        </is>
      </c>
      <c r="K1333" s="46" t="n">
        <v>1332</v>
      </c>
      <c r="L1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4">
      <c r="A1334" s="229" t="n">
        <v>46136</v>
      </c>
      <c r="B1334" s="46" t="inlineStr">
        <is>
          <t>사용전검사</t>
        </is>
      </c>
      <c r="C1334" s="46" t="inlineStr">
        <is>
          <t>김포지역</t>
        </is>
      </c>
      <c r="D1334" s="46" t="inlineStr">
        <is>
          <t>에이치에이원</t>
        </is>
      </c>
      <c r="E1334" s="46" t="n">
        <v>250</v>
      </c>
      <c r="F1334" s="46" t="inlineStr">
        <is>
          <t>대포리</t>
        </is>
      </c>
      <c r="G1334" s="50" t="n"/>
      <c r="H1334" s="51" t="n"/>
      <c r="I1334" s="46" t="inlineStr">
        <is>
          <t>송두기</t>
        </is>
      </c>
      <c r="K1334" s="46" t="n">
        <v>1333</v>
      </c>
      <c r="L1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5">
      <c r="A1335" s="229" t="n">
        <v>46137</v>
      </c>
      <c r="B1335" s="46" t="inlineStr">
        <is>
          <t>정기검사</t>
        </is>
      </c>
      <c r="C1335" s="46" t="inlineStr">
        <is>
          <t>부천지역</t>
        </is>
      </c>
      <c r="D1335" s="46" t="inlineStr">
        <is>
          <t>무광오피스</t>
        </is>
      </c>
      <c r="E1335" s="46" t="inlineStr">
        <is>
          <t>1300/236</t>
        </is>
      </c>
      <c r="F1335" s="46" t="inlineStr">
        <is>
          <t>중동</t>
        </is>
      </c>
      <c r="G1335" s="50" t="n">
        <v>0.25</v>
      </c>
      <c r="H1335" s="51" t="n">
        <v>1503700</v>
      </c>
      <c r="I1335" s="46" t="inlineStr">
        <is>
          <t>정신배</t>
        </is>
      </c>
      <c r="K1335" s="46" t="n">
        <v>1334</v>
      </c>
      <c r="L1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6">
      <c r="A1336" s="229" t="n">
        <v>46137</v>
      </c>
      <c r="B1336" s="46" t="inlineStr">
        <is>
          <t>정기검사</t>
        </is>
      </c>
      <c r="C1336" s="46" t="inlineStr">
        <is>
          <t>부천지역</t>
        </is>
      </c>
      <c r="D1336" s="46" t="inlineStr">
        <is>
          <t>엠에이치컨설팅</t>
        </is>
      </c>
      <c r="E1336" s="46" t="n">
        <v>980</v>
      </c>
      <c r="F1336" s="46" t="inlineStr">
        <is>
          <t>원미동</t>
        </is>
      </c>
      <c r="G1336" s="50" t="n">
        <v>0.375</v>
      </c>
      <c r="H1336" s="51" t="n">
        <v>1169410</v>
      </c>
      <c r="I1336" s="46" t="inlineStr">
        <is>
          <t>정성관</t>
        </is>
      </c>
      <c r="K1336" s="46" t="n">
        <v>1335</v>
      </c>
      <c r="L1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7">
      <c r="A1337" s="229" t="n">
        <v>46137</v>
      </c>
      <c r="B1337" s="46" t="inlineStr">
        <is>
          <t>정기검사</t>
        </is>
      </c>
      <c r="C1337" s="46" t="inlineStr">
        <is>
          <t>부천지역</t>
        </is>
      </c>
      <c r="D1337" s="46" t="inlineStr">
        <is>
          <t>중동반석유치원</t>
        </is>
      </c>
      <c r="E1337" s="46" t="n">
        <v>150</v>
      </c>
      <c r="F1337" s="46" t="inlineStr">
        <is>
          <t>중동</t>
        </is>
      </c>
      <c r="G1337" s="50" t="n">
        <v>0.5625</v>
      </c>
      <c r="H1337" s="51" t="n">
        <v>551430</v>
      </c>
      <c r="I1337" s="46" t="inlineStr">
        <is>
          <t>민재홍</t>
        </is>
      </c>
      <c r="K1337" s="46" t="n">
        <v>1336</v>
      </c>
      <c r="L1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8">
      <c r="A1338" s="229" t="n">
        <v>46137</v>
      </c>
      <c r="B1338" s="46" t="inlineStr">
        <is>
          <t>정기검사</t>
        </is>
      </c>
      <c r="C1338" s="46" t="inlineStr">
        <is>
          <t>부천지역</t>
        </is>
      </c>
      <c r="D1338" s="46" t="inlineStr">
        <is>
          <t>새롬프라자</t>
        </is>
      </c>
      <c r="E1338" s="46" t="inlineStr">
        <is>
          <t>1400/290</t>
        </is>
      </c>
      <c r="F1338" s="46" t="inlineStr">
        <is>
          <t>상동</t>
        </is>
      </c>
      <c r="G1338" s="50" t="n">
        <v>0.2916666666666667</v>
      </c>
      <c r="H1338" s="51" t="n">
        <v>1543520</v>
      </c>
      <c r="I1338" s="46" t="inlineStr">
        <is>
          <t>송낙명</t>
        </is>
      </c>
      <c r="K1338" s="46" t="n">
        <v>1337</v>
      </c>
      <c r="L1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9">
      <c r="A1339" s="229" t="n">
        <v>46137</v>
      </c>
      <c r="B1339" s="46" t="inlineStr">
        <is>
          <t>정기검사</t>
        </is>
      </c>
      <c r="C1339" s="46" t="inlineStr">
        <is>
          <t>부천지역</t>
        </is>
      </c>
      <c r="D1339" s="46" t="inlineStr">
        <is>
          <t>중앙병원</t>
        </is>
      </c>
      <c r="E1339" s="46" t="inlineStr">
        <is>
          <t>400/60</t>
        </is>
      </c>
      <c r="F1339" s="46" t="n"/>
      <c r="G1339" s="50" t="n">
        <v>0.3958333333333333</v>
      </c>
      <c r="H1339" s="51" t="n">
        <v>1100000</v>
      </c>
      <c r="I1339" s="46" t="n"/>
      <c r="K1339" s="46" t="n">
        <v>1338</v>
      </c>
      <c r="L1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0">
      <c r="A1340" s="229" t="n">
        <v>46137</v>
      </c>
      <c r="B1340" s="46" t="inlineStr">
        <is>
          <t>정기검사</t>
        </is>
      </c>
      <c r="C1340" s="46" t="inlineStr">
        <is>
          <t>김포지역</t>
        </is>
      </c>
      <c r="D1340" s="46" t="inlineStr">
        <is>
          <t>좋은책신사고</t>
        </is>
      </c>
      <c r="E1340" s="46" t="n">
        <v>2600</v>
      </c>
      <c r="F1340" s="46" t="inlineStr">
        <is>
          <t>학운리</t>
        </is>
      </c>
      <c r="G1340" s="50" t="n">
        <v>0.3958333333333333</v>
      </c>
      <c r="H1340" s="51" t="n">
        <v>1482580</v>
      </c>
      <c r="I1340" s="46" t="inlineStr">
        <is>
          <t>서수형</t>
        </is>
      </c>
      <c r="K1340" s="46" t="n">
        <v>1339</v>
      </c>
      <c r="L1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1">
      <c r="A1341" s="229" t="n">
        <v>46137</v>
      </c>
      <c r="B1341" s="46" t="inlineStr">
        <is>
          <t>정기검사</t>
        </is>
      </c>
      <c r="C1341" s="46" t="inlineStr">
        <is>
          <t>김포지역</t>
        </is>
      </c>
      <c r="D1341" s="46" t="inlineStr">
        <is>
          <t>정원주철</t>
        </is>
      </c>
      <c r="E1341" s="46" t="n">
        <v>2900</v>
      </c>
      <c r="F1341" s="46" t="inlineStr">
        <is>
          <t>옹정리</t>
        </is>
      </c>
      <c r="G1341" s="50" t="n">
        <v>0.5416666666666666</v>
      </c>
      <c r="H1341" s="51" t="n">
        <v>1539670</v>
      </c>
      <c r="I1341" s="46" t="inlineStr">
        <is>
          <t>우승택</t>
        </is>
      </c>
      <c r="K1341" s="46" t="n">
        <v>1340</v>
      </c>
      <c r="L1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2">
      <c r="A1342" s="229" t="n">
        <v>46137</v>
      </c>
      <c r="B1342" s="46" t="inlineStr">
        <is>
          <t>정기검사</t>
        </is>
      </c>
      <c r="C1342" s="46" t="inlineStr">
        <is>
          <t>김포지역</t>
        </is>
      </c>
      <c r="D1342" s="46" t="inlineStr">
        <is>
          <t>메디프라자</t>
        </is>
      </c>
      <c r="E1342" s="46" t="inlineStr">
        <is>
          <t>600/145</t>
        </is>
      </c>
      <c r="F1342" s="46" t="inlineStr">
        <is>
          <t>운양동</t>
        </is>
      </c>
      <c r="G1342" s="50" t="n">
        <v>0.2708333333333333</v>
      </c>
      <c r="H1342" s="51" t="n">
        <v>1235520</v>
      </c>
      <c r="I1342" s="46" t="inlineStr">
        <is>
          <t>송두기</t>
        </is>
      </c>
      <c r="K1342" s="46" t="n">
        <v>1341</v>
      </c>
      <c r="L1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3">
      <c r="A1343" s="229" t="n">
        <v>46137</v>
      </c>
      <c r="B1343" s="46" t="inlineStr">
        <is>
          <t>정기검사</t>
        </is>
      </c>
      <c r="C1343" s="46" t="inlineStr">
        <is>
          <t>김포지역</t>
        </is>
      </c>
      <c r="D1343" s="46" t="inlineStr">
        <is>
          <t>김포종합은동장</t>
        </is>
      </c>
      <c r="E1343" s="46" t="n">
        <v>300</v>
      </c>
      <c r="F1343" s="46" t="inlineStr">
        <is>
          <t>사우동</t>
        </is>
      </c>
      <c r="G1343" s="50" t="n">
        <v>0.3958333333333333</v>
      </c>
      <c r="H1343" s="51" t="n">
        <v>678150</v>
      </c>
      <c r="I1343" s="46" t="inlineStr">
        <is>
          <t>한태희</t>
        </is>
      </c>
      <c r="K1343" s="46" t="n">
        <v>1342</v>
      </c>
      <c r="L1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4">
      <c r="A1344" s="229" t="n">
        <v>46137</v>
      </c>
      <c r="B1344" s="46" t="inlineStr">
        <is>
          <t>사용전검사</t>
        </is>
      </c>
      <c r="C1344" s="46" t="inlineStr">
        <is>
          <t>부천지역</t>
        </is>
      </c>
      <c r="D1344" s="46" t="inlineStr">
        <is>
          <t>크로스몰</t>
        </is>
      </c>
      <c r="E1344" s="46" t="n">
        <v>290</v>
      </c>
      <c r="F1344" s="46" t="inlineStr">
        <is>
          <t>도당동</t>
        </is>
      </c>
      <c r="G1344" s="50" t="n"/>
      <c r="H1344" s="51" t="n"/>
      <c r="I1344" s="46" t="inlineStr">
        <is>
          <t>이종석</t>
        </is>
      </c>
      <c r="K1344" s="46" t="n">
        <v>1343</v>
      </c>
      <c r="L1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5">
      <c r="A1345" s="229" t="n">
        <v>46137</v>
      </c>
      <c r="B1345" s="46" t="inlineStr">
        <is>
          <t>사용전검사</t>
        </is>
      </c>
      <c r="C1345" s="46" t="inlineStr">
        <is>
          <t>부천지역</t>
        </is>
      </c>
      <c r="D1345" s="46" t="inlineStr">
        <is>
          <t>대원</t>
        </is>
      </c>
      <c r="E1345" s="46" t="n">
        <v>130</v>
      </c>
      <c r="F1345" s="46" t="inlineStr">
        <is>
          <t>여월동</t>
        </is>
      </c>
      <c r="G1345" s="50" t="n"/>
      <c r="H1345" s="51" t="n"/>
      <c r="I1345" s="46" t="inlineStr">
        <is>
          <t>허창수</t>
        </is>
      </c>
      <c r="K1345" s="46" t="n">
        <v>1344</v>
      </c>
      <c r="L1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6">
      <c r="A1346" s="229" t="n">
        <v>46137</v>
      </c>
      <c r="B1346" s="46" t="inlineStr">
        <is>
          <t>사용전검사</t>
        </is>
      </c>
      <c r="C1346" s="46" t="inlineStr">
        <is>
          <t>부천지역</t>
        </is>
      </c>
      <c r="D1346" s="46" t="inlineStr">
        <is>
          <t>이덕기휴가</t>
        </is>
      </c>
      <c r="E1346" s="46" t="inlineStr">
        <is>
          <t>서수형</t>
        </is>
      </c>
      <c r="F1346" s="46" t="inlineStr">
        <is>
          <t>송낙명</t>
        </is>
      </c>
      <c r="G1346" s="50" t="inlineStr">
        <is>
          <t>정신배</t>
        </is>
      </c>
      <c r="H1346" s="51" t="n"/>
      <c r="I1346" s="46" t="n"/>
      <c r="K1346" s="46" t="n">
        <v>1345</v>
      </c>
      <c r="L1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7">
      <c r="A1347" s="229" t="n">
        <v>46137</v>
      </c>
      <c r="B1347" s="46" t="inlineStr">
        <is>
          <t>사용전검사</t>
        </is>
      </c>
      <c r="C1347" s="46" t="inlineStr">
        <is>
          <t>부천지역</t>
        </is>
      </c>
      <c r="D1347" s="46" t="inlineStr">
        <is>
          <t>민경수휴가</t>
        </is>
      </c>
      <c r="E1347" s="46" t="inlineStr">
        <is>
          <t>민재홍</t>
        </is>
      </c>
      <c r="F1347" s="46" t="inlineStr">
        <is>
          <t>이종석</t>
        </is>
      </c>
      <c r="G1347" s="50" t="inlineStr">
        <is>
          <t>정성관</t>
        </is>
      </c>
      <c r="H1347" s="51" t="n"/>
      <c r="I1347" s="46" t="n"/>
      <c r="K1347" s="46" t="n">
        <v>1346</v>
      </c>
      <c r="L1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8">
      <c r="A1348" s="229" t="n">
        <v>46137</v>
      </c>
      <c r="B1348" s="46" t="inlineStr">
        <is>
          <t>사용전검사</t>
        </is>
      </c>
      <c r="C1348" s="46" t="inlineStr">
        <is>
          <t>부천지역</t>
        </is>
      </c>
      <c r="D1348" s="46" t="inlineStr">
        <is>
          <t>김영권휴가</t>
        </is>
      </c>
      <c r="E1348" s="46" t="inlineStr">
        <is>
          <t>송두기</t>
        </is>
      </c>
      <c r="F1348" s="46" t="inlineStr">
        <is>
          <t>허창수</t>
        </is>
      </c>
      <c r="G1348" s="50" t="n"/>
      <c r="H1348" s="51" t="n"/>
      <c r="I1348" s="46" t="n"/>
      <c r="K1348" s="46" t="n">
        <v>1347</v>
      </c>
      <c r="L1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9">
      <c r="A1349" s="229" t="n">
        <v>46137</v>
      </c>
      <c r="B1349" s="46" t="inlineStr">
        <is>
          <t>사용전검사</t>
        </is>
      </c>
      <c r="C1349" s="46" t="inlineStr">
        <is>
          <t>부천지역</t>
        </is>
      </c>
      <c r="D1349" s="46" t="n"/>
      <c r="E1349" s="46" t="inlineStr">
        <is>
          <t>서수형</t>
        </is>
      </c>
      <c r="F1349" s="46" t="inlineStr">
        <is>
          <t>우승택</t>
        </is>
      </c>
      <c r="G1349" s="50" t="inlineStr">
        <is>
          <t>한태희</t>
        </is>
      </c>
      <c r="H1349" s="51" t="n"/>
      <c r="I1349" s="46" t="n"/>
      <c r="K1349" s="46" t="n">
        <v>1348</v>
      </c>
      <c r="L1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0">
      <c r="A1350" s="229" t="n">
        <v>46137</v>
      </c>
      <c r="B1350" s="46" t="inlineStr">
        <is>
          <t>사용전검사</t>
        </is>
      </c>
      <c r="C1350" s="46" t="inlineStr">
        <is>
          <t>김포지역</t>
        </is>
      </c>
      <c r="D1350" s="46" t="inlineStr">
        <is>
          <t>정원주철</t>
        </is>
      </c>
      <c r="E1350" s="46" t="inlineStr">
        <is>
          <t>VCB</t>
        </is>
      </c>
      <c r="F1350" s="46" t="inlineStr">
        <is>
          <t>옹정리</t>
        </is>
      </c>
      <c r="G1350" s="50" t="n"/>
      <c r="H1350" s="51" t="n"/>
      <c r="I1350" s="46" t="inlineStr">
        <is>
          <t>우승택</t>
        </is>
      </c>
      <c r="K1350" s="46" t="n">
        <v>1349</v>
      </c>
      <c r="L1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1">
      <c r="A1351" s="229" t="n">
        <v>46138</v>
      </c>
      <c r="B1351" s="46" t="inlineStr">
        <is>
          <t>메모</t>
        </is>
      </c>
      <c r="C1351" s="46" t="inlineStr">
        <is>
          <t>부천지역</t>
        </is>
      </c>
      <c r="D1351" s="46" t="inlineStr">
        <is>
          <t>이덕기휴가</t>
        </is>
      </c>
      <c r="E1351" s="46" t="n"/>
      <c r="F1351" s="46" t="n"/>
      <c r="G1351" s="50" t="n"/>
      <c r="H1351" s="51" t="n"/>
      <c r="I1351" s="46" t="n"/>
      <c r="K1351" s="46" t="n">
        <v>1350</v>
      </c>
      <c r="L1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2">
      <c r="A1352" s="229" t="n">
        <v>46138</v>
      </c>
      <c r="B1352" s="46" t="inlineStr">
        <is>
          <t>메모</t>
        </is>
      </c>
      <c r="C1352" s="46" t="inlineStr">
        <is>
          <t>부천지역</t>
        </is>
      </c>
      <c r="D1352" s="46" t="inlineStr">
        <is>
          <t>민경수휴가</t>
        </is>
      </c>
      <c r="E1352" s="46" t="n"/>
      <c r="F1352" s="46" t="n"/>
      <c r="G1352" s="50" t="n"/>
      <c r="H1352" s="51" t="n"/>
      <c r="I1352" s="46" t="n"/>
      <c r="K1352" s="46" t="n">
        <v>1351</v>
      </c>
      <c r="L1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3">
      <c r="A1353" s="229" t="n">
        <v>46139</v>
      </c>
      <c r="B1353" s="46" t="inlineStr">
        <is>
          <t>정기검사</t>
        </is>
      </c>
      <c r="C1353" s="46" t="inlineStr">
        <is>
          <t>부천지역</t>
        </is>
      </c>
      <c r="D1353" s="46" t="inlineStr">
        <is>
          <t>메가플러스</t>
        </is>
      </c>
      <c r="E1353" s="46" t="inlineStr">
        <is>
          <t>1250/445</t>
        </is>
      </c>
      <c r="F1353" s="46" t="inlineStr">
        <is>
          <t>상동</t>
        </is>
      </c>
      <c r="G1353" s="50" t="n">
        <v>0.25</v>
      </c>
      <c r="H1353" s="51" t="n">
        <v>2162930</v>
      </c>
      <c r="I1353" s="46" t="inlineStr">
        <is>
          <t>이종석</t>
        </is>
      </c>
      <c r="K1353" s="46" t="n">
        <v>1352</v>
      </c>
      <c r="L1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4">
      <c r="A1354" s="229" t="n">
        <v>46139</v>
      </c>
      <c r="B1354" s="46" t="inlineStr">
        <is>
          <t>정기검사</t>
        </is>
      </c>
      <c r="C1354" s="46" t="inlineStr">
        <is>
          <t>부천지역</t>
        </is>
      </c>
      <c r="D1354" s="46" t="inlineStr">
        <is>
          <t>오케이산업</t>
        </is>
      </c>
      <c r="E1354" s="46" t="n">
        <v>950</v>
      </c>
      <c r="F1354" s="46" t="inlineStr">
        <is>
          <t>오정동</t>
        </is>
      </c>
      <c r="G1354" s="50" t="n">
        <v>0.5416666666666666</v>
      </c>
      <c r="H1354" s="51" t="n">
        <v>889460</v>
      </c>
      <c r="I1354" s="46" t="inlineStr">
        <is>
          <t>허창수</t>
        </is>
      </c>
      <c r="K1354" s="46" t="n">
        <v>1353</v>
      </c>
      <c r="L1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5">
      <c r="A1355" s="229" t="n">
        <v>46139</v>
      </c>
      <c r="B1355" s="46" t="inlineStr">
        <is>
          <t>정기검사</t>
        </is>
      </c>
      <c r="C1355" s="46" t="inlineStr">
        <is>
          <t>부천지역</t>
        </is>
      </c>
      <c r="D1355" s="46" t="inlineStr">
        <is>
          <t>프리엠스</t>
        </is>
      </c>
      <c r="E1355" s="46" t="n">
        <v>500</v>
      </c>
      <c r="F1355" s="46" t="inlineStr">
        <is>
          <t>삼정동</t>
        </is>
      </c>
      <c r="G1355" s="50" t="n">
        <v>0.5625</v>
      </c>
      <c r="H1355" s="51" t="n">
        <v>737000</v>
      </c>
      <c r="I1355" s="46" t="inlineStr">
        <is>
          <t>송낙명</t>
        </is>
      </c>
      <c r="K1355" s="46" t="n">
        <v>1354</v>
      </c>
      <c r="L1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6">
      <c r="A1356" s="229" t="n">
        <v>46139</v>
      </c>
      <c r="B1356" s="46" t="inlineStr">
        <is>
          <t>정기검사</t>
        </is>
      </c>
      <c r="C1356" s="46" t="inlineStr">
        <is>
          <t>부천지역</t>
        </is>
      </c>
      <c r="D1356" s="46" t="inlineStr">
        <is>
          <t>성문교회</t>
        </is>
      </c>
      <c r="E1356" s="46" t="inlineStr">
        <is>
          <t>450/105</t>
        </is>
      </c>
      <c r="F1356" s="46" t="inlineStr">
        <is>
          <t>상동</t>
        </is>
      </c>
      <c r="G1356" s="50" t="n">
        <v>0.3958333333333333</v>
      </c>
      <c r="H1356" s="51" t="n">
        <v>887700</v>
      </c>
      <c r="I1356" s="46" t="inlineStr">
        <is>
          <t>허창수</t>
        </is>
      </c>
      <c r="K1356" s="46" t="n">
        <v>1355</v>
      </c>
      <c r="L1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7">
      <c r="A1357" s="229" t="n">
        <v>46139</v>
      </c>
      <c r="B1357" s="46" t="inlineStr">
        <is>
          <t>정기검사</t>
        </is>
      </c>
      <c r="C1357" s="46" t="inlineStr">
        <is>
          <t>부천지역</t>
        </is>
      </c>
      <c r="D1357" s="46" t="inlineStr">
        <is>
          <t>성문교회</t>
        </is>
      </c>
      <c r="E1357" s="46" t="inlineStr">
        <is>
          <t>전기차</t>
        </is>
      </c>
      <c r="F1357" s="46" t="n"/>
      <c r="G1357" s="50" t="n"/>
      <c r="H1357" s="51" t="n">
        <v>64240</v>
      </c>
      <c r="I1357" s="46" t="inlineStr">
        <is>
          <t>허창수</t>
        </is>
      </c>
      <c r="K1357" s="46" t="n">
        <v>1356</v>
      </c>
      <c r="L1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8">
      <c r="A1358" s="229" t="n">
        <v>46139</v>
      </c>
      <c r="B1358" s="46" t="inlineStr">
        <is>
          <t>정기검사</t>
        </is>
      </c>
      <c r="C1358" s="46" t="inlineStr">
        <is>
          <t>부천지역</t>
        </is>
      </c>
      <c r="D1358" s="46" t="inlineStr">
        <is>
          <t>대영정공</t>
        </is>
      </c>
      <c r="E1358" s="46" t="n">
        <v>650</v>
      </c>
      <c r="F1358" s="46" t="inlineStr">
        <is>
          <t>도당동</t>
        </is>
      </c>
      <c r="G1358" s="50" t="n">
        <v>0.5208333333333334</v>
      </c>
      <c r="H1358" s="51" t="n">
        <v>787820</v>
      </c>
      <c r="I1358" s="46" t="inlineStr">
        <is>
          <t>송낙명</t>
        </is>
      </c>
      <c r="K1358" s="46" t="n">
        <v>1357</v>
      </c>
      <c r="L1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9">
      <c r="A1359" s="229" t="n">
        <v>46139</v>
      </c>
      <c r="B1359" s="46" t="inlineStr">
        <is>
          <t>정기검사</t>
        </is>
      </c>
      <c r="C1359" s="46" t="inlineStr">
        <is>
          <t>부천지역</t>
        </is>
      </c>
      <c r="D1359" s="46" t="inlineStr">
        <is>
          <t>경닌테크원</t>
        </is>
      </c>
      <c r="E1359" s="46" t="n">
        <v>150</v>
      </c>
      <c r="F1359" s="46" t="inlineStr">
        <is>
          <t>내동</t>
        </is>
      </c>
      <c r="G1359" s="50" t="n">
        <v>0.4791666666666667</v>
      </c>
      <c r="H1359" s="51" t="n">
        <v>424160</v>
      </c>
      <c r="I1359" s="46" t="inlineStr">
        <is>
          <t>송낙명</t>
        </is>
      </c>
      <c r="K1359" s="46" t="n">
        <v>1358</v>
      </c>
      <c r="L1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0">
      <c r="A1360" s="229" t="n">
        <v>46139</v>
      </c>
      <c r="B1360" s="46" t="inlineStr">
        <is>
          <t>정기검사</t>
        </is>
      </c>
      <c r="C1360" s="46" t="inlineStr">
        <is>
          <t>부천지역</t>
        </is>
      </c>
      <c r="D1360" s="46" t="inlineStr">
        <is>
          <t>아이카킹</t>
        </is>
      </c>
      <c r="E1360" s="46" t="inlineStr">
        <is>
          <t>전기차</t>
        </is>
      </c>
      <c r="F1360" s="46" t="inlineStr">
        <is>
          <t>중동</t>
        </is>
      </c>
      <c r="G1360" s="50" t="n"/>
      <c r="H1360" s="51" t="n">
        <v>288420</v>
      </c>
      <c r="I1360" s="46" t="inlineStr">
        <is>
          <t>허창수</t>
        </is>
      </c>
      <c r="K1360" s="46" t="n">
        <v>1359</v>
      </c>
      <c r="L1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1">
      <c r="A1361" s="229" t="n">
        <v>46139</v>
      </c>
      <c r="B1361" s="46" t="inlineStr">
        <is>
          <t>정기검사</t>
        </is>
      </c>
      <c r="C1361" s="46" t="inlineStr">
        <is>
          <t>부천지역</t>
        </is>
      </c>
      <c r="D1361" s="46" t="inlineStr">
        <is>
          <t>아이카킹</t>
        </is>
      </c>
      <c r="E1361" s="46" t="inlineStr">
        <is>
          <t>전기차</t>
        </is>
      </c>
      <c r="F1361" s="46" t="inlineStr">
        <is>
          <t>중동</t>
        </is>
      </c>
      <c r="G1361" s="50" t="n"/>
      <c r="H1361" s="51" t="n">
        <v>288420</v>
      </c>
      <c r="I1361" s="46" t="inlineStr">
        <is>
          <t>허창수</t>
        </is>
      </c>
      <c r="K1361" s="46" t="n">
        <v>1360</v>
      </c>
      <c r="L1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2">
      <c r="A1362" s="229" t="n">
        <v>46139</v>
      </c>
      <c r="B1362" s="46" t="inlineStr">
        <is>
          <t>정기검사</t>
        </is>
      </c>
      <c r="C1362" s="46" t="inlineStr">
        <is>
          <t>김포지역</t>
        </is>
      </c>
      <c r="D1362" s="46" t="inlineStr">
        <is>
          <t>환그라스</t>
        </is>
      </c>
      <c r="E1362" s="46" t="n">
        <v>900</v>
      </c>
      <c r="F1362" s="46" t="inlineStr">
        <is>
          <t>대명리</t>
        </is>
      </c>
      <c r="G1362" s="50" t="n">
        <v>0.4791666666666667</v>
      </c>
      <c r="H1362" s="51" t="n">
        <v>872520</v>
      </c>
      <c r="I1362" s="46" t="inlineStr">
        <is>
          <t>김영권</t>
        </is>
      </c>
      <c r="K1362" s="46" t="n">
        <v>1361</v>
      </c>
      <c r="L1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3">
      <c r="A1363" s="229" t="n">
        <v>46139</v>
      </c>
      <c r="B1363" s="46" t="inlineStr">
        <is>
          <t>정기검사</t>
        </is>
      </c>
      <c r="C1363" s="46" t="inlineStr">
        <is>
          <t>김포지역</t>
        </is>
      </c>
      <c r="D1363" s="46" t="inlineStr">
        <is>
          <t>오성기업</t>
        </is>
      </c>
      <c r="E1363" s="46" t="n">
        <v>100</v>
      </c>
      <c r="F1363" s="46" t="inlineStr">
        <is>
          <t>석탄리</t>
        </is>
      </c>
      <c r="G1363" s="50" t="n">
        <v>0.4375</v>
      </c>
      <c r="H1363" s="51" t="n">
        <v>391710</v>
      </c>
      <c r="I1363" s="46" t="inlineStr">
        <is>
          <t>정성관</t>
        </is>
      </c>
      <c r="K1363" s="46" t="n">
        <v>1362</v>
      </c>
      <c r="L1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4">
      <c r="A1364" s="229" t="n">
        <v>46139</v>
      </c>
      <c r="B1364" s="46" t="inlineStr">
        <is>
          <t>정기검사</t>
        </is>
      </c>
      <c r="C1364" s="46" t="inlineStr">
        <is>
          <t>김포지역</t>
        </is>
      </c>
      <c r="D1364" s="46" t="inlineStr">
        <is>
          <t>김포성당</t>
        </is>
      </c>
      <c r="E1364" s="46" t="n">
        <v>400</v>
      </c>
      <c r="F1364" s="46" t="inlineStr">
        <is>
          <t>북변동</t>
        </is>
      </c>
      <c r="G1364" s="50" t="n">
        <v>0.5833333333333334</v>
      </c>
      <c r="H1364" s="51" t="n">
        <v>703120</v>
      </c>
      <c r="I1364" s="46" t="inlineStr">
        <is>
          <t>송두기</t>
        </is>
      </c>
      <c r="K1364" s="46" t="n">
        <v>1363</v>
      </c>
      <c r="L1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5">
      <c r="A1365" s="229" t="n">
        <v>46139</v>
      </c>
      <c r="B1365" s="46" t="inlineStr">
        <is>
          <t>정기검사</t>
        </is>
      </c>
      <c r="C1365" s="46" t="inlineStr">
        <is>
          <t>김포지역</t>
        </is>
      </c>
      <c r="D1365" s="46" t="inlineStr">
        <is>
          <t>이건산업-기배부</t>
        </is>
      </c>
      <c r="E1365" s="46" t="n">
        <v>300</v>
      </c>
      <c r="F1365" s="46" t="inlineStr">
        <is>
          <t>초원지리</t>
        </is>
      </c>
      <c r="G1365" s="50" t="n">
        <v>0.4791666666666667</v>
      </c>
      <c r="H1365" s="51" t="n">
        <v>521730</v>
      </c>
      <c r="I1365" s="46" t="inlineStr">
        <is>
          <t>정신배</t>
        </is>
      </c>
      <c r="K1365" s="46" t="n">
        <v>1364</v>
      </c>
      <c r="L1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6">
      <c r="A1366" s="229" t="n">
        <v>46139</v>
      </c>
      <c r="B1366" s="46" t="inlineStr">
        <is>
          <t>정기검사</t>
        </is>
      </c>
      <c r="C1366" s="46" t="inlineStr">
        <is>
          <t>김포지역</t>
        </is>
      </c>
      <c r="D1366" s="46" t="inlineStr">
        <is>
          <t>진영에스텍</t>
        </is>
      </c>
      <c r="E1366" s="46" t="n">
        <v>290</v>
      </c>
      <c r="F1366" s="46" t="inlineStr">
        <is>
          <t>가현리</t>
        </is>
      </c>
      <c r="G1366" s="50" t="n">
        <v>0.4791666666666667</v>
      </c>
      <c r="H1366" s="51" t="n">
        <v>515130</v>
      </c>
      <c r="I1366" s="46" t="inlineStr">
        <is>
          <t>민경수</t>
        </is>
      </c>
      <c r="K1366" s="46" t="n">
        <v>1365</v>
      </c>
      <c r="L1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7">
      <c r="A1367" s="229" t="n">
        <v>46139</v>
      </c>
      <c r="B1367" s="46" t="inlineStr">
        <is>
          <t>정기검사</t>
        </is>
      </c>
      <c r="C1367" s="46" t="inlineStr">
        <is>
          <t>김포지역</t>
        </is>
      </c>
      <c r="D1367" s="46" t="inlineStr">
        <is>
          <t>지후태양광</t>
        </is>
      </c>
      <c r="E1367" s="46" t="n">
        <v>19</v>
      </c>
      <c r="F1367" s="46" t="inlineStr">
        <is>
          <t>상마리</t>
        </is>
      </c>
      <c r="G1367" s="50" t="n"/>
      <c r="H1367" s="51" t="n">
        <v>94380</v>
      </c>
      <c r="I1367" s="46" t="inlineStr">
        <is>
          <t>서수형</t>
        </is>
      </c>
      <c r="K1367" s="46" t="n">
        <v>1366</v>
      </c>
      <c r="L1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8">
      <c r="A1368" s="229" t="n">
        <v>46139</v>
      </c>
      <c r="B1368" s="46" t="inlineStr">
        <is>
          <t>정기검사</t>
        </is>
      </c>
      <c r="C1368" s="46" t="inlineStr">
        <is>
          <t>김포지역</t>
        </is>
      </c>
      <c r="D1368" s="46" t="inlineStr">
        <is>
          <t>청안건설</t>
        </is>
      </c>
      <c r="E1368" s="46" t="n">
        <v>250</v>
      </c>
      <c r="F1368" s="46" t="inlineStr">
        <is>
          <t>석탄리</t>
        </is>
      </c>
      <c r="G1368" s="50" t="n">
        <v>0.4791666666666667</v>
      </c>
      <c r="H1368" s="51" t="n">
        <v>489170</v>
      </c>
      <c r="I1368" s="46" t="inlineStr">
        <is>
          <t>정신배</t>
        </is>
      </c>
      <c r="K1368" s="46" t="n">
        <v>1367</v>
      </c>
      <c r="L1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9">
      <c r="A1369" s="229" t="n">
        <v>46139</v>
      </c>
      <c r="B1369" s="46" t="inlineStr">
        <is>
          <t>정기검사</t>
        </is>
      </c>
      <c r="C1369" s="46" t="inlineStr">
        <is>
          <t>김포지역</t>
        </is>
      </c>
      <c r="D1369" s="46" t="inlineStr">
        <is>
          <t>라라이브</t>
        </is>
      </c>
      <c r="E1369" s="46" t="inlineStr">
        <is>
          <t>전기차</t>
        </is>
      </c>
      <c r="F1369" s="46" t="inlineStr">
        <is>
          <t>구래동</t>
        </is>
      </c>
      <c r="G1369" s="50" t="n"/>
      <c r="H1369" s="51" t="n">
        <v>64240</v>
      </c>
      <c r="I1369" s="46" t="inlineStr">
        <is>
          <t>서수형</t>
        </is>
      </c>
      <c r="K1369" s="46" t="n">
        <v>1368</v>
      </c>
      <c r="L1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0">
      <c r="A1370" s="229" t="n">
        <v>46139</v>
      </c>
      <c r="B1370" s="46" t="inlineStr">
        <is>
          <t>사용전검사</t>
        </is>
      </c>
      <c r="C1370" s="46" t="inlineStr">
        <is>
          <t>부천지역</t>
        </is>
      </c>
      <c r="D1370" s="46" t="inlineStr">
        <is>
          <t>역목성모정형</t>
        </is>
      </c>
      <c r="E1370" s="46" t="n">
        <v>25</v>
      </c>
      <c r="F1370" s="46" t="inlineStr">
        <is>
          <t>역곡동</t>
        </is>
      </c>
      <c r="G1370" s="50" t="n"/>
      <c r="H1370" s="51" t="n"/>
      <c r="I1370" s="46" t="inlineStr">
        <is>
          <t>송낙명</t>
        </is>
      </c>
      <c r="K1370" s="46" t="n">
        <v>1369</v>
      </c>
      <c r="L1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1">
      <c r="A1371" s="229" t="n">
        <v>46139</v>
      </c>
      <c r="B1371" s="46" t="inlineStr">
        <is>
          <t>사용전검사</t>
        </is>
      </c>
      <c r="C1371" s="46" t="inlineStr">
        <is>
          <t>부천지역</t>
        </is>
      </c>
      <c r="D1371" s="46" t="inlineStr">
        <is>
          <t>황인숙</t>
        </is>
      </c>
      <c r="E1371" s="46" t="n">
        <v>10</v>
      </c>
      <c r="F1371" s="46" t="inlineStr">
        <is>
          <t>중동</t>
        </is>
      </c>
      <c r="G1371" s="50" t="n"/>
      <c r="H1371" s="51" t="n"/>
      <c r="I1371" s="46" t="inlineStr">
        <is>
          <t>송낙명</t>
        </is>
      </c>
      <c r="K1371" s="46" t="n">
        <v>1370</v>
      </c>
      <c r="L1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2">
      <c r="A1372" s="229" t="n">
        <v>46139</v>
      </c>
      <c r="B1372" s="46" t="inlineStr">
        <is>
          <t>사용전검사</t>
        </is>
      </c>
      <c r="C1372" s="46" t="inlineStr">
        <is>
          <t>부천지역</t>
        </is>
      </c>
      <c r="D1372" s="46" t="inlineStr">
        <is>
          <t>세종병원</t>
        </is>
      </c>
      <c r="E1372" s="46" t="inlineStr">
        <is>
          <t>부분</t>
        </is>
      </c>
      <c r="F1372" s="46" t="n"/>
      <c r="G1372" s="50" t="n"/>
      <c r="H1372" s="51" t="n"/>
      <c r="I1372" s="46" t="inlineStr">
        <is>
          <t>이종석</t>
        </is>
      </c>
      <c r="K1372" s="46" t="n">
        <v>1371</v>
      </c>
      <c r="L1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3">
      <c r="A1373" s="229" t="n">
        <v>46139</v>
      </c>
      <c r="B1373" s="46" t="inlineStr">
        <is>
          <t>사용전검사</t>
        </is>
      </c>
      <c r="C1373" s="46" t="inlineStr">
        <is>
          <t>부천지역</t>
        </is>
      </c>
      <c r="D1373" s="46" t="inlineStr">
        <is>
          <t>산성교회</t>
        </is>
      </c>
      <c r="E1373" s="46" t="n">
        <v>200</v>
      </c>
      <c r="F1373" s="46" t="inlineStr">
        <is>
          <t>심곡본동</t>
        </is>
      </c>
      <c r="G1373" s="50" t="n"/>
      <c r="H1373" s="51" t="n"/>
      <c r="I1373" s="46" t="inlineStr">
        <is>
          <t>김영권</t>
        </is>
      </c>
      <c r="K1373" s="46" t="n">
        <v>1372</v>
      </c>
      <c r="L1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4">
      <c r="A1374" s="229" t="n">
        <v>46139</v>
      </c>
      <c r="B1374" s="46" t="inlineStr">
        <is>
          <t>메모</t>
        </is>
      </c>
      <c r="C1374" s="46" t="inlineStr">
        <is>
          <t>부천지역</t>
        </is>
      </c>
      <c r="D1374" s="46" t="inlineStr">
        <is>
          <t>우승택휴가</t>
        </is>
      </c>
      <c r="E1374" s="46" t="n"/>
      <c r="F1374" s="46" t="n"/>
      <c r="G1374" s="50" t="n"/>
      <c r="H1374" s="51" t="n"/>
      <c r="I1374" s="46" t="n"/>
      <c r="K1374" s="46" t="n">
        <v>1373</v>
      </c>
      <c r="L1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5">
      <c r="A1375" s="229" t="n">
        <v>46139</v>
      </c>
      <c r="B1375" s="46" t="inlineStr">
        <is>
          <t>메모</t>
        </is>
      </c>
      <c r="C1375" s="46" t="inlineStr">
        <is>
          <t>부천지역</t>
        </is>
      </c>
      <c r="D1375" s="46" t="inlineStr">
        <is>
          <t>한태희교육</t>
        </is>
      </c>
      <c r="E1375" s="46" t="n"/>
      <c r="F1375" s="46" t="n"/>
      <c r="G1375" s="50" t="n"/>
      <c r="H1375" s="51" t="n"/>
      <c r="I1375" s="46" t="n"/>
      <c r="K1375" s="46" t="n">
        <v>1374</v>
      </c>
      <c r="L1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6">
      <c r="A1376" s="229" t="n">
        <v>46139</v>
      </c>
      <c r="B1376" s="46" t="inlineStr">
        <is>
          <t>메모</t>
        </is>
      </c>
      <c r="C1376" s="46" t="inlineStr">
        <is>
          <t>부천지역</t>
        </is>
      </c>
      <c r="D1376" s="46" t="inlineStr">
        <is>
          <t>이덕기휴가</t>
        </is>
      </c>
      <c r="E1376" s="46" t="n"/>
      <c r="F1376" s="46" t="n"/>
      <c r="G1376" s="50" t="n"/>
      <c r="H1376" s="51" t="n"/>
      <c r="I1376" s="46" t="n"/>
      <c r="K1376" s="46" t="n">
        <v>1375</v>
      </c>
      <c r="L1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7">
      <c r="A1377" s="229" t="n">
        <v>46139</v>
      </c>
      <c r="B1377" s="46" t="inlineStr">
        <is>
          <t>사용전검사</t>
        </is>
      </c>
      <c r="C1377" s="46" t="inlineStr">
        <is>
          <t>김포지역</t>
        </is>
      </c>
      <c r="D1377" s="46" t="inlineStr">
        <is>
          <t>김포시자원봉사</t>
        </is>
      </c>
      <c r="E1377" s="46" t="n">
        <v>140</v>
      </c>
      <c r="F1377" s="46" t="inlineStr">
        <is>
          <t>북변동</t>
        </is>
      </c>
      <c r="G1377" s="50" t="n"/>
      <c r="H1377" s="51" t="n"/>
      <c r="I1377" s="46" t="inlineStr">
        <is>
          <t>송두기</t>
        </is>
      </c>
      <c r="K1377" s="46" t="n">
        <v>1376</v>
      </c>
      <c r="L1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8">
      <c r="A1378" s="229" t="n">
        <v>46139</v>
      </c>
      <c r="B1378" s="46" t="inlineStr">
        <is>
          <t>사용전검사</t>
        </is>
      </c>
      <c r="C1378" s="46" t="inlineStr">
        <is>
          <t>김포지역</t>
        </is>
      </c>
      <c r="D1378" s="46" t="inlineStr">
        <is>
          <t>전주이씨</t>
        </is>
      </c>
      <c r="E1378" s="46" t="inlineStr">
        <is>
          <t>부분</t>
        </is>
      </c>
      <c r="F1378" s="46" t="n"/>
      <c r="G1378" s="50" t="n"/>
      <c r="H1378" s="51" t="n"/>
      <c r="I1378" s="46" t="inlineStr">
        <is>
          <t>서수형</t>
        </is>
      </c>
      <c r="K1378" s="46" t="n">
        <v>1377</v>
      </c>
      <c r="L1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9">
      <c r="A1379" s="229" t="n">
        <v>46139</v>
      </c>
      <c r="B1379" s="46" t="inlineStr">
        <is>
          <t>사용전검사</t>
        </is>
      </c>
      <c r="C1379" s="46" t="inlineStr">
        <is>
          <t>김포지역</t>
        </is>
      </c>
      <c r="D1379" s="46" t="inlineStr">
        <is>
          <t>에이치케이온</t>
        </is>
      </c>
      <c r="E1379" s="46" t="n">
        <v>250</v>
      </c>
      <c r="F1379" s="46" t="inlineStr">
        <is>
          <t>대포리</t>
        </is>
      </c>
      <c r="G1379" s="50" t="n"/>
      <c r="H1379" s="51" t="n"/>
      <c r="I1379" s="46" t="inlineStr">
        <is>
          <t>민재홍</t>
        </is>
      </c>
      <c r="K1379" s="46" t="n">
        <v>1378</v>
      </c>
      <c r="L1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0">
      <c r="A1380" s="229" t="n">
        <v>46139</v>
      </c>
      <c r="B1380" s="46" t="inlineStr">
        <is>
          <t>사용전검사</t>
        </is>
      </c>
      <c r="C1380" s="46" t="inlineStr">
        <is>
          <t>김포지역</t>
        </is>
      </c>
      <c r="D1380" s="46" t="inlineStr">
        <is>
          <t>엠텍</t>
        </is>
      </c>
      <c r="E1380" s="46" t="n">
        <v>120</v>
      </c>
      <c r="F1380" s="46" t="inlineStr">
        <is>
          <t>석정리</t>
        </is>
      </c>
      <c r="G1380" s="50" t="n"/>
      <c r="H1380" s="51" t="n"/>
      <c r="I1380" s="46" t="inlineStr">
        <is>
          <t>서수형</t>
        </is>
      </c>
      <c r="K1380" s="46" t="n">
        <v>1379</v>
      </c>
      <c r="L1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1">
      <c r="A1381" s="229" t="n">
        <v>46139</v>
      </c>
      <c r="B1381" s="46" t="inlineStr">
        <is>
          <t>사용전검사</t>
        </is>
      </c>
      <c r="C1381" s="46" t="inlineStr">
        <is>
          <t>김포지역</t>
        </is>
      </c>
      <c r="D1381" s="46" t="inlineStr">
        <is>
          <t>뉴테크</t>
        </is>
      </c>
      <c r="E1381" s="46" t="n">
        <v>99</v>
      </c>
      <c r="F1381" s="46" t="inlineStr">
        <is>
          <t>학운리</t>
        </is>
      </c>
      <c r="G1381" s="50" t="n"/>
      <c r="H1381" s="51" t="n"/>
      <c r="I1381" s="46" t="inlineStr">
        <is>
          <t>민경수</t>
        </is>
      </c>
      <c r="K1381" s="46" t="n">
        <v>1380</v>
      </c>
      <c r="L1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2">
      <c r="A1382" s="229" t="n">
        <v>46140</v>
      </c>
      <c r="B1382" s="46" t="inlineStr">
        <is>
          <t>정기검사</t>
        </is>
      </c>
      <c r="C1382" s="46" t="inlineStr">
        <is>
          <t>부천지역</t>
        </is>
      </c>
      <c r="D1382" s="46" t="inlineStr">
        <is>
          <t>부천도시공사</t>
        </is>
      </c>
      <c r="E1382" s="46" t="n">
        <v>24</v>
      </c>
      <c r="F1382" s="46" t="inlineStr">
        <is>
          <t>상동</t>
        </is>
      </c>
      <c r="G1382" s="50" t="n"/>
      <c r="H1382" s="51" t="n">
        <v>176550</v>
      </c>
      <c r="I1382" s="46" t="inlineStr">
        <is>
          <t>민재홍</t>
        </is>
      </c>
      <c r="K1382" s="46" t="n">
        <v>1381</v>
      </c>
      <c r="L1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3">
      <c r="A1383" s="229" t="n">
        <v>46140</v>
      </c>
      <c r="B1383" s="46" t="inlineStr">
        <is>
          <t>정기검사</t>
        </is>
      </c>
      <c r="C1383" s="46" t="inlineStr">
        <is>
          <t>부천지역</t>
        </is>
      </c>
      <c r="D1383" s="46" t="inlineStr">
        <is>
          <t>광명교회</t>
        </is>
      </c>
      <c r="E1383" s="46" t="n">
        <v>500</v>
      </c>
      <c r="F1383" s="46" t="inlineStr">
        <is>
          <t>소사동</t>
        </is>
      </c>
      <c r="G1383" s="50" t="n">
        <v>0.4583333333333333</v>
      </c>
      <c r="H1383" s="51" t="n">
        <v>737000</v>
      </c>
      <c r="I1383" s="46" t="inlineStr">
        <is>
          <t>이덕기</t>
        </is>
      </c>
      <c r="K1383" s="46" t="n">
        <v>1382</v>
      </c>
      <c r="L1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4">
      <c r="A1384" s="229" t="n">
        <v>46140</v>
      </c>
      <c r="B1384" s="46" t="inlineStr">
        <is>
          <t>정기검사</t>
        </is>
      </c>
      <c r="C1384" s="46" t="inlineStr">
        <is>
          <t>부천지역</t>
        </is>
      </c>
      <c r="D1384" s="46" t="inlineStr">
        <is>
          <t>한우농가</t>
        </is>
      </c>
      <c r="E1384" s="46" t="n">
        <v>500</v>
      </c>
      <c r="F1384" s="46" t="inlineStr">
        <is>
          <t>춘의동</t>
        </is>
      </c>
      <c r="G1384" s="50" t="n">
        <v>0.375</v>
      </c>
      <c r="H1384" s="51" t="n">
        <v>737000</v>
      </c>
      <c r="I1384" s="46" t="inlineStr">
        <is>
          <t>이덕기</t>
        </is>
      </c>
      <c r="K1384" s="46" t="n">
        <v>1383</v>
      </c>
      <c r="L1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5">
      <c r="A1385" s="229" t="n">
        <v>46140</v>
      </c>
      <c r="B1385" s="46" t="inlineStr">
        <is>
          <t>정기검사</t>
        </is>
      </c>
      <c r="C1385" s="46" t="inlineStr">
        <is>
          <t>부천지역</t>
        </is>
      </c>
      <c r="D1385" s="46" t="inlineStr">
        <is>
          <t>첼로모텔</t>
        </is>
      </c>
      <c r="E1385" s="46" t="n">
        <v>250</v>
      </c>
      <c r="F1385" s="46" t="inlineStr">
        <is>
          <t>상동</t>
        </is>
      </c>
      <c r="G1385" s="50" t="n">
        <v>0.4166666666666667</v>
      </c>
      <c r="H1385" s="51" t="n">
        <v>489170</v>
      </c>
      <c r="I1385" s="46" t="inlineStr">
        <is>
          <t>송낙명</t>
        </is>
      </c>
      <c r="K1385" s="46" t="n">
        <v>1384</v>
      </c>
      <c r="L1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6">
      <c r="A1386" s="229" t="n">
        <v>46140</v>
      </c>
      <c r="B1386" s="46" t="inlineStr">
        <is>
          <t>정기검사</t>
        </is>
      </c>
      <c r="C1386" s="46" t="inlineStr">
        <is>
          <t>부천지역</t>
        </is>
      </c>
      <c r="D1386" s="46" t="inlineStr">
        <is>
          <t>정산테크</t>
        </is>
      </c>
      <c r="E1386" s="46" t="n">
        <v>290</v>
      </c>
      <c r="F1386" s="46" t="inlineStr">
        <is>
          <t>도당동</t>
        </is>
      </c>
      <c r="G1386" s="50" t="n">
        <v>0.5</v>
      </c>
      <c r="H1386" s="51" t="n">
        <v>515130</v>
      </c>
      <c r="I1386" s="46" t="inlineStr">
        <is>
          <t>서수형</t>
        </is>
      </c>
      <c r="K1386" s="46" t="n">
        <v>1385</v>
      </c>
      <c r="L1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7">
      <c r="A1387" s="229" t="n">
        <v>46140</v>
      </c>
      <c r="B1387" s="46" t="inlineStr">
        <is>
          <t>정기검사</t>
        </is>
      </c>
      <c r="C1387" s="46" t="inlineStr">
        <is>
          <t>부천지역</t>
        </is>
      </c>
      <c r="D1387" s="46" t="inlineStr">
        <is>
          <t>도원빌리지</t>
        </is>
      </c>
      <c r="E1387" s="46" t="inlineStr">
        <is>
          <t>500/236</t>
        </is>
      </c>
      <c r="F1387" s="46" t="inlineStr">
        <is>
          <t>송내동</t>
        </is>
      </c>
      <c r="G1387" s="50" t="n">
        <v>0.3958333333333333</v>
      </c>
      <c r="H1387" s="51" t="n">
        <v>943360</v>
      </c>
      <c r="I1387" s="46" t="inlineStr">
        <is>
          <t>민경수</t>
        </is>
      </c>
      <c r="K1387" s="46" t="n">
        <v>1386</v>
      </c>
      <c r="L1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8">
      <c r="A1388" s="229" t="n">
        <v>46140</v>
      </c>
      <c r="B1388" s="46" t="inlineStr">
        <is>
          <t>정기검사</t>
        </is>
      </c>
      <c r="C1388" s="46" t="inlineStr">
        <is>
          <t>김포지역</t>
        </is>
      </c>
      <c r="D1388" s="46" t="inlineStr">
        <is>
          <t>청호ict</t>
        </is>
      </c>
      <c r="E1388" s="46" t="n">
        <v>950</v>
      </c>
      <c r="F1388" s="46" t="inlineStr">
        <is>
          <t>학운리</t>
        </is>
      </c>
      <c r="G1388" s="50" t="n">
        <v>0.4791666666666667</v>
      </c>
      <c r="H1388" s="51" t="n">
        <v>889460</v>
      </c>
      <c r="I1388" s="46" t="inlineStr">
        <is>
          <t>이종석</t>
        </is>
      </c>
      <c r="K1388" s="46" t="n">
        <v>1387</v>
      </c>
      <c r="L1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9">
      <c r="A1389" s="229" t="n">
        <v>46140</v>
      </c>
      <c r="B1389" s="46" t="inlineStr">
        <is>
          <t>정기검사</t>
        </is>
      </c>
      <c r="C1389" s="46" t="inlineStr">
        <is>
          <t>김포지역</t>
        </is>
      </c>
      <c r="D1389" s="46" t="inlineStr">
        <is>
          <t>신한하이테크</t>
        </is>
      </c>
      <c r="E1389" s="46" t="n">
        <v>250</v>
      </c>
      <c r="F1389" s="46" t="inlineStr">
        <is>
          <t>대벽리</t>
        </is>
      </c>
      <c r="G1389" s="50" t="n">
        <v>0.4791666666666667</v>
      </c>
      <c r="H1389" s="51" t="n">
        <v>489170</v>
      </c>
      <c r="I1389" s="46" t="inlineStr">
        <is>
          <t>정신배</t>
        </is>
      </c>
      <c r="K1389" s="46" t="n">
        <v>1388</v>
      </c>
      <c r="L1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0">
      <c r="A1390" s="229" t="n">
        <v>46140</v>
      </c>
      <c r="B1390" s="46" t="inlineStr">
        <is>
          <t>정기검사</t>
        </is>
      </c>
      <c r="C1390" s="46" t="inlineStr">
        <is>
          <t>김포지역</t>
        </is>
      </c>
      <c r="D1390" s="46" t="inlineStr">
        <is>
          <t>청송안전씨스템</t>
        </is>
      </c>
      <c r="E1390" s="46" t="inlineStr">
        <is>
          <t>500/159</t>
        </is>
      </c>
      <c r="F1390" s="46" t="inlineStr">
        <is>
          <t>풍무동</t>
        </is>
      </c>
      <c r="G1390" s="50" t="n">
        <v>0.2708333333333333</v>
      </c>
      <c r="H1390" s="51" t="n">
        <v>1196800</v>
      </c>
      <c r="I1390" s="46" t="inlineStr">
        <is>
          <t>송두기</t>
        </is>
      </c>
      <c r="K1390" s="46" t="n">
        <v>1389</v>
      </c>
      <c r="L1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1">
      <c r="A1391" s="229" t="n">
        <v>46140</v>
      </c>
      <c r="B1391" s="46" t="inlineStr">
        <is>
          <t>정기검사</t>
        </is>
      </c>
      <c r="C1391" s="46" t="inlineStr">
        <is>
          <t>김포지역</t>
        </is>
      </c>
      <c r="D1391" s="46" t="inlineStr">
        <is>
          <t>청구아파트</t>
        </is>
      </c>
      <c r="E1391" s="46" t="inlineStr">
        <is>
          <t>전기차</t>
        </is>
      </c>
      <c r="F1391" s="46" t="inlineStr">
        <is>
          <t>고촌</t>
        </is>
      </c>
      <c r="G1391" s="50" t="n">
        <v>0.5833333333333334</v>
      </c>
      <c r="H1391" s="51" t="n">
        <v>55770</v>
      </c>
      <c r="I1391" s="46" t="inlineStr">
        <is>
          <t>정성관</t>
        </is>
      </c>
      <c r="K1391" s="46" t="n">
        <v>1390</v>
      </c>
      <c r="L1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2">
      <c r="A1392" s="229" t="n">
        <v>46140</v>
      </c>
      <c r="B1392" s="46" t="inlineStr">
        <is>
          <t>정기검사</t>
        </is>
      </c>
      <c r="C1392" s="46" t="inlineStr">
        <is>
          <t>김포지역</t>
        </is>
      </c>
      <c r="D1392" s="46" t="inlineStr">
        <is>
          <t>청구아파트</t>
        </is>
      </c>
      <c r="E1392" s="46" t="inlineStr">
        <is>
          <t>650/165</t>
        </is>
      </c>
      <c r="F1392" s="46" t="inlineStr">
        <is>
          <t>고촌</t>
        </is>
      </c>
      <c r="G1392" s="50" t="n">
        <v>0.5833333333333334</v>
      </c>
      <c r="H1392" s="51" t="n">
        <v>973170</v>
      </c>
      <c r="I1392" s="46" t="inlineStr">
        <is>
          <t>정성관</t>
        </is>
      </c>
      <c r="K1392" s="46" t="n">
        <v>1391</v>
      </c>
      <c r="L1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3">
      <c r="A1393" s="229" t="n">
        <v>46140</v>
      </c>
      <c r="B1393" s="46" t="inlineStr">
        <is>
          <t>정기검사</t>
        </is>
      </c>
      <c r="C1393" s="46" t="inlineStr">
        <is>
          <t>김포지역</t>
        </is>
      </c>
      <c r="D1393" s="46" t="inlineStr">
        <is>
          <t>오르지아파트</t>
        </is>
      </c>
      <c r="E1393" s="46" t="n">
        <v>68</v>
      </c>
      <c r="F1393" s="46" t="inlineStr">
        <is>
          <t>양곡리</t>
        </is>
      </c>
      <c r="G1393" s="50" t="n">
        <v>0.3958333333333333</v>
      </c>
      <c r="H1393" s="51" t="n">
        <v>156640</v>
      </c>
      <c r="I1393" s="46" t="inlineStr">
        <is>
          <t>송두기</t>
        </is>
      </c>
      <c r="K1393" s="46" t="n">
        <v>1392</v>
      </c>
      <c r="L1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4">
      <c r="A1394" s="229" t="n">
        <v>46140</v>
      </c>
      <c r="B1394" s="46" t="inlineStr">
        <is>
          <t>정기검사</t>
        </is>
      </c>
      <c r="C1394" s="46" t="inlineStr">
        <is>
          <t>김포지역</t>
        </is>
      </c>
      <c r="D1394" s="46" t="inlineStr">
        <is>
          <t>청구아파트</t>
        </is>
      </c>
      <c r="E1394" s="46" t="inlineStr">
        <is>
          <t>전기차</t>
        </is>
      </c>
      <c r="F1394" s="46" t="inlineStr">
        <is>
          <t>고촌</t>
        </is>
      </c>
      <c r="G1394" s="50" t="n">
        <v>0.5833333333333334</v>
      </c>
      <c r="H1394" s="51" t="n">
        <v>72710</v>
      </c>
      <c r="I1394" s="46" t="inlineStr">
        <is>
          <t>정성관</t>
        </is>
      </c>
      <c r="K1394" s="46" t="n">
        <v>1393</v>
      </c>
      <c r="L1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5">
      <c r="A1395" s="229" t="n">
        <v>46140</v>
      </c>
      <c r="B1395" s="46" t="inlineStr">
        <is>
          <t>정기검사</t>
        </is>
      </c>
      <c r="C1395" s="46" t="inlineStr">
        <is>
          <t>김포지역</t>
        </is>
      </c>
      <c r="D1395" s="46" t="inlineStr">
        <is>
          <t>신일특장</t>
        </is>
      </c>
      <c r="E1395" s="46" t="n">
        <v>149</v>
      </c>
      <c r="F1395" s="46" t="inlineStr">
        <is>
          <t>가현리</t>
        </is>
      </c>
      <c r="G1395" s="50" t="n">
        <v>0.4375</v>
      </c>
      <c r="H1395" s="51" t="n">
        <v>231550</v>
      </c>
      <c r="I1395" s="46" t="inlineStr">
        <is>
          <t>허창수</t>
        </is>
      </c>
      <c r="K1395" s="46" t="n">
        <v>1394</v>
      </c>
      <c r="L1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6">
      <c r="A1396" s="229" t="n">
        <v>46140</v>
      </c>
      <c r="B1396" s="46" t="inlineStr">
        <is>
          <t>정기검사</t>
        </is>
      </c>
      <c r="C1396" s="46" t="inlineStr">
        <is>
          <t>김포지역</t>
        </is>
      </c>
      <c r="D1396" s="46" t="inlineStr">
        <is>
          <t>육군제3957</t>
        </is>
      </c>
      <c r="E1396" s="46" t="n">
        <v>1195</v>
      </c>
      <c r="F1396" s="46" t="inlineStr">
        <is>
          <t>신안리</t>
        </is>
      </c>
      <c r="G1396" s="50" t="n">
        <v>0.4375</v>
      </c>
      <c r="H1396" s="51" t="n">
        <v>934890</v>
      </c>
      <c r="I1396" s="46" t="inlineStr">
        <is>
          <t>김영권</t>
        </is>
      </c>
      <c r="K1396" s="46" t="n">
        <v>1395</v>
      </c>
      <c r="L1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7">
      <c r="A1397" s="229" t="n">
        <v>46140</v>
      </c>
      <c r="B1397" s="46" t="inlineStr">
        <is>
          <t>정기검사</t>
        </is>
      </c>
      <c r="C1397" s="46" t="inlineStr">
        <is>
          <t>김포지역</t>
        </is>
      </c>
      <c r="D1397" s="46" t="inlineStr">
        <is>
          <t>지에스칼텍스</t>
        </is>
      </c>
      <c r="E1397" s="46" t="inlineStr">
        <is>
          <t>전기차</t>
        </is>
      </c>
      <c r="F1397" s="46" t="inlineStr">
        <is>
          <t>옹정리</t>
        </is>
      </c>
      <c r="G1397" s="50" t="n">
        <v>0.3958333333333333</v>
      </c>
      <c r="H1397" s="51" t="n">
        <v>247940</v>
      </c>
      <c r="I1397" s="46" t="inlineStr">
        <is>
          <t>허창수</t>
        </is>
      </c>
      <c r="K1397" s="46" t="n">
        <v>1396</v>
      </c>
      <c r="L1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8">
      <c r="A1398" s="229" t="n">
        <v>46140</v>
      </c>
      <c r="B1398" s="46" t="inlineStr">
        <is>
          <t>사용전검사</t>
        </is>
      </c>
      <c r="C1398" s="46" t="inlineStr">
        <is>
          <t>부천지역</t>
        </is>
      </c>
      <c r="D1398" s="46" t="inlineStr">
        <is>
          <t>뉴세턴</t>
        </is>
      </c>
      <c r="E1398" s="46" t="n">
        <v>500</v>
      </c>
      <c r="F1398" s="46" t="inlineStr">
        <is>
          <t>상동</t>
        </is>
      </c>
      <c r="G1398" s="50" t="n"/>
      <c r="H1398" s="51" t="n"/>
      <c r="I1398" s="46" t="inlineStr">
        <is>
          <t>민경수</t>
        </is>
      </c>
      <c r="K1398" s="46" t="n">
        <v>1397</v>
      </c>
      <c r="L1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9">
      <c r="A1399" s="229" t="n">
        <v>46140</v>
      </c>
      <c r="B1399" s="46" t="inlineStr">
        <is>
          <t>메모</t>
        </is>
      </c>
      <c r="C1399" s="46" t="inlineStr">
        <is>
          <t>부천지역</t>
        </is>
      </c>
      <c r="D1399" s="46" t="inlineStr">
        <is>
          <t>우승택휴가</t>
        </is>
      </c>
      <c r="E1399" s="46" t="n"/>
      <c r="F1399" s="46" t="n"/>
      <c r="G1399" s="50" t="n"/>
      <c r="H1399" s="51" t="n"/>
      <c r="I1399" s="46" t="n"/>
      <c r="K1399" s="46" t="n">
        <v>1398</v>
      </c>
      <c r="L1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0">
      <c r="A1400" s="229" t="n">
        <v>46140</v>
      </c>
      <c r="B1400" s="46" t="inlineStr">
        <is>
          <t>메모</t>
        </is>
      </c>
      <c r="C1400" s="46" t="inlineStr">
        <is>
          <t>부천지역</t>
        </is>
      </c>
      <c r="D1400" s="46" t="inlineStr">
        <is>
          <t>한태희교육</t>
        </is>
      </c>
      <c r="E1400" s="46" t="n"/>
      <c r="F1400" s="46" t="n"/>
      <c r="G1400" s="50" t="n"/>
      <c r="H1400" s="51" t="n"/>
      <c r="I1400" s="46" t="n"/>
      <c r="K1400" s="46" t="n">
        <v>1399</v>
      </c>
      <c r="L1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1">
      <c r="A1401" s="229" t="n">
        <v>46140</v>
      </c>
      <c r="B1401" s="46" t="inlineStr">
        <is>
          <t>사용전검사</t>
        </is>
      </c>
      <c r="C1401" s="46" t="inlineStr">
        <is>
          <t>김포지역</t>
        </is>
      </c>
      <c r="D1401" s="46" t="inlineStr">
        <is>
          <t>극강우드</t>
        </is>
      </c>
      <c r="E1401" s="46" t="n">
        <v>290</v>
      </c>
      <c r="F1401" s="46" t="inlineStr">
        <is>
          <t>석정리</t>
        </is>
      </c>
      <c r="G1401" s="50" t="n"/>
      <c r="H1401" s="51" t="n"/>
      <c r="I1401" s="46" t="inlineStr">
        <is>
          <t>김영권</t>
        </is>
      </c>
      <c r="K1401" s="46" t="n">
        <v>1400</v>
      </c>
      <c r="L1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2">
      <c r="A1402" s="229" t="n">
        <v>46141</v>
      </c>
      <c r="B1402" s="46" t="inlineStr">
        <is>
          <t>정기검사</t>
        </is>
      </c>
      <c r="C1402" s="46" t="inlineStr">
        <is>
          <t>부천지역</t>
        </is>
      </c>
      <c r="D1402" s="46" t="inlineStr">
        <is>
          <t>티비에스</t>
        </is>
      </c>
      <c r="E1402" s="46" t="n">
        <v>200</v>
      </c>
      <c r="F1402" s="46" t="inlineStr">
        <is>
          <t>춘의동</t>
        </is>
      </c>
      <c r="G1402" s="50" t="n">
        <v>0.5</v>
      </c>
      <c r="H1402" s="51" t="n">
        <v>456720</v>
      </c>
      <c r="I1402" s="46" t="inlineStr">
        <is>
          <t>민경수</t>
        </is>
      </c>
      <c r="K1402" s="46" t="n">
        <v>1401</v>
      </c>
      <c r="L1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3">
      <c r="A1403" s="229" t="n">
        <v>46141</v>
      </c>
      <c r="B1403" s="46" t="inlineStr">
        <is>
          <t>정기검사</t>
        </is>
      </c>
      <c r="C1403" s="46" t="inlineStr">
        <is>
          <t>부천지역</t>
        </is>
      </c>
      <c r="D1403" s="46" t="inlineStr">
        <is>
          <t>일신</t>
        </is>
      </c>
      <c r="E1403" s="46" t="n">
        <v>250</v>
      </c>
      <c r="F1403" s="46" t="inlineStr">
        <is>
          <t>춘의동</t>
        </is>
      </c>
      <c r="G1403" s="50" t="n">
        <v>0.5</v>
      </c>
      <c r="H1403" s="51" t="n">
        <v>489170</v>
      </c>
      <c r="I1403" s="46" t="inlineStr">
        <is>
          <t>송낙명</t>
        </is>
      </c>
      <c r="K1403" s="46" t="n">
        <v>1402</v>
      </c>
      <c r="L1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4">
      <c r="A1404" s="229" t="n">
        <v>46141</v>
      </c>
      <c r="B1404" s="46" t="inlineStr">
        <is>
          <t>정기검사</t>
        </is>
      </c>
      <c r="C1404" s="46" t="inlineStr">
        <is>
          <t>부천지역</t>
        </is>
      </c>
      <c r="D1404" s="46" t="inlineStr">
        <is>
          <t>한아름1차</t>
        </is>
      </c>
      <c r="E1404" s="46" t="inlineStr">
        <is>
          <t>2500/600</t>
        </is>
      </c>
      <c r="F1404" s="46" t="inlineStr">
        <is>
          <t>상동</t>
        </is>
      </c>
      <c r="G1404" s="50" t="n">
        <v>0.4166666666666667</v>
      </c>
      <c r="H1404" s="51" t="n">
        <v>1411740</v>
      </c>
      <c r="I1404" s="46" t="inlineStr">
        <is>
          <t>서수형</t>
        </is>
      </c>
      <c r="K1404" s="46" t="n">
        <v>1403</v>
      </c>
      <c r="L1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5">
      <c r="A1405" s="229" t="n">
        <v>46141</v>
      </c>
      <c r="B1405" s="46" t="inlineStr">
        <is>
          <t>정기검사</t>
        </is>
      </c>
      <c r="C1405" s="46" t="inlineStr">
        <is>
          <t>부천지역</t>
        </is>
      </c>
      <c r="D1405" s="46" t="inlineStr">
        <is>
          <t>크린존</t>
        </is>
      </c>
      <c r="E1405" s="46" t="n">
        <v>300</v>
      </c>
      <c r="F1405" s="46" t="inlineStr">
        <is>
          <t>범박동</t>
        </is>
      </c>
      <c r="G1405" s="50" t="n">
        <v>0.3958333333333333</v>
      </c>
      <c r="H1405" s="51" t="n">
        <v>521730</v>
      </c>
      <c r="I1405" s="46" t="inlineStr">
        <is>
          <t>허창수</t>
        </is>
      </c>
      <c r="K1405" s="46" t="n">
        <v>1404</v>
      </c>
      <c r="L1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6">
      <c r="A1406" s="229" t="n">
        <v>46141</v>
      </c>
      <c r="B1406" s="46" t="inlineStr">
        <is>
          <t>정기검사</t>
        </is>
      </c>
      <c r="C1406" s="46" t="inlineStr">
        <is>
          <t>부천지역</t>
        </is>
      </c>
      <c r="D1406" s="46" t="inlineStr">
        <is>
          <t>지에스차지비</t>
        </is>
      </c>
      <c r="E1406" s="46" t="inlineStr">
        <is>
          <t>전기차</t>
        </is>
      </c>
      <c r="F1406" s="46" t="inlineStr">
        <is>
          <t>소사동</t>
        </is>
      </c>
      <c r="G1406" s="50" t="n">
        <v>0.6458333333333334</v>
      </c>
      <c r="H1406" s="51" t="n">
        <v>140470</v>
      </c>
      <c r="I1406" s="46" t="inlineStr">
        <is>
          <t>허창수</t>
        </is>
      </c>
      <c r="K1406" s="46" t="n">
        <v>1405</v>
      </c>
      <c r="L1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7">
      <c r="A1407" s="229" t="n">
        <v>46141</v>
      </c>
      <c r="B1407" s="46" t="inlineStr">
        <is>
          <t>정기검사</t>
        </is>
      </c>
      <c r="C1407" s="46" t="inlineStr">
        <is>
          <t>부천지역</t>
        </is>
      </c>
      <c r="D1407" s="46" t="inlineStr">
        <is>
          <t>천마프라자</t>
        </is>
      </c>
      <c r="E1407" s="46" t="inlineStr">
        <is>
          <t>950/146</t>
        </is>
      </c>
      <c r="F1407" s="46" t="inlineStr">
        <is>
          <t>중동</t>
        </is>
      </c>
      <c r="G1407" s="50" t="n">
        <v>0.5</v>
      </c>
      <c r="H1407" s="51" t="n">
        <v>1069200</v>
      </c>
      <c r="I1407" s="46" t="inlineStr">
        <is>
          <t>이종석</t>
        </is>
      </c>
      <c r="K1407" s="46" t="n">
        <v>1406</v>
      </c>
      <c r="L1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8">
      <c r="A1408" s="229" t="n">
        <v>46141</v>
      </c>
      <c r="B1408" s="46" t="inlineStr">
        <is>
          <t>정기검사</t>
        </is>
      </c>
      <c r="C1408" s="46" t="inlineStr">
        <is>
          <t>부천지역</t>
        </is>
      </c>
      <c r="D1408" s="46" t="inlineStr">
        <is>
          <t>대보정밀</t>
        </is>
      </c>
      <c r="E1408" s="46" t="n">
        <v>400</v>
      </c>
      <c r="F1408" s="46" t="inlineStr">
        <is>
          <t>삼정동</t>
        </is>
      </c>
      <c r="G1408" s="50" t="n">
        <v>0.6041666666666666</v>
      </c>
      <c r="H1408" s="51" t="n">
        <v>703120</v>
      </c>
      <c r="I1408" s="46" t="inlineStr">
        <is>
          <t>이덕기</t>
        </is>
      </c>
      <c r="K1408" s="46" t="n">
        <v>1407</v>
      </c>
      <c r="L1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9">
      <c r="A1409" s="229" t="n">
        <v>46141</v>
      </c>
      <c r="B1409" s="46" t="inlineStr">
        <is>
          <t>정기검사</t>
        </is>
      </c>
      <c r="C1409" s="46" t="inlineStr">
        <is>
          <t>부천지역</t>
        </is>
      </c>
      <c r="D1409" s="46" t="inlineStr">
        <is>
          <t>환성빌딩</t>
        </is>
      </c>
      <c r="E1409" s="46" t="n">
        <v>300</v>
      </c>
      <c r="F1409" s="46" t="inlineStr">
        <is>
          <t>상동</t>
        </is>
      </c>
      <c r="G1409" s="50" t="n">
        <v>0.3958333333333333</v>
      </c>
      <c r="H1409" s="51" t="n">
        <v>521730</v>
      </c>
      <c r="I1409" s="46" t="inlineStr">
        <is>
          <t>민재홍</t>
        </is>
      </c>
      <c r="K1409" s="46" t="n">
        <v>1408</v>
      </c>
      <c r="L1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0">
      <c r="A1410" s="229" t="n">
        <v>46141</v>
      </c>
      <c r="B1410" s="46" t="inlineStr">
        <is>
          <t>정기검사</t>
        </is>
      </c>
      <c r="C1410" s="46" t="inlineStr">
        <is>
          <t>부천지역</t>
        </is>
      </c>
      <c r="D1410" s="46" t="inlineStr">
        <is>
          <t>한국산업은행</t>
        </is>
      </c>
      <c r="E1410" s="46" t="inlineStr">
        <is>
          <t>전기차</t>
        </is>
      </c>
      <c r="F1410" s="46" t="n"/>
      <c r="G1410" s="50" t="n"/>
      <c r="H1410" s="51" t="n">
        <v>55770</v>
      </c>
      <c r="I1410" s="46" t="inlineStr">
        <is>
          <t>이종석</t>
        </is>
      </c>
      <c r="K1410" s="46" t="n">
        <v>1409</v>
      </c>
      <c r="L1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1">
      <c r="A1411" s="229" t="n">
        <v>46141</v>
      </c>
      <c r="B1411" s="46" t="inlineStr">
        <is>
          <t>정기검사</t>
        </is>
      </c>
      <c r="C1411" s="46" t="inlineStr">
        <is>
          <t>부천지역</t>
        </is>
      </c>
      <c r="D1411" s="46" t="inlineStr">
        <is>
          <t>은하시스템</t>
        </is>
      </c>
      <c r="E1411" s="46" t="n">
        <v>700</v>
      </c>
      <c r="F1411" s="46" t="inlineStr">
        <is>
          <t>오정동</t>
        </is>
      </c>
      <c r="G1411" s="50" t="n">
        <v>0.625</v>
      </c>
      <c r="H1411" s="51" t="n">
        <v>804760</v>
      </c>
      <c r="I1411" s="46" t="inlineStr">
        <is>
          <t>민재홍</t>
        </is>
      </c>
      <c r="K1411" s="46" t="n">
        <v>1410</v>
      </c>
      <c r="L1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2">
      <c r="A1412" s="229" t="n">
        <v>46141</v>
      </c>
      <c r="B1412" s="46" t="inlineStr">
        <is>
          <t>정기검사</t>
        </is>
      </c>
      <c r="C1412" s="46" t="inlineStr">
        <is>
          <t>김포지역</t>
        </is>
      </c>
      <c r="D1412" s="46" t="inlineStr">
        <is>
          <t>웅신미켈란의아침</t>
        </is>
      </c>
      <c r="E1412" s="46" t="inlineStr">
        <is>
          <t>1500/455</t>
        </is>
      </c>
      <c r="F1412" s="46" t="inlineStr">
        <is>
          <t>풍무동</t>
        </is>
      </c>
      <c r="G1412" s="50" t="n">
        <v>0.3958333333333333</v>
      </c>
      <c r="H1412" s="51" t="n">
        <v>1227050</v>
      </c>
      <c r="I1412" s="46" t="inlineStr">
        <is>
          <t>정성관</t>
        </is>
      </c>
      <c r="K1412" s="46" t="n">
        <v>1411</v>
      </c>
      <c r="L1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3">
      <c r="A1413" s="229" t="n">
        <v>46141</v>
      </c>
      <c r="B1413" s="46" t="inlineStr">
        <is>
          <t>정기검사</t>
        </is>
      </c>
      <c r="C1413" s="46" t="inlineStr">
        <is>
          <t>김포지역</t>
        </is>
      </c>
      <c r="D1413" s="46" t="inlineStr">
        <is>
          <t>시온</t>
        </is>
      </c>
      <c r="E1413" s="46" t="n">
        <v>290</v>
      </c>
      <c r="F1413" s="46" t="inlineStr">
        <is>
          <t>흥신리</t>
        </is>
      </c>
      <c r="G1413" s="50" t="n">
        <v>0.5</v>
      </c>
      <c r="H1413" s="51" t="n">
        <v>515130</v>
      </c>
      <c r="I1413" s="46" t="inlineStr">
        <is>
          <t>정신배</t>
        </is>
      </c>
      <c r="K1413" s="46" t="n">
        <v>1412</v>
      </c>
      <c r="L1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4">
      <c r="A1414" s="229" t="n">
        <v>46141</v>
      </c>
      <c r="B1414" s="46" t="inlineStr">
        <is>
          <t>정기검사</t>
        </is>
      </c>
      <c r="C1414" s="46" t="inlineStr">
        <is>
          <t>김포지역</t>
        </is>
      </c>
      <c r="D1414" s="46" t="inlineStr">
        <is>
          <t>국보산업</t>
        </is>
      </c>
      <c r="E1414" s="46" t="n">
        <v>370</v>
      </c>
      <c r="F1414" s="46" t="inlineStr">
        <is>
          <t>누산리</t>
        </is>
      </c>
      <c r="G1414" s="50" t="n">
        <v>0.5416666666666666</v>
      </c>
      <c r="H1414" s="51" t="n">
        <v>692890</v>
      </c>
      <c r="I1414" s="46" t="inlineStr">
        <is>
          <t>정신배</t>
        </is>
      </c>
      <c r="K1414" s="46" t="n">
        <v>1413</v>
      </c>
      <c r="L1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5">
      <c r="A1415" s="229" t="n">
        <v>46141</v>
      </c>
      <c r="B1415" s="46" t="inlineStr">
        <is>
          <t>사용전검사</t>
        </is>
      </c>
      <c r="C1415" s="46" t="inlineStr">
        <is>
          <t>부천지역</t>
        </is>
      </c>
      <c r="D1415" s="46" t="inlineStr">
        <is>
          <t>대흥산업</t>
        </is>
      </c>
      <c r="E1415" s="46" t="n">
        <v>500</v>
      </c>
      <c r="F1415" s="46" t="inlineStr">
        <is>
          <t>내동</t>
        </is>
      </c>
      <c r="G1415" s="50" t="n">
        <v>0.5</v>
      </c>
      <c r="H1415" s="51" t="n"/>
      <c r="I1415" s="46" t="inlineStr">
        <is>
          <t>민경수</t>
        </is>
      </c>
      <c r="K1415" s="46" t="n">
        <v>1414</v>
      </c>
      <c r="L1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6">
      <c r="A1416" s="229" t="n">
        <v>46141</v>
      </c>
      <c r="B1416" s="46" t="inlineStr">
        <is>
          <t>사용전검사</t>
        </is>
      </c>
      <c r="C1416" s="46" t="inlineStr">
        <is>
          <t>부천지역</t>
        </is>
      </c>
      <c r="D1416" s="46" t="inlineStr">
        <is>
          <t>광백드림빌</t>
        </is>
      </c>
      <c r="E1416" s="46" t="n">
        <v>141</v>
      </c>
      <c r="F1416" s="46" t="inlineStr">
        <is>
          <t>심곡동</t>
        </is>
      </c>
      <c r="G1416" s="50" t="n"/>
      <c r="H1416" s="51" t="n"/>
      <c r="I1416" s="46" t="inlineStr">
        <is>
          <t>송낙명</t>
        </is>
      </c>
      <c r="K1416" s="46" t="n">
        <v>1415</v>
      </c>
      <c r="L1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7">
      <c r="A1417" s="229" t="n">
        <v>46141</v>
      </c>
      <c r="B1417" s="46" t="inlineStr">
        <is>
          <t>메모</t>
        </is>
      </c>
      <c r="C1417" s="46" t="inlineStr">
        <is>
          <t>부천지역</t>
        </is>
      </c>
      <c r="D1417" s="46" t="inlineStr">
        <is>
          <t>우승택휴가</t>
        </is>
      </c>
      <c r="E1417" s="46" t="n"/>
      <c r="F1417" s="46" t="n"/>
      <c r="G1417" s="50" t="n"/>
      <c r="H1417" s="51" t="n"/>
      <c r="I1417" s="46" t="n"/>
      <c r="K1417" s="46" t="n">
        <v>1416</v>
      </c>
      <c r="L1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8">
      <c r="A1418" s="229" t="n">
        <v>46141</v>
      </c>
      <c r="B1418" s="46" t="inlineStr">
        <is>
          <t>메모</t>
        </is>
      </c>
      <c r="C1418" s="46" t="inlineStr">
        <is>
          <t>부천지역</t>
        </is>
      </c>
      <c r="D1418" s="46" t="inlineStr">
        <is>
          <t>김영권휴가</t>
        </is>
      </c>
      <c r="E1418" s="46" t="n"/>
      <c r="F1418" s="46" t="n"/>
      <c r="G1418" s="50" t="n"/>
      <c r="H1418" s="51" t="n"/>
      <c r="I1418" s="46" t="n"/>
      <c r="K1418" s="46" t="n">
        <v>1417</v>
      </c>
      <c r="L1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9">
      <c r="A1419" s="229" t="n">
        <v>46141</v>
      </c>
      <c r="B1419" s="46" t="inlineStr">
        <is>
          <t>메모</t>
        </is>
      </c>
      <c r="C1419" s="46" t="inlineStr">
        <is>
          <t>부천지역</t>
        </is>
      </c>
      <c r="D1419" s="46" t="inlineStr">
        <is>
          <t>한태희교육</t>
        </is>
      </c>
      <c r="E1419" s="46" t="n"/>
      <c r="F1419" s="46" t="n"/>
      <c r="G1419" s="50" t="n"/>
      <c r="H1419" s="51" t="n"/>
      <c r="I1419" s="46" t="n"/>
      <c r="K1419" s="46" t="n">
        <v>1418</v>
      </c>
      <c r="L1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0">
      <c r="A1420" s="229" t="n">
        <v>46141</v>
      </c>
      <c r="B1420" s="46" t="inlineStr">
        <is>
          <t>사용전검사</t>
        </is>
      </c>
      <c r="C1420" s="46" t="inlineStr">
        <is>
          <t>김포지역</t>
        </is>
      </c>
      <c r="D1420" s="46" t="inlineStr">
        <is>
          <t>광명2호</t>
        </is>
      </c>
      <c r="E1420" s="46" t="n">
        <v>76</v>
      </c>
      <c r="F1420" s="46" t="inlineStr">
        <is>
          <t>고정리</t>
        </is>
      </c>
      <c r="G1420" s="50" t="n"/>
      <c r="H1420" s="51" t="n"/>
      <c r="I1420" s="46" t="inlineStr">
        <is>
          <t>송두기</t>
        </is>
      </c>
      <c r="K1420" s="46" t="n">
        <v>1419</v>
      </c>
      <c r="L1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1">
      <c r="A1421" s="229" t="n">
        <v>46141</v>
      </c>
      <c r="B1421" s="46" t="inlineStr">
        <is>
          <t>사용전검사</t>
        </is>
      </c>
      <c r="C1421" s="46" t="inlineStr">
        <is>
          <t>김포지역</t>
        </is>
      </c>
      <c r="D1421" s="46" t="inlineStr">
        <is>
          <t>광명3호</t>
        </is>
      </c>
      <c r="E1421" s="46" t="n">
        <v>77</v>
      </c>
      <c r="F1421" s="46" t="inlineStr">
        <is>
          <t>고정리</t>
        </is>
      </c>
      <c r="G1421" s="50" t="n"/>
      <c r="H1421" s="51" t="n"/>
      <c r="I1421" s="46" t="inlineStr">
        <is>
          <t>송두기</t>
        </is>
      </c>
      <c r="K1421" s="46" t="n">
        <v>1420</v>
      </c>
      <c r="L1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2">
      <c r="A1422" s="229" t="n">
        <v>46141</v>
      </c>
      <c r="B1422" s="46" t="inlineStr">
        <is>
          <t>사용전검사</t>
        </is>
      </c>
      <c r="C1422" s="46" t="inlineStr">
        <is>
          <t>김포지역</t>
        </is>
      </c>
      <c r="D1422" s="46" t="inlineStr">
        <is>
          <t>풍천임씨</t>
        </is>
      </c>
      <c r="E1422" s="46" t="n">
        <v>62</v>
      </c>
      <c r="F1422" s="46" t="inlineStr">
        <is>
          <t>대명리</t>
        </is>
      </c>
      <c r="G1422" s="50" t="n"/>
      <c r="H1422" s="51" t="n"/>
      <c r="I1422" s="46" t="inlineStr">
        <is>
          <t>송두기</t>
        </is>
      </c>
      <c r="K1422" s="46" t="n">
        <v>1421</v>
      </c>
      <c r="L1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3">
      <c r="A1423" s="229" t="n">
        <v>46141</v>
      </c>
      <c r="B1423" s="46" t="inlineStr">
        <is>
          <t>사용전검사</t>
        </is>
      </c>
      <c r="C1423" s="46" t="inlineStr">
        <is>
          <t>김포지역</t>
        </is>
      </c>
      <c r="D1423" s="46" t="inlineStr">
        <is>
          <t>풍천임씨</t>
        </is>
      </c>
      <c r="E1423" s="46" t="n">
        <v>63</v>
      </c>
      <c r="F1423" s="46" t="inlineStr">
        <is>
          <t>대명리</t>
        </is>
      </c>
      <c r="G1423" s="50" t="n"/>
      <c r="H1423" s="51" t="n"/>
      <c r="I1423" s="46" t="inlineStr">
        <is>
          <t>송두기</t>
        </is>
      </c>
      <c r="K1423" s="46" t="n">
        <v>1422</v>
      </c>
      <c r="L1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4">
      <c r="A1424" s="229" t="n">
        <v>46141</v>
      </c>
      <c r="B1424" s="46" t="inlineStr">
        <is>
          <t>사용전검사</t>
        </is>
      </c>
      <c r="C1424" s="46" t="inlineStr">
        <is>
          <t>김포지역</t>
        </is>
      </c>
      <c r="D1424" s="46" t="inlineStr">
        <is>
          <t>풍천임씨</t>
        </is>
      </c>
      <c r="E1424" s="46" t="n">
        <v>63</v>
      </c>
      <c r="F1424" s="46" t="inlineStr">
        <is>
          <t>대명리</t>
        </is>
      </c>
      <c r="G1424" s="50" t="n"/>
      <c r="H1424" s="51" t="n"/>
      <c r="I1424" s="46" t="inlineStr">
        <is>
          <t>송두기</t>
        </is>
      </c>
      <c r="K1424" s="46" t="n">
        <v>1423</v>
      </c>
      <c r="L1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5">
      <c r="A1425" s="229" t="n">
        <v>46141</v>
      </c>
      <c r="B1425" s="46" t="inlineStr">
        <is>
          <t>사용전검사</t>
        </is>
      </c>
      <c r="C1425" s="46" t="inlineStr">
        <is>
          <t>김포지역</t>
        </is>
      </c>
      <c r="D1425" s="46" t="inlineStr">
        <is>
          <t>예다원</t>
        </is>
      </c>
      <c r="E1425" s="46" t="n">
        <v>150</v>
      </c>
      <c r="F1425" s="46" t="inlineStr">
        <is>
          <t>운양동</t>
        </is>
      </c>
      <c r="G1425" s="50" t="n"/>
      <c r="H1425" s="51" t="n"/>
      <c r="I1425" s="46" t="inlineStr">
        <is>
          <t>송두기</t>
        </is>
      </c>
      <c r="K1425" s="46" t="n">
        <v>1424</v>
      </c>
      <c r="L1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6">
      <c r="A1426" s="229" t="n">
        <v>46142</v>
      </c>
      <c r="B1426" s="46" t="inlineStr">
        <is>
          <t>정기검사</t>
        </is>
      </c>
      <c r="C1426" s="46" t="inlineStr">
        <is>
          <t>부천지역</t>
        </is>
      </c>
      <c r="D1426" s="46" t="inlineStr">
        <is>
          <t>오정구청</t>
        </is>
      </c>
      <c r="E1426" s="46" t="n"/>
      <c r="F1426" s="46" t="n"/>
      <c r="G1426" s="50" t="n"/>
      <c r="H1426" s="51" t="n">
        <v>141900</v>
      </c>
      <c r="I1426" s="46" t="inlineStr">
        <is>
          <t>민재홍</t>
        </is>
      </c>
      <c r="K1426" s="46" t="n">
        <v>1425</v>
      </c>
      <c r="L1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7">
      <c r="A1427" s="229" t="n">
        <v>46142</v>
      </c>
      <c r="B1427" s="46" t="inlineStr">
        <is>
          <t>정기검사</t>
        </is>
      </c>
      <c r="C1427" s="46" t="inlineStr">
        <is>
          <t>부천지역</t>
        </is>
      </c>
      <c r="D1427" s="46" t="inlineStr">
        <is>
          <t>오정구청</t>
        </is>
      </c>
      <c r="E1427" s="46" t="n"/>
      <c r="F1427" s="46" t="n"/>
      <c r="G1427" s="50" t="n"/>
      <c r="H1427" s="51" t="n">
        <v>141900</v>
      </c>
      <c r="I1427" s="46" t="inlineStr">
        <is>
          <t>민재홍</t>
        </is>
      </c>
      <c r="K1427" s="46" t="n">
        <v>1426</v>
      </c>
      <c r="L1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8">
      <c r="A1428" s="229" t="n">
        <v>46142</v>
      </c>
      <c r="B1428" s="46" t="inlineStr">
        <is>
          <t>정기검사</t>
        </is>
      </c>
      <c r="C1428" s="46" t="inlineStr">
        <is>
          <t>부천지역</t>
        </is>
      </c>
      <c r="D1428" s="46" t="inlineStr">
        <is>
          <t>오정구청</t>
        </is>
      </c>
      <c r="E1428" s="46" t="n"/>
      <c r="F1428" s="46" t="n"/>
      <c r="G1428" s="50" t="n"/>
      <c r="H1428" s="51" t="n">
        <v>148390</v>
      </c>
      <c r="I1428" s="46" t="inlineStr">
        <is>
          <t>민재홍</t>
        </is>
      </c>
      <c r="K1428" s="46" t="n">
        <v>1427</v>
      </c>
      <c r="L1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9">
      <c r="A1429" s="229" t="n">
        <v>46142</v>
      </c>
      <c r="B1429" s="46" t="inlineStr">
        <is>
          <t>정기검사</t>
        </is>
      </c>
      <c r="C1429" s="46" t="inlineStr">
        <is>
          <t>부천지역</t>
        </is>
      </c>
      <c r="D1429" s="46" t="inlineStr">
        <is>
          <t>오정구청</t>
        </is>
      </c>
      <c r="E1429" s="46" t="n"/>
      <c r="F1429" s="46" t="n"/>
      <c r="G1429" s="50" t="n"/>
      <c r="H1429" s="51" t="n">
        <v>141900</v>
      </c>
      <c r="I1429" s="46" t="inlineStr">
        <is>
          <t>민재홍</t>
        </is>
      </c>
      <c r="K1429" s="46" t="n">
        <v>1428</v>
      </c>
      <c r="L1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0">
      <c r="A1430" s="229" t="n">
        <v>46142</v>
      </c>
      <c r="B1430" s="46" t="inlineStr">
        <is>
          <t>정기검사</t>
        </is>
      </c>
      <c r="C1430" s="46" t="inlineStr">
        <is>
          <t>부천지역</t>
        </is>
      </c>
      <c r="D1430" s="46" t="inlineStr">
        <is>
          <t>오정구청</t>
        </is>
      </c>
      <c r="E1430" s="46" t="n"/>
      <c r="F1430" s="46" t="n"/>
      <c r="G1430" s="50" t="n"/>
      <c r="H1430" s="51" t="n">
        <v>141900</v>
      </c>
      <c r="I1430" s="46" t="inlineStr">
        <is>
          <t>민재홍</t>
        </is>
      </c>
      <c r="K1430" s="46" t="n">
        <v>1429</v>
      </c>
      <c r="L1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1">
      <c r="A1431" s="229" t="n">
        <v>46142</v>
      </c>
      <c r="B1431" s="46" t="inlineStr">
        <is>
          <t>정기검사</t>
        </is>
      </c>
      <c r="C1431" s="46" t="inlineStr">
        <is>
          <t>부천지역</t>
        </is>
      </c>
      <c r="D1431" s="46" t="inlineStr">
        <is>
          <t>세계화스너</t>
        </is>
      </c>
      <c r="E1431" s="46" t="n">
        <v>275</v>
      </c>
      <c r="F1431" s="46" t="inlineStr">
        <is>
          <t>내동</t>
        </is>
      </c>
      <c r="G1431" s="50" t="n">
        <v>0.5208333333333334</v>
      </c>
      <c r="H1431" s="51" t="n">
        <v>505450</v>
      </c>
      <c r="I1431" s="46" t="inlineStr">
        <is>
          <t>민경수</t>
        </is>
      </c>
      <c r="K1431" s="46" t="n">
        <v>1430</v>
      </c>
      <c r="L1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2">
      <c r="A1432" s="229" t="n">
        <v>46142</v>
      </c>
      <c r="B1432" s="46" t="inlineStr">
        <is>
          <t>정기검사</t>
        </is>
      </c>
      <c r="C1432" s="46" t="inlineStr">
        <is>
          <t>김포지역</t>
        </is>
      </c>
      <c r="D1432" s="46" t="inlineStr">
        <is>
          <t>다우리산업</t>
        </is>
      </c>
      <c r="E1432" s="46" t="n">
        <v>290</v>
      </c>
      <c r="F1432" s="46" t="inlineStr">
        <is>
          <t>갈산리</t>
        </is>
      </c>
      <c r="G1432" s="50" t="n">
        <v>0.3958333333333333</v>
      </c>
      <c r="H1432" s="51" t="n">
        <v>515130</v>
      </c>
      <c r="I1432" s="46" t="inlineStr">
        <is>
          <t>송낙명</t>
        </is>
      </c>
      <c r="K1432" s="46" t="n">
        <v>1431</v>
      </c>
      <c r="L1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3">
      <c r="A1433" s="229" t="n">
        <v>46142</v>
      </c>
      <c r="B1433" s="46" t="inlineStr">
        <is>
          <t>정기검사</t>
        </is>
      </c>
      <c r="C1433" s="46" t="inlineStr">
        <is>
          <t>김포지역</t>
        </is>
      </c>
      <c r="D1433" s="46" t="inlineStr">
        <is>
          <t>주일기업</t>
        </is>
      </c>
      <c r="E1433" s="46" t="n">
        <v>150</v>
      </c>
      <c r="F1433" s="46" t="inlineStr">
        <is>
          <t>옹정리</t>
        </is>
      </c>
      <c r="G1433" s="50" t="n">
        <v>0.4791666666666667</v>
      </c>
      <c r="H1433" s="51" t="n">
        <v>424160</v>
      </c>
      <c r="I1433" s="46" t="inlineStr">
        <is>
          <t>허창수</t>
        </is>
      </c>
      <c r="K1433" s="46" t="n">
        <v>1432</v>
      </c>
      <c r="L1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4">
      <c r="A1434" s="229" t="n">
        <v>46142</v>
      </c>
      <c r="B1434" s="46" t="inlineStr">
        <is>
          <t>메모</t>
        </is>
      </c>
      <c r="C1434" s="46" t="inlineStr">
        <is>
          <t>부천지역</t>
        </is>
      </c>
      <c r="D1434" s="46" t="inlineStr">
        <is>
          <t>우승택휴가</t>
        </is>
      </c>
      <c r="E1434" s="46" t="n"/>
      <c r="F1434" s="46" t="n"/>
      <c r="G1434" s="50" t="n"/>
      <c r="H1434" s="51" t="n"/>
      <c r="I1434" s="46" t="n"/>
      <c r="K1434" s="46" t="n">
        <v>1433</v>
      </c>
      <c r="L1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5">
      <c r="A1435" s="229" t="n">
        <v>46142</v>
      </c>
      <c r="B1435" s="46" t="inlineStr">
        <is>
          <t>메모</t>
        </is>
      </c>
      <c r="C1435" s="46" t="inlineStr">
        <is>
          <t>부천지역</t>
        </is>
      </c>
      <c r="D1435" s="46" t="inlineStr">
        <is>
          <t>김영권휴가</t>
        </is>
      </c>
      <c r="E1435" s="46" t="n"/>
      <c r="F1435" s="46" t="n"/>
      <c r="G1435" s="50" t="n"/>
      <c r="H1435" s="51" t="n"/>
      <c r="I1435" s="46" t="n"/>
      <c r="K1435" s="46" t="n">
        <v>1434</v>
      </c>
      <c r="L1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6">
      <c r="A1436" s="229" t="n">
        <v>46142</v>
      </c>
      <c r="B1436" s="46" t="inlineStr">
        <is>
          <t>메모</t>
        </is>
      </c>
      <c r="C1436" s="46" t="inlineStr">
        <is>
          <t>부천지역</t>
        </is>
      </c>
      <c r="D1436" s="46" t="inlineStr">
        <is>
          <t>민재홍오후반차</t>
        </is>
      </c>
      <c r="E1436" s="46" t="n"/>
      <c r="F1436" s="46" t="n"/>
      <c r="G1436" s="50" t="n"/>
      <c r="H1436" s="51" t="n"/>
      <c r="I1436" s="46" t="n"/>
      <c r="K1436" s="46" t="n">
        <v>1435</v>
      </c>
      <c r="L1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7">
      <c r="A1437" s="229" t="n">
        <v>46142</v>
      </c>
      <c r="B1437" s="46" t="inlineStr">
        <is>
          <t>사용전검사</t>
        </is>
      </c>
      <c r="C1437" s="46" t="inlineStr">
        <is>
          <t>김포지역</t>
        </is>
      </c>
      <c r="D1437" s="46" t="inlineStr">
        <is>
          <t>삼영에스앤알</t>
        </is>
      </c>
      <c r="E1437" s="46" t="n">
        <v>290</v>
      </c>
      <c r="F1437" s="46" t="inlineStr">
        <is>
          <t>가현리</t>
        </is>
      </c>
      <c r="G1437" s="50" t="n"/>
      <c r="H1437" s="51" t="n"/>
      <c r="I1437" s="46" t="inlineStr">
        <is>
          <t>허창수</t>
        </is>
      </c>
      <c r="K1437" s="46" t="n">
        <v>1436</v>
      </c>
      <c r="L1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8">
      <c r="A1438" s="229" t="n">
        <v>46143</v>
      </c>
      <c r="B1438" s="46" t="inlineStr">
        <is>
          <t>메모</t>
        </is>
      </c>
      <c r="C1438" s="46" t="inlineStr">
        <is>
          <t>부천지역</t>
        </is>
      </c>
      <c r="D1438" s="46" t="inlineStr">
        <is>
          <t>김영권휴가</t>
        </is>
      </c>
      <c r="E1438" s="46" t="n"/>
      <c r="F1438" s="46" t="n"/>
      <c r="G1438" s="50" t="n"/>
      <c r="H1438" s="51" t="n"/>
      <c r="I1438" s="46" t="n"/>
      <c r="K1438" s="46" t="n">
        <v>1437</v>
      </c>
      <c r="L1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9">
      <c r="A1439" s="229" t="n">
        <v>46143</v>
      </c>
      <c r="B1439" s="46" t="inlineStr">
        <is>
          <t>메모</t>
        </is>
      </c>
      <c r="C1439" s="46" t="inlineStr">
        <is>
          <t>부천지역</t>
        </is>
      </c>
      <c r="D1439" s="46" t="inlineStr">
        <is>
          <t>이종석휴가</t>
        </is>
      </c>
      <c r="E1439" s="46" t="n"/>
      <c r="F1439" s="46" t="n"/>
      <c r="G1439" s="50" t="n"/>
      <c r="H1439" s="51" t="n"/>
      <c r="I1439" s="46" t="n"/>
      <c r="K1439" s="46" t="n">
        <v>1438</v>
      </c>
      <c r="L1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0">
      <c r="A1440" s="229" t="n">
        <v>46143</v>
      </c>
      <c r="B1440" s="46" t="inlineStr">
        <is>
          <t>메모</t>
        </is>
      </c>
      <c r="C1440" s="46" t="inlineStr">
        <is>
          <t>부천지역</t>
        </is>
      </c>
      <c r="D1440" s="46" t="inlineStr">
        <is>
          <t>민재홍휴가</t>
        </is>
      </c>
      <c r="E1440" s="46" t="n"/>
      <c r="F1440" s="46" t="n"/>
      <c r="G1440" s="50" t="n"/>
      <c r="H1440" s="51" t="n"/>
      <c r="I1440" s="46" t="n"/>
      <c r="K1440" s="46" t="n">
        <v>1439</v>
      </c>
      <c r="L1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1">
      <c r="A1441" s="229" t="n">
        <v>46143</v>
      </c>
      <c r="B1441" s="46" t="inlineStr">
        <is>
          <t>메모</t>
        </is>
      </c>
      <c r="C1441" s="46" t="inlineStr">
        <is>
          <t>부천지역</t>
        </is>
      </c>
      <c r="D1441" s="46" t="inlineStr">
        <is>
          <t>서수형휴가</t>
        </is>
      </c>
      <c r="E1441" s="46" t="n"/>
      <c r="F1441" s="46" t="n"/>
      <c r="G1441" s="50" t="n"/>
      <c r="H1441" s="51" t="n"/>
      <c r="I1441" s="46" t="n"/>
      <c r="K1441" s="46" t="n">
        <v>1440</v>
      </c>
      <c r="L1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2">
      <c r="A1442" s="229" t="n">
        <v>46144</v>
      </c>
      <c r="B1442" s="46" t="inlineStr">
        <is>
          <t>정기검사</t>
        </is>
      </c>
      <c r="C1442" s="46" t="inlineStr">
        <is>
          <t>김포지역</t>
        </is>
      </c>
      <c r="D1442" s="46" t="inlineStr">
        <is>
          <t>고촌역</t>
        </is>
      </c>
      <c r="E1442" s="46" t="n">
        <v>5520</v>
      </c>
      <c r="F1442" s="46" t="inlineStr">
        <is>
          <t>고촌</t>
        </is>
      </c>
      <c r="G1442" s="50" t="n"/>
      <c r="H1442" s="51" t="n">
        <v>2029500</v>
      </c>
      <c r="I1442" s="46" t="inlineStr">
        <is>
          <t>우승택</t>
        </is>
      </c>
      <c r="K1442" s="46" t="n">
        <v>1441</v>
      </c>
      <c r="L1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3">
      <c r="A1443" s="229" t="n">
        <v>46144</v>
      </c>
      <c r="B1443" s="46" t="inlineStr">
        <is>
          <t>정기검사</t>
        </is>
      </c>
      <c r="C1443" s="46" t="inlineStr">
        <is>
          <t>김포지역</t>
        </is>
      </c>
      <c r="D1443" s="46" t="inlineStr">
        <is>
          <t>20환기구</t>
        </is>
      </c>
      <c r="E1443" s="46" t="n">
        <v>1000</v>
      </c>
      <c r="F1443" s="46" t="inlineStr">
        <is>
          <t>태리</t>
        </is>
      </c>
      <c r="G1443" s="50" t="n"/>
      <c r="H1443" s="51" t="n">
        <v>1233870</v>
      </c>
      <c r="I1443" s="46" t="inlineStr">
        <is>
          <t>우승택</t>
        </is>
      </c>
      <c r="K1443" s="46" t="n">
        <v>1442</v>
      </c>
      <c r="L1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4">
      <c r="A1444" s="229" t="n">
        <v>46144</v>
      </c>
      <c r="B1444" s="46" t="inlineStr">
        <is>
          <t>정기검사</t>
        </is>
      </c>
      <c r="C1444" s="46" t="inlineStr">
        <is>
          <t>김포지역</t>
        </is>
      </c>
      <c r="D1444" s="46" t="inlineStr">
        <is>
          <t>삼성피앤지</t>
        </is>
      </c>
      <c r="E1444" s="46" t="n">
        <v>890</v>
      </c>
      <c r="F1444" s="46" t="inlineStr">
        <is>
          <t>봉성리</t>
        </is>
      </c>
      <c r="G1444" s="50" t="n"/>
      <c r="H1444" s="51" t="n">
        <v>1129810</v>
      </c>
      <c r="I1444" s="46" t="inlineStr">
        <is>
          <t>정성관</t>
        </is>
      </c>
      <c r="K1444" s="46" t="n">
        <v>1443</v>
      </c>
      <c r="L1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5">
      <c r="A1445" s="229" t="n">
        <v>46144</v>
      </c>
      <c r="B1445" s="46" t="inlineStr">
        <is>
          <t>정기검사</t>
        </is>
      </c>
      <c r="C1445" s="46" t="inlineStr">
        <is>
          <t>김포지역</t>
        </is>
      </c>
      <c r="D1445" s="46" t="inlineStr">
        <is>
          <t>동원</t>
        </is>
      </c>
      <c r="E1445" s="46" t="n">
        <v>950</v>
      </c>
      <c r="F1445" s="46" t="inlineStr">
        <is>
          <t>송마리</t>
        </is>
      </c>
      <c r="G1445" s="50" t="n">
        <v>0.3958333333333333</v>
      </c>
      <c r="H1445" s="51" t="n">
        <v>1156210</v>
      </c>
      <c r="I1445" s="46" t="n"/>
      <c r="K1445" s="46" t="n">
        <v>1444</v>
      </c>
      <c r="L1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6">
      <c r="A1446" s="229" t="n">
        <v>46144</v>
      </c>
      <c r="B1446" s="46" t="inlineStr">
        <is>
          <t>정기검사</t>
        </is>
      </c>
      <c r="C1446" s="46" t="inlineStr">
        <is>
          <t>김포지역</t>
        </is>
      </c>
      <c r="D1446" s="46" t="inlineStr">
        <is>
          <t>동원</t>
        </is>
      </c>
      <c r="E1446" s="46" t="n">
        <v>951</v>
      </c>
      <c r="F1446" s="46" t="inlineStr">
        <is>
          <t>송마리</t>
        </is>
      </c>
      <c r="G1446" s="50" t="n">
        <v>0.4375</v>
      </c>
      <c r="H1446" s="51" t="n">
        <v>1156210</v>
      </c>
      <c r="I1446" s="46" t="n"/>
      <c r="K1446" s="46" t="n">
        <v>1445</v>
      </c>
      <c r="L1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7">
      <c r="A1447" s="229" t="n">
        <v>46144</v>
      </c>
      <c r="B1447" s="46" t="inlineStr">
        <is>
          <t>정기검사</t>
        </is>
      </c>
      <c r="C1447" s="46" t="inlineStr">
        <is>
          <t>김포지역</t>
        </is>
      </c>
      <c r="D1447" s="46" t="inlineStr">
        <is>
          <t>동원</t>
        </is>
      </c>
      <c r="E1447" s="46" t="n">
        <v>952</v>
      </c>
      <c r="F1447" s="46" t="inlineStr">
        <is>
          <t>송마리</t>
        </is>
      </c>
      <c r="G1447" s="50" t="n">
        <v>0.4791666666666667</v>
      </c>
      <c r="H1447" s="51" t="n">
        <v>1156210</v>
      </c>
      <c r="I1447" s="46" t="inlineStr">
        <is>
          <t>민경수</t>
        </is>
      </c>
      <c r="K1447" s="46" t="n">
        <v>1446</v>
      </c>
      <c r="L1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8">
      <c r="A1448" s="229" t="n">
        <v>46144</v>
      </c>
      <c r="B1448" s="46" t="inlineStr">
        <is>
          <t>정기검사</t>
        </is>
      </c>
      <c r="C1448" s="46" t="inlineStr">
        <is>
          <t>김포지역</t>
        </is>
      </c>
      <c r="D1448" s="46" t="inlineStr">
        <is>
          <t>동원</t>
        </is>
      </c>
      <c r="E1448" s="46" t="n">
        <v>953</v>
      </c>
      <c r="F1448" s="46" t="inlineStr">
        <is>
          <t>송마리</t>
        </is>
      </c>
      <c r="G1448" s="50" t="n">
        <v>0.5208333333333334</v>
      </c>
      <c r="H1448" s="51" t="n">
        <v>1156210</v>
      </c>
      <c r="I1448" s="46" t="inlineStr">
        <is>
          <t>민경수</t>
        </is>
      </c>
      <c r="K1448" s="46" t="n">
        <v>1447</v>
      </c>
      <c r="L1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9">
      <c r="A1449" s="229" t="n">
        <v>46144</v>
      </c>
      <c r="B1449" s="46" t="inlineStr">
        <is>
          <t>사용전검사</t>
        </is>
      </c>
      <c r="C1449" s="46" t="inlineStr">
        <is>
          <t>부천지역</t>
        </is>
      </c>
      <c r="D1449" s="46" t="inlineStr">
        <is>
          <t>우승택</t>
        </is>
      </c>
      <c r="E1449" s="46" t="inlineStr">
        <is>
          <t>송낙명</t>
        </is>
      </c>
      <c r="F1449" s="46" t="n"/>
      <c r="G1449" s="50" t="n"/>
      <c r="H1449" s="51" t="n"/>
      <c r="I1449" s="46" t="n"/>
      <c r="K1449" s="46" t="n">
        <v>1448</v>
      </c>
      <c r="L1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0">
      <c r="A1450" s="229" t="n">
        <v>46144</v>
      </c>
      <c r="B1450" s="46" t="inlineStr">
        <is>
          <t>사용전검사</t>
        </is>
      </c>
      <c r="C1450" s="46" t="inlineStr">
        <is>
          <t>부천지역</t>
        </is>
      </c>
      <c r="D1450" s="46" t="inlineStr">
        <is>
          <t>한태희</t>
        </is>
      </c>
      <c r="E1450" s="46" t="inlineStr">
        <is>
          <t>민경수</t>
        </is>
      </c>
      <c r="F1450" s="46" t="n"/>
      <c r="G1450" s="50" t="n"/>
      <c r="H1450" s="51" t="n"/>
      <c r="I1450" s="46" t="n"/>
      <c r="K1450" s="46" t="n">
        <v>1449</v>
      </c>
      <c r="L1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1">
      <c r="A1451" s="229" t="n">
        <v>46144</v>
      </c>
      <c r="B1451" s="46" t="inlineStr">
        <is>
          <t>메모</t>
        </is>
      </c>
      <c r="C1451" s="46" t="inlineStr">
        <is>
          <t>부천지역</t>
        </is>
      </c>
      <c r="D1451" s="46" t="inlineStr">
        <is>
          <t>이덕기휴가</t>
        </is>
      </c>
      <c r="E1451" s="46" t="inlineStr">
        <is>
          <t>김영권</t>
        </is>
      </c>
      <c r="F1451" s="46" t="n"/>
      <c r="G1451" s="50" t="n"/>
      <c r="H1451" s="51" t="n"/>
      <c r="I1451" s="46" t="n"/>
      <c r="K1451" s="46" t="n">
        <v>1450</v>
      </c>
      <c r="L1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2">
      <c r="A1452" s="229" t="n">
        <v>46144</v>
      </c>
      <c r="B1452" s="46" t="inlineStr">
        <is>
          <t>메모</t>
        </is>
      </c>
      <c r="C1452" s="46" t="inlineStr">
        <is>
          <t>부천지역</t>
        </is>
      </c>
      <c r="D1452" s="46" t="inlineStr">
        <is>
          <t>이종석휴가</t>
        </is>
      </c>
      <c r="E1452" s="46" t="n"/>
      <c r="F1452" s="46" t="n"/>
      <c r="G1452" s="50" t="n"/>
      <c r="H1452" s="51" t="n"/>
      <c r="I1452" s="46" t="n"/>
      <c r="K1452" s="46" t="n">
        <v>1451</v>
      </c>
      <c r="L1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3">
      <c r="A1453" s="229" t="n">
        <v>46144</v>
      </c>
      <c r="B1453" s="46" t="inlineStr">
        <is>
          <t>메모</t>
        </is>
      </c>
      <c r="C1453" s="46" t="inlineStr">
        <is>
          <t>부천지역</t>
        </is>
      </c>
      <c r="D1453" s="46" t="inlineStr">
        <is>
          <t>민재홍휴가</t>
        </is>
      </c>
      <c r="E1453" s="46" t="n"/>
      <c r="F1453" s="46" t="n"/>
      <c r="G1453" s="50" t="n"/>
      <c r="H1453" s="51" t="n"/>
      <c r="I1453" s="46" t="n"/>
      <c r="K1453" s="46" t="n">
        <v>1452</v>
      </c>
      <c r="L1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4">
      <c r="A1454" s="229" t="n">
        <v>46144</v>
      </c>
      <c r="B1454" s="46" t="inlineStr">
        <is>
          <t>메모</t>
        </is>
      </c>
      <c r="C1454" s="46" t="inlineStr">
        <is>
          <t>부천지역</t>
        </is>
      </c>
      <c r="D1454" s="46" t="inlineStr">
        <is>
          <t>서수형휴가</t>
        </is>
      </c>
      <c r="E1454" s="46" t="inlineStr">
        <is>
          <t>송두기</t>
        </is>
      </c>
      <c r="F1454" s="46" t="n"/>
      <c r="G1454" s="50" t="n"/>
      <c r="H1454" s="51" t="n"/>
      <c r="I1454" s="46" t="n"/>
      <c r="K1454" s="46" t="n">
        <v>1453</v>
      </c>
      <c r="L1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5">
      <c r="A1455" s="229" t="n">
        <v>46144</v>
      </c>
      <c r="B1455" s="46" t="inlineStr">
        <is>
          <t>메모</t>
        </is>
      </c>
      <c r="C1455" s="46" t="inlineStr">
        <is>
          <t>부천지역</t>
        </is>
      </c>
      <c r="D1455" s="46" t="inlineStr">
        <is>
          <t>허창수휴가</t>
        </is>
      </c>
      <c r="E1455" s="46" t="n"/>
      <c r="F1455" s="46" t="n"/>
      <c r="G1455" s="50" t="n"/>
      <c r="H1455" s="51" t="n"/>
      <c r="I1455" s="46" t="n"/>
      <c r="K1455" s="46" t="n">
        <v>1454</v>
      </c>
      <c r="L1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6">
      <c r="A1456" s="229" t="n">
        <v>46144</v>
      </c>
      <c r="B1456" s="46" t="inlineStr">
        <is>
          <t>메모</t>
        </is>
      </c>
      <c r="C1456" s="46" t="inlineStr">
        <is>
          <t>부천지역</t>
        </is>
      </c>
      <c r="D1456" s="46" t="inlineStr">
        <is>
          <t>정성관휴가</t>
        </is>
      </c>
      <c r="E1456" s="46" t="n"/>
      <c r="F1456" s="46" t="n"/>
      <c r="G1456" s="50" t="n"/>
      <c r="H1456" s="51" t="n"/>
      <c r="I1456" s="46" t="n"/>
      <c r="K1456" s="46" t="n">
        <v>1455</v>
      </c>
      <c r="L1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7">
      <c r="A1457" s="229" t="n">
        <v>46144</v>
      </c>
      <c r="B1457" s="46" t="inlineStr">
        <is>
          <t>메모</t>
        </is>
      </c>
      <c r="C1457" s="46" t="inlineStr">
        <is>
          <t>부천지역</t>
        </is>
      </c>
      <c r="D1457" s="46" t="inlineStr">
        <is>
          <t>정신배휴가</t>
        </is>
      </c>
      <c r="E1457" s="46" t="n"/>
      <c r="F1457" s="46" t="n"/>
      <c r="G1457" s="50" t="n"/>
      <c r="H1457" s="51" t="n"/>
      <c r="I1457" s="46" t="n"/>
      <c r="K1457" s="46" t="n">
        <v>1456</v>
      </c>
      <c r="L1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8">
      <c r="A1458" s="229" t="n">
        <v>46146</v>
      </c>
      <c r="B1458" s="46" t="inlineStr">
        <is>
          <t>정기검사</t>
        </is>
      </c>
      <c r="C1458" s="46" t="inlineStr">
        <is>
          <t>부천지역</t>
        </is>
      </c>
      <c r="D1458" s="46" t="inlineStr">
        <is>
          <t>정묵개발</t>
        </is>
      </c>
      <c r="E1458" s="46" t="inlineStr">
        <is>
          <t>750/237</t>
        </is>
      </c>
      <c r="F1458" s="46" t="inlineStr">
        <is>
          <t>구래동</t>
        </is>
      </c>
      <c r="G1458" s="50" t="n">
        <v>0.3958333333333333</v>
      </c>
      <c r="H1458" s="51" t="n">
        <v>1028390</v>
      </c>
      <c r="I1458" s="46" t="inlineStr">
        <is>
          <t>김영권</t>
        </is>
      </c>
      <c r="K1458" s="46" t="n">
        <v>1457</v>
      </c>
      <c r="L1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9">
      <c r="A1459" s="229" t="n">
        <v>46146</v>
      </c>
      <c r="B1459" s="46" t="inlineStr">
        <is>
          <t>정기검사</t>
        </is>
      </c>
      <c r="C1459" s="46" t="inlineStr">
        <is>
          <t>부천지역</t>
        </is>
      </c>
      <c r="D1459" s="46" t="inlineStr">
        <is>
          <t>세계로마트</t>
        </is>
      </c>
      <c r="E1459" s="46" t="inlineStr">
        <is>
          <t>850/227</t>
        </is>
      </c>
      <c r="F1459" s="46" t="inlineStr">
        <is>
          <t>구래동</t>
        </is>
      </c>
      <c r="G1459" s="50" t="n">
        <v>0.25</v>
      </c>
      <c r="H1459" s="51" t="n">
        <v>1377090</v>
      </c>
      <c r="I1459" s="46" t="inlineStr">
        <is>
          <t>송낙명</t>
        </is>
      </c>
      <c r="K1459" s="46" t="n">
        <v>1458</v>
      </c>
      <c r="L1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0">
      <c r="A1460" s="229" t="n">
        <v>46146</v>
      </c>
      <c r="B1460" s="46" t="inlineStr">
        <is>
          <t>정기검사</t>
        </is>
      </c>
      <c r="C1460" s="46" t="inlineStr">
        <is>
          <t>김포지역</t>
        </is>
      </c>
      <c r="D1460" s="46" t="inlineStr">
        <is>
          <t>23환기구</t>
        </is>
      </c>
      <c r="E1460" s="46" t="n">
        <v>200</v>
      </c>
      <c r="F1460" s="46" t="inlineStr">
        <is>
          <t>신곡리</t>
        </is>
      </c>
      <c r="G1460" s="50" t="n"/>
      <c r="H1460" s="51" t="n">
        <v>649220</v>
      </c>
      <c r="I1460" s="46" t="inlineStr">
        <is>
          <t>한태희</t>
        </is>
      </c>
      <c r="K1460" s="46" t="n">
        <v>1459</v>
      </c>
      <c r="L1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1">
      <c r="A1461" s="229" t="n">
        <v>46146</v>
      </c>
      <c r="B1461" s="46" t="inlineStr">
        <is>
          <t>정기검사</t>
        </is>
      </c>
      <c r="C1461" s="46" t="inlineStr">
        <is>
          <t>김포지역</t>
        </is>
      </c>
      <c r="D1461" s="46" t="inlineStr">
        <is>
          <t>24환기구</t>
        </is>
      </c>
      <c r="E1461" s="46" t="n">
        <v>6800</v>
      </c>
      <c r="F1461" s="46" t="inlineStr">
        <is>
          <t>전호리</t>
        </is>
      </c>
      <c r="G1461" s="50" t="n"/>
      <c r="H1461" s="51" t="n">
        <v>2115520</v>
      </c>
      <c r="I1461" s="46" t="inlineStr">
        <is>
          <t>우승택</t>
        </is>
      </c>
      <c r="K1461" s="46" t="n">
        <v>1460</v>
      </c>
      <c r="L1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2">
      <c r="A1462" s="229" t="n">
        <v>46146</v>
      </c>
      <c r="B1462" s="46" t="inlineStr">
        <is>
          <t>정기검사</t>
        </is>
      </c>
      <c r="C1462" s="46" t="inlineStr">
        <is>
          <t>김포지역</t>
        </is>
      </c>
      <c r="D1462" s="46" t="inlineStr">
        <is>
          <t>서영금속</t>
        </is>
      </c>
      <c r="E1462" s="46" t="n">
        <v>290</v>
      </c>
      <c r="F1462" s="46" t="inlineStr">
        <is>
          <t>가현리</t>
        </is>
      </c>
      <c r="G1462" s="50" t="n">
        <v>0.4583333333333333</v>
      </c>
      <c r="H1462" s="51" t="n">
        <v>515130</v>
      </c>
      <c r="I1462" s="46" t="inlineStr">
        <is>
          <t>김영권</t>
        </is>
      </c>
      <c r="K1462" s="46" t="n">
        <v>1461</v>
      </c>
      <c r="L1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3">
      <c r="A1463" s="229" t="n">
        <v>46146</v>
      </c>
      <c r="B1463" s="46" t="inlineStr">
        <is>
          <t>정기검사</t>
        </is>
      </c>
      <c r="C1463" s="46" t="inlineStr">
        <is>
          <t>김포지역</t>
        </is>
      </c>
      <c r="D1463" s="46" t="inlineStr">
        <is>
          <t>대화수지공업</t>
        </is>
      </c>
      <c r="E1463" s="46" t="n">
        <v>650</v>
      </c>
      <c r="F1463" s="46" t="inlineStr">
        <is>
          <t>상마리</t>
        </is>
      </c>
      <c r="G1463" s="50" t="n">
        <v>0.3958333333333333</v>
      </c>
      <c r="H1463" s="51" t="n">
        <v>787820</v>
      </c>
      <c r="I1463" s="46" t="inlineStr">
        <is>
          <t>이덕기</t>
        </is>
      </c>
      <c r="K1463" s="46" t="n">
        <v>1462</v>
      </c>
      <c r="L1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4">
      <c r="A1464" s="229" t="n">
        <v>46146</v>
      </c>
      <c r="B1464" s="46" t="inlineStr">
        <is>
          <t>정기검사</t>
        </is>
      </c>
      <c r="C1464" s="46" t="inlineStr">
        <is>
          <t>김포지역</t>
        </is>
      </c>
      <c r="D1464" s="46" t="inlineStr">
        <is>
          <t>가람</t>
        </is>
      </c>
      <c r="E1464" s="46" t="n">
        <v>300</v>
      </c>
      <c r="F1464" s="46" t="inlineStr">
        <is>
          <t>대벽리</t>
        </is>
      </c>
      <c r="G1464" s="50" t="n">
        <v>0.3958333333333333</v>
      </c>
      <c r="H1464" s="51" t="n">
        <v>521730</v>
      </c>
      <c r="I1464" s="46" t="inlineStr">
        <is>
          <t>송낙명</t>
        </is>
      </c>
      <c r="K1464" s="46" t="n">
        <v>1463</v>
      </c>
      <c r="L1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5">
      <c r="A1465" s="229" t="n">
        <v>46146</v>
      </c>
      <c r="B1465" s="46" t="inlineStr">
        <is>
          <t>정기검사</t>
        </is>
      </c>
      <c r="C1465" s="46" t="inlineStr">
        <is>
          <t>김포지역</t>
        </is>
      </c>
      <c r="D1465" s="46" t="inlineStr">
        <is>
          <t>태리골드밸리</t>
        </is>
      </c>
      <c r="E1465" s="46" t="inlineStr">
        <is>
          <t>전기차</t>
        </is>
      </c>
      <c r="F1465" s="46" t="inlineStr">
        <is>
          <t>양곡리</t>
        </is>
      </c>
      <c r="G1465" s="50" t="n">
        <v>0.5625</v>
      </c>
      <c r="H1465" s="51" t="n">
        <v>247940</v>
      </c>
      <c r="I1465" s="46" t="inlineStr">
        <is>
          <t>허창수</t>
        </is>
      </c>
      <c r="K1465" s="46" t="n">
        <v>1464</v>
      </c>
      <c r="L1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6">
      <c r="A1466" s="229" t="n">
        <v>46146</v>
      </c>
      <c r="B1466" s="46" t="inlineStr">
        <is>
          <t>정기검사</t>
        </is>
      </c>
      <c r="C1466" s="46" t="inlineStr">
        <is>
          <t>김포지역</t>
        </is>
      </c>
      <c r="D1466" s="46" t="inlineStr">
        <is>
          <t>지에스칼텍스</t>
        </is>
      </c>
      <c r="E1466" s="46" t="inlineStr">
        <is>
          <t>전기차</t>
        </is>
      </c>
      <c r="F1466" s="46" t="inlineStr">
        <is>
          <t>양곡리</t>
        </is>
      </c>
      <c r="G1466" s="50" t="n">
        <v>0.625</v>
      </c>
      <c r="H1466" s="51" t="n">
        <v>247940</v>
      </c>
      <c r="I1466" s="46" t="inlineStr">
        <is>
          <t>허창수</t>
        </is>
      </c>
      <c r="K1466" s="46" t="n">
        <v>1465</v>
      </c>
      <c r="L1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7">
      <c r="A1467" s="229" t="n">
        <v>46146</v>
      </c>
      <c r="B1467" s="46" t="inlineStr">
        <is>
          <t>정기검사</t>
        </is>
      </c>
      <c r="C1467" s="46" t="inlineStr">
        <is>
          <t>김포지역</t>
        </is>
      </c>
      <c r="D1467" s="46" t="inlineStr">
        <is>
          <t>아이피금속-허록종</t>
        </is>
      </c>
      <c r="E1467" s="46" t="n">
        <v>700</v>
      </c>
      <c r="F1467" s="46" t="inlineStr">
        <is>
          <t>고양리</t>
        </is>
      </c>
      <c r="G1467" s="50" t="n">
        <v>0.375</v>
      </c>
      <c r="H1467" s="51" t="n">
        <v>804760</v>
      </c>
      <c r="I1467" s="46" t="inlineStr">
        <is>
          <t>서수형</t>
        </is>
      </c>
      <c r="K1467" s="46" t="n">
        <v>1466</v>
      </c>
      <c r="L1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8">
      <c r="A1468" s="229" t="n">
        <v>46146</v>
      </c>
      <c r="B1468" s="46" t="inlineStr">
        <is>
          <t>정기검사</t>
        </is>
      </c>
      <c r="C1468" s="46" t="inlineStr">
        <is>
          <t>김포지역</t>
        </is>
      </c>
      <c r="D1468" s="46" t="inlineStr">
        <is>
          <t>한길</t>
        </is>
      </c>
      <c r="E1468" s="46" t="n">
        <v>450</v>
      </c>
      <c r="F1468" s="46" t="inlineStr">
        <is>
          <t>상마리</t>
        </is>
      </c>
      <c r="G1468" s="50" t="n">
        <v>0.4583333333333333</v>
      </c>
      <c r="H1468" s="51" t="n">
        <v>720060</v>
      </c>
      <c r="I1468" s="46" t="inlineStr">
        <is>
          <t>서수형</t>
        </is>
      </c>
      <c r="K1468" s="46" t="n">
        <v>1467</v>
      </c>
      <c r="L1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9">
      <c r="A1469" s="229" t="n">
        <v>46146</v>
      </c>
      <c r="B1469" s="46" t="inlineStr">
        <is>
          <t>정기검사</t>
        </is>
      </c>
      <c r="C1469" s="46" t="inlineStr">
        <is>
          <t>김포지역</t>
        </is>
      </c>
      <c r="D1469" s="46" t="inlineStr">
        <is>
          <t>나진초</t>
        </is>
      </c>
      <c r="E1469" s="46" t="inlineStr">
        <is>
          <t>750/118</t>
        </is>
      </c>
      <c r="F1469" s="46" t="inlineStr">
        <is>
          <t>걸포동</t>
        </is>
      </c>
      <c r="G1469" s="50" t="n">
        <v>0.5416666666666666</v>
      </c>
      <c r="H1469" s="51" t="n">
        <v>993190</v>
      </c>
      <c r="I1469" s="46" t="inlineStr">
        <is>
          <t>허창수</t>
        </is>
      </c>
      <c r="K1469" s="46" t="n">
        <v>1468</v>
      </c>
      <c r="L1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0">
      <c r="A1470" s="229" t="n">
        <v>46146</v>
      </c>
      <c r="B1470" s="46" t="inlineStr">
        <is>
          <t>사용전검사</t>
        </is>
      </c>
      <c r="C1470" s="46" t="inlineStr">
        <is>
          <t>부천지역</t>
        </is>
      </c>
      <c r="D1470" s="46" t="inlineStr">
        <is>
          <t>오가네</t>
        </is>
      </c>
      <c r="E1470" s="46" t="n">
        <v>15</v>
      </c>
      <c r="F1470" s="46" t="inlineStr">
        <is>
          <t>오정동</t>
        </is>
      </c>
      <c r="G1470" s="50" t="n"/>
      <c r="H1470" s="51" t="n"/>
      <c r="I1470" s="46" t="inlineStr">
        <is>
          <t>민경수</t>
        </is>
      </c>
      <c r="K1470" s="46" t="n">
        <v>1469</v>
      </c>
      <c r="L1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1">
      <c r="A1471" s="229" t="n">
        <v>46146</v>
      </c>
      <c r="B1471" s="46" t="inlineStr">
        <is>
          <t>사용전검사</t>
        </is>
      </c>
      <c r="C1471" s="46" t="inlineStr">
        <is>
          <t>부천지역</t>
        </is>
      </c>
      <c r="D1471" s="46" t="inlineStr">
        <is>
          <t>솔라쉐어</t>
        </is>
      </c>
      <c r="E1471" s="46" t="n">
        <v>32</v>
      </c>
      <c r="F1471" s="46" t="inlineStr">
        <is>
          <t>삼정동</t>
        </is>
      </c>
      <c r="G1471" s="50" t="n"/>
      <c r="H1471" s="51" t="n"/>
      <c r="I1471" s="46" t="inlineStr">
        <is>
          <t>민경수</t>
        </is>
      </c>
      <c r="K1471" s="46" t="n">
        <v>1470</v>
      </c>
      <c r="L1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2">
      <c r="A1472" s="229" t="n">
        <v>46146</v>
      </c>
      <c r="B1472" s="46" t="inlineStr">
        <is>
          <t>사용전검사</t>
        </is>
      </c>
      <c r="C1472" s="46" t="inlineStr">
        <is>
          <t>부천지역</t>
        </is>
      </c>
      <c r="D1472" s="46" t="inlineStr">
        <is>
          <t>신원피앤피</t>
        </is>
      </c>
      <c r="E1472" s="46" t="inlineStr">
        <is>
          <t>변변</t>
        </is>
      </c>
      <c r="F1472" s="46" t="n"/>
      <c r="G1472" s="50" t="n"/>
      <c r="H1472" s="51" t="n"/>
      <c r="I1472" s="46" t="inlineStr">
        <is>
          <t>민경수</t>
        </is>
      </c>
      <c r="K1472" s="46" t="n">
        <v>1471</v>
      </c>
      <c r="L1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3">
      <c r="A1473" s="229" t="n">
        <v>46146</v>
      </c>
      <c r="B1473" s="46" t="inlineStr">
        <is>
          <t>사용전검사</t>
        </is>
      </c>
      <c r="C1473" s="46" t="inlineStr">
        <is>
          <t>부천지역</t>
        </is>
      </c>
      <c r="D1473" s="46" t="inlineStr">
        <is>
          <t>은성빌라</t>
        </is>
      </c>
      <c r="E1473" s="46" t="inlineStr">
        <is>
          <t>381/250</t>
        </is>
      </c>
      <c r="F1473" s="46" t="inlineStr">
        <is>
          <t>원종동</t>
        </is>
      </c>
      <c r="G1473" s="50" t="n"/>
      <c r="H1473" s="51" t="n"/>
      <c r="I1473" s="46" t="inlineStr">
        <is>
          <t>민경수</t>
        </is>
      </c>
      <c r="K1473" s="46" t="n">
        <v>1472</v>
      </c>
      <c r="L1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4">
      <c r="A1474" s="229" t="n">
        <v>46146</v>
      </c>
      <c r="B1474" s="46" t="inlineStr">
        <is>
          <t>사용전검사</t>
        </is>
      </c>
      <c r="C1474" s="46" t="inlineStr">
        <is>
          <t>부천지역</t>
        </is>
      </c>
      <c r="D1474" s="46" t="inlineStr">
        <is>
          <t>심원고</t>
        </is>
      </c>
      <c r="E1474" s="46" t="n">
        <v>900</v>
      </c>
      <c r="F1474" s="46" t="inlineStr">
        <is>
          <t>중동</t>
        </is>
      </c>
      <c r="G1474" s="50" t="n"/>
      <c r="H1474" s="51" t="n"/>
      <c r="I1474" s="46" t="inlineStr">
        <is>
          <t>김영권</t>
        </is>
      </c>
      <c r="K1474" s="46" t="n">
        <v>1473</v>
      </c>
      <c r="L1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5">
      <c r="A1475" s="229" t="n">
        <v>46146</v>
      </c>
      <c r="B1475" s="46" t="inlineStr">
        <is>
          <t>메모</t>
        </is>
      </c>
      <c r="C1475" s="46" t="inlineStr">
        <is>
          <t>부천지역</t>
        </is>
      </c>
      <c r="D1475" s="46" t="inlineStr">
        <is>
          <t>민재홍휴가</t>
        </is>
      </c>
      <c r="E1475" s="46" t="n"/>
      <c r="F1475" s="46" t="n"/>
      <c r="G1475" s="50" t="n"/>
      <c r="H1475" s="51" t="n"/>
      <c r="I1475" s="46" t="n"/>
      <c r="K1475" s="46" t="n">
        <v>1474</v>
      </c>
      <c r="L1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6">
      <c r="A1476" s="229" t="n">
        <v>46146</v>
      </c>
      <c r="B1476" s="46" t="inlineStr">
        <is>
          <t>메모</t>
        </is>
      </c>
      <c r="C1476" s="46" t="inlineStr">
        <is>
          <t>부천지역</t>
        </is>
      </c>
      <c r="D1476" s="46" t="inlineStr">
        <is>
          <t>이종석휴가</t>
        </is>
      </c>
      <c r="E1476" s="46" t="n"/>
      <c r="F1476" s="46" t="n"/>
      <c r="G1476" s="50" t="n"/>
      <c r="H1476" s="51" t="n"/>
      <c r="I1476" s="46" t="n"/>
      <c r="K1476" s="46" t="n">
        <v>1475</v>
      </c>
      <c r="L1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7">
      <c r="A1477" s="229" t="n">
        <v>46146</v>
      </c>
      <c r="B1477" s="46" t="inlineStr">
        <is>
          <t>메모</t>
        </is>
      </c>
      <c r="C1477" s="46" t="inlineStr">
        <is>
          <t>부천지역</t>
        </is>
      </c>
      <c r="D1477" s="46" t="inlineStr">
        <is>
          <t>정신배휴가</t>
        </is>
      </c>
      <c r="E1477" s="46" t="n"/>
      <c r="F1477" s="46" t="n"/>
      <c r="G1477" s="50" t="n"/>
      <c r="H1477" s="51" t="n"/>
      <c r="I1477" s="46" t="n"/>
      <c r="K1477" s="46" t="n">
        <v>1476</v>
      </c>
      <c r="L1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8">
      <c r="A1478" s="229" t="n">
        <v>46146</v>
      </c>
      <c r="B1478" s="46" t="inlineStr">
        <is>
          <t>메모</t>
        </is>
      </c>
      <c r="C1478" s="46" t="inlineStr">
        <is>
          <t>부천지역</t>
        </is>
      </c>
      <c r="D1478" s="46" t="inlineStr">
        <is>
          <t>정성관휴가</t>
        </is>
      </c>
      <c r="E1478" s="46" t="n"/>
      <c r="F1478" s="46" t="n"/>
      <c r="G1478" s="50" t="n"/>
      <c r="H1478" s="51" t="n"/>
      <c r="I1478" s="46" t="n"/>
      <c r="K1478" s="46" t="n">
        <v>1477</v>
      </c>
      <c r="L1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9">
      <c r="A1479" s="229" t="n">
        <v>46146</v>
      </c>
      <c r="B1479" s="46" t="inlineStr">
        <is>
          <t>사용전검사</t>
        </is>
      </c>
      <c r="C1479" s="46" t="inlineStr">
        <is>
          <t>김포지역</t>
        </is>
      </c>
      <c r="D1479" s="46" t="inlineStr">
        <is>
          <t>다니디엠</t>
        </is>
      </c>
      <c r="E1479" s="46" t="n">
        <v>143</v>
      </c>
      <c r="F1479" s="46" t="inlineStr">
        <is>
          <t>석정리</t>
        </is>
      </c>
      <c r="G1479" s="50" t="n"/>
      <c r="H1479" s="51" t="n"/>
      <c r="I1479" s="46" t="inlineStr">
        <is>
          <t>송두기</t>
        </is>
      </c>
      <c r="K1479" s="46" t="n">
        <v>1478</v>
      </c>
      <c r="L1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0">
      <c r="A1480" s="229" t="n">
        <v>46146</v>
      </c>
      <c r="B1480" s="46" t="inlineStr">
        <is>
          <t>사용전검사</t>
        </is>
      </c>
      <c r="C1480" s="46" t="inlineStr">
        <is>
          <t>김포지역</t>
        </is>
      </c>
      <c r="D1480" s="46" t="inlineStr">
        <is>
          <t>로라쉐어</t>
        </is>
      </c>
      <c r="E1480" s="46" t="n">
        <v>72</v>
      </c>
      <c r="F1480" s="46" t="inlineStr">
        <is>
          <t>고막리</t>
        </is>
      </c>
      <c r="G1480" s="50" t="n"/>
      <c r="H1480" s="51" t="n"/>
      <c r="I1480" s="46" t="inlineStr">
        <is>
          <t>이덕기</t>
        </is>
      </c>
      <c r="K1480" s="46" t="n">
        <v>1479</v>
      </c>
      <c r="L1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1">
      <c r="A1481" s="229" t="n">
        <v>46146</v>
      </c>
      <c r="B1481" s="46" t="inlineStr">
        <is>
          <t>사용전검사</t>
        </is>
      </c>
      <c r="C1481" s="46" t="inlineStr">
        <is>
          <t>김포지역</t>
        </is>
      </c>
      <c r="D1481" s="46" t="inlineStr">
        <is>
          <t>성보헬스</t>
        </is>
      </c>
      <c r="E1481" s="46" t="n">
        <v>15</v>
      </c>
      <c r="F1481" s="46" t="inlineStr">
        <is>
          <t>서암리</t>
        </is>
      </c>
      <c r="G1481" s="50" t="n"/>
      <c r="H1481" s="51" t="n"/>
      <c r="I1481" s="46" t="inlineStr">
        <is>
          <t>송두기</t>
        </is>
      </c>
      <c r="K1481" s="46" t="n">
        <v>1480</v>
      </c>
      <c r="L1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2">
      <c r="A1482" s="229" t="n">
        <v>46146</v>
      </c>
      <c r="B1482" s="46" t="inlineStr">
        <is>
          <t>사용전검사</t>
        </is>
      </c>
      <c r="C1482" s="46" t="inlineStr">
        <is>
          <t>김포지역</t>
        </is>
      </c>
      <c r="D1482" s="46" t="inlineStr">
        <is>
          <t>창원알텍</t>
        </is>
      </c>
      <c r="E1482" s="46" t="inlineStr">
        <is>
          <t>변변</t>
        </is>
      </c>
      <c r="F1482" s="46" t="inlineStr">
        <is>
          <t>송마리</t>
        </is>
      </c>
      <c r="G1482" s="50" t="n"/>
      <c r="H1482" s="51" t="n"/>
      <c r="I1482" s="46" t="inlineStr">
        <is>
          <t>김영권</t>
        </is>
      </c>
      <c r="K1482" s="46" t="n">
        <v>1481</v>
      </c>
      <c r="L1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3">
      <c r="A1483" s="229" t="n">
        <v>46147</v>
      </c>
      <c r="B1483" s="46" t="inlineStr">
        <is>
          <t>메모</t>
        </is>
      </c>
      <c r="C1483" s="46" t="inlineStr">
        <is>
          <t>부천지역</t>
        </is>
      </c>
      <c r="D1483" s="46" t="inlineStr">
        <is>
          <t>이종석휴가</t>
        </is>
      </c>
      <c r="E1483" s="46" t="n"/>
      <c r="F1483" s="46" t="n"/>
      <c r="G1483" s="50" t="n"/>
      <c r="H1483" s="51" t="n"/>
      <c r="I1483" s="46" t="n"/>
      <c r="K1483" s="46" t="n">
        <v>1482</v>
      </c>
      <c r="L1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4">
      <c r="A1484" s="229" t="n">
        <v>46147</v>
      </c>
      <c r="B1484" s="46" t="inlineStr">
        <is>
          <t>메모</t>
        </is>
      </c>
      <c r="C1484" s="46" t="inlineStr">
        <is>
          <t>부천지역</t>
        </is>
      </c>
      <c r="D1484" s="46" t="inlineStr">
        <is>
          <t>민재홍휴가</t>
        </is>
      </c>
      <c r="E1484" s="46" t="n"/>
      <c r="F1484" s="46" t="n"/>
      <c r="G1484" s="50" t="n"/>
      <c r="H1484" s="51" t="n"/>
      <c r="I1484" s="46" t="n"/>
      <c r="K1484" s="46" t="n">
        <v>1483</v>
      </c>
      <c r="L1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5">
      <c r="A1485" s="229" t="n">
        <v>46148</v>
      </c>
      <c r="B1485" s="46" t="inlineStr">
        <is>
          <t>정기검사</t>
        </is>
      </c>
      <c r="C1485" s="46" t="inlineStr">
        <is>
          <t>부천지역</t>
        </is>
      </c>
      <c r="D1485" s="46" t="inlineStr">
        <is>
          <t>소사청소년센터</t>
        </is>
      </c>
      <c r="E1485" s="46" t="inlineStr">
        <is>
          <t>600/182</t>
        </is>
      </c>
      <c r="F1485" s="46" t="inlineStr">
        <is>
          <t>소사동</t>
        </is>
      </c>
      <c r="G1485" s="50" t="n">
        <v>0.3958333333333333</v>
      </c>
      <c r="H1485" s="51" t="n">
        <v>961290</v>
      </c>
      <c r="I1485" s="46" t="inlineStr">
        <is>
          <t>한태희</t>
        </is>
      </c>
      <c r="K1485" s="46" t="n">
        <v>1484</v>
      </c>
      <c r="L1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6">
      <c r="A1486" s="229" t="n">
        <v>46148</v>
      </c>
      <c r="B1486" s="46" t="inlineStr">
        <is>
          <t>정기검사</t>
        </is>
      </c>
      <c r="C1486" s="46" t="inlineStr">
        <is>
          <t>부천지역</t>
        </is>
      </c>
      <c r="D1486" s="46" t="inlineStr">
        <is>
          <t>대화빌딩</t>
        </is>
      </c>
      <c r="E1486" s="46" t="inlineStr">
        <is>
          <t>200/69</t>
        </is>
      </c>
      <c r="F1486" s="46" t="inlineStr">
        <is>
          <t>소사본동</t>
        </is>
      </c>
      <c r="G1486" s="50" t="n">
        <v>0.3958333333333333</v>
      </c>
      <c r="H1486" s="51" t="n">
        <v>613690</v>
      </c>
      <c r="I1486" s="46" t="inlineStr">
        <is>
          <t>이덕기</t>
        </is>
      </c>
      <c r="K1486" s="46" t="n">
        <v>1485</v>
      </c>
      <c r="L1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7">
      <c r="A1487" s="229" t="n">
        <v>46148</v>
      </c>
      <c r="B1487" s="46" t="inlineStr">
        <is>
          <t>정기검사</t>
        </is>
      </c>
      <c r="C1487" s="46" t="inlineStr">
        <is>
          <t>부천지역</t>
        </is>
      </c>
      <c r="D1487" s="46" t="inlineStr">
        <is>
          <t>부천설악아파트</t>
        </is>
      </c>
      <c r="E1487" s="46" t="inlineStr">
        <is>
          <t>전기차</t>
        </is>
      </c>
      <c r="F1487" s="46" t="inlineStr">
        <is>
          <t>중동</t>
        </is>
      </c>
      <c r="G1487" s="50" t="n">
        <v>0.5625</v>
      </c>
      <c r="H1487" s="51" t="n">
        <v>157410</v>
      </c>
      <c r="I1487" s="46" t="inlineStr">
        <is>
          <t>허창수</t>
        </is>
      </c>
      <c r="K1487" s="46" t="n">
        <v>1486</v>
      </c>
      <c r="L1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8">
      <c r="A1488" s="229" t="n">
        <v>46148</v>
      </c>
      <c r="B1488" s="46" t="inlineStr">
        <is>
          <t>정기검사</t>
        </is>
      </c>
      <c r="C1488" s="46" t="inlineStr">
        <is>
          <t>부천지역</t>
        </is>
      </c>
      <c r="D1488" s="46" t="inlineStr">
        <is>
          <t>가톨릭대</t>
        </is>
      </c>
      <c r="E1488" s="46" t="inlineStr">
        <is>
          <t>ups</t>
        </is>
      </c>
      <c r="F1488" s="46" t="inlineStr">
        <is>
          <t>역곡</t>
        </is>
      </c>
      <c r="G1488" s="50" t="n">
        <v>0.5416666666666666</v>
      </c>
      <c r="H1488" s="51" t="n">
        <v>278520</v>
      </c>
      <c r="I1488" s="46" t="inlineStr">
        <is>
          <t>서수형</t>
        </is>
      </c>
      <c r="K1488" s="46" t="n">
        <v>1487</v>
      </c>
      <c r="L1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9">
      <c r="A1489" s="229" t="n">
        <v>46148</v>
      </c>
      <c r="B1489" s="46" t="inlineStr">
        <is>
          <t>정기검사</t>
        </is>
      </c>
      <c r="C1489" s="46" t="inlineStr">
        <is>
          <t>부천지역</t>
        </is>
      </c>
      <c r="D1489" s="46" t="inlineStr">
        <is>
          <t>경기기계</t>
        </is>
      </c>
      <c r="E1489" s="46" t="n">
        <v>100</v>
      </c>
      <c r="F1489" s="46" t="inlineStr">
        <is>
          <t>도당동</t>
        </is>
      </c>
      <c r="G1489" s="50" t="n">
        <v>0.3958333333333333</v>
      </c>
      <c r="H1489" s="51" t="n">
        <v>391710</v>
      </c>
      <c r="I1489" s="46" t="inlineStr">
        <is>
          <t>이종석</t>
        </is>
      </c>
      <c r="K1489" s="46" t="n">
        <v>1488</v>
      </c>
      <c r="L1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0">
      <c r="A1490" s="229" t="n">
        <v>46148</v>
      </c>
      <c r="B1490" s="46" t="inlineStr">
        <is>
          <t>정기검사</t>
        </is>
      </c>
      <c r="C1490" s="46" t="inlineStr">
        <is>
          <t>부천지역</t>
        </is>
      </c>
      <c r="D1490" s="46" t="inlineStr">
        <is>
          <t>고혁건설-7일</t>
        </is>
      </c>
      <c r="E1490" s="46" t="n">
        <v>200</v>
      </c>
      <c r="F1490" s="46" t="inlineStr">
        <is>
          <t>고강동</t>
        </is>
      </c>
      <c r="G1490" s="50" t="n">
        <v>0.5416666666666666</v>
      </c>
      <c r="H1490" s="51" t="n">
        <v>456720</v>
      </c>
      <c r="I1490" s="46" t="inlineStr">
        <is>
          <t>이덕기</t>
        </is>
      </c>
      <c r="K1490" s="46" t="n">
        <v>1489</v>
      </c>
      <c r="L1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1">
      <c r="A1491" s="229" t="n">
        <v>46148</v>
      </c>
      <c r="B1491" s="46" t="inlineStr">
        <is>
          <t>정기검사</t>
        </is>
      </c>
      <c r="C1491" s="46" t="inlineStr">
        <is>
          <t>김포지역</t>
        </is>
      </c>
      <c r="D1491" s="46" t="inlineStr">
        <is>
          <t>아모그린텍</t>
        </is>
      </c>
      <c r="E1491" s="46" t="n">
        <v>950</v>
      </c>
      <c r="F1491" s="46" t="inlineStr">
        <is>
          <t>원산리</t>
        </is>
      </c>
      <c r="G1491" s="50" t="n">
        <v>0.5</v>
      </c>
      <c r="H1491" s="51" t="n">
        <v>889460</v>
      </c>
      <c r="I1491" s="46" t="inlineStr">
        <is>
          <t>김영권</t>
        </is>
      </c>
      <c r="K1491" s="46" t="n">
        <v>1490</v>
      </c>
      <c r="L1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2">
      <c r="A1492" s="229" t="n">
        <v>46148</v>
      </c>
      <c r="B1492" s="46" t="inlineStr">
        <is>
          <t>정기검사</t>
        </is>
      </c>
      <c r="C1492" s="46" t="inlineStr">
        <is>
          <t>김포지역</t>
        </is>
      </c>
      <c r="D1492" s="46" t="inlineStr">
        <is>
          <t>지에스칼텍스</t>
        </is>
      </c>
      <c r="E1492" s="46" t="inlineStr">
        <is>
          <t>전기차</t>
        </is>
      </c>
      <c r="F1492" s="46" t="inlineStr">
        <is>
          <t>걸포동</t>
        </is>
      </c>
      <c r="G1492" s="50" t="n">
        <v>0.4166666666666667</v>
      </c>
      <c r="H1492" s="51" t="n">
        <v>247940</v>
      </c>
      <c r="I1492" s="46" t="inlineStr">
        <is>
          <t>민재홍</t>
        </is>
      </c>
      <c r="K1492" s="46" t="n">
        <v>1491</v>
      </c>
      <c r="L1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3">
      <c r="A1493" s="229" t="n">
        <v>46148</v>
      </c>
      <c r="B1493" s="46" t="inlineStr">
        <is>
          <t>정기검사</t>
        </is>
      </c>
      <c r="C1493" s="46" t="inlineStr">
        <is>
          <t>김포지역</t>
        </is>
      </c>
      <c r="D1493" s="46" t="inlineStr">
        <is>
          <t>지에스칼텍스</t>
        </is>
      </c>
      <c r="E1493" s="46" t="inlineStr">
        <is>
          <t>전기차</t>
        </is>
      </c>
      <c r="F1493" s="46" t="inlineStr">
        <is>
          <t>수참리</t>
        </is>
      </c>
      <c r="G1493" s="50" t="n">
        <v>0.6041666666666666</v>
      </c>
      <c r="H1493" s="51" t="n">
        <v>247940</v>
      </c>
      <c r="I1493" s="46" t="inlineStr">
        <is>
          <t>민재홍</t>
        </is>
      </c>
      <c r="K1493" s="46" t="n">
        <v>1492</v>
      </c>
      <c r="L1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4">
      <c r="A1494" s="229" t="n">
        <v>46148</v>
      </c>
      <c r="B1494" s="46" t="inlineStr">
        <is>
          <t>정기검사</t>
        </is>
      </c>
      <c r="C1494" s="46" t="inlineStr">
        <is>
          <t>김포지역</t>
        </is>
      </c>
      <c r="D1494" s="46" t="inlineStr">
        <is>
          <t>국도기계</t>
        </is>
      </c>
      <c r="E1494" s="46" t="n">
        <v>400</v>
      </c>
      <c r="F1494" s="46" t="inlineStr">
        <is>
          <t>석정리</t>
        </is>
      </c>
      <c r="G1494" s="50" t="n">
        <v>0.5</v>
      </c>
      <c r="H1494" s="51" t="n">
        <v>703120</v>
      </c>
      <c r="I1494" s="46" t="inlineStr">
        <is>
          <t>정성관</t>
        </is>
      </c>
      <c r="K1494" s="46" t="n">
        <v>1493</v>
      </c>
      <c r="L1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5">
      <c r="A1495" s="229" t="n">
        <v>46148</v>
      </c>
      <c r="B1495" s="46" t="inlineStr">
        <is>
          <t>정기검사</t>
        </is>
      </c>
      <c r="C1495" s="46" t="inlineStr">
        <is>
          <t>김포지역</t>
        </is>
      </c>
      <c r="D1495" s="46" t="inlineStr">
        <is>
          <t>성옥태양광</t>
        </is>
      </c>
      <c r="E1495" s="46" t="n">
        <v>80</v>
      </c>
      <c r="F1495" s="46" t="inlineStr">
        <is>
          <t>학운리</t>
        </is>
      </c>
      <c r="G1495" s="50" t="n"/>
      <c r="H1495" s="51" t="n">
        <v>315480</v>
      </c>
      <c r="I1495" s="46" t="inlineStr">
        <is>
          <t>정신배</t>
        </is>
      </c>
      <c r="K1495" s="46" t="n">
        <v>1494</v>
      </c>
      <c r="L1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6">
      <c r="A1496" s="229" t="n">
        <v>46148</v>
      </c>
      <c r="B1496" s="46" t="inlineStr">
        <is>
          <t>사용전검사</t>
        </is>
      </c>
      <c r="C1496" s="46" t="inlineStr">
        <is>
          <t>부천지역</t>
        </is>
      </c>
      <c r="D1496" s="46" t="inlineStr">
        <is>
          <t>삼하동호진</t>
        </is>
      </c>
      <c r="E1496" s="46" t="inlineStr">
        <is>
          <t>부분</t>
        </is>
      </c>
      <c r="F1496" s="46" t="n"/>
      <c r="G1496" s="50" t="n"/>
      <c r="H1496" s="51" t="n"/>
      <c r="I1496" s="46" t="inlineStr">
        <is>
          <t>우승택</t>
        </is>
      </c>
      <c r="K1496" s="46" t="n">
        <v>1495</v>
      </c>
      <c r="L1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7">
      <c r="A1497" s="229" t="n">
        <v>46148</v>
      </c>
      <c r="B1497" s="46" t="inlineStr">
        <is>
          <t>사용전검사</t>
        </is>
      </c>
      <c r="C1497" s="46" t="inlineStr">
        <is>
          <t>부천지역</t>
        </is>
      </c>
      <c r="D1497" s="46" t="inlineStr">
        <is>
          <t>미래타운-배분</t>
        </is>
      </c>
      <c r="E1497" s="46" t="n">
        <v>450</v>
      </c>
      <c r="F1497" s="46" t="inlineStr">
        <is>
          <t>역곡동</t>
        </is>
      </c>
      <c r="G1497" s="50" t="n">
        <v>0.2916666666666667</v>
      </c>
      <c r="H1497" s="51" t="n"/>
      <c r="I1497" s="46" t="inlineStr">
        <is>
          <t>서수형</t>
        </is>
      </c>
      <c r="K1497" s="46" t="n">
        <v>1496</v>
      </c>
      <c r="L1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8">
      <c r="A1498" s="229" t="n">
        <v>46148</v>
      </c>
      <c r="B1498" s="46" t="inlineStr">
        <is>
          <t>사용전검사</t>
        </is>
      </c>
      <c r="C1498" s="46" t="inlineStr">
        <is>
          <t>김포지역</t>
        </is>
      </c>
      <c r="D1498" s="46" t="inlineStr">
        <is>
          <t>대성태양광</t>
        </is>
      </c>
      <c r="E1498" s="46" t="n">
        <v>149</v>
      </c>
      <c r="F1498" s="46" t="inlineStr">
        <is>
          <t>송마리</t>
        </is>
      </c>
      <c r="G1498" s="50" t="n"/>
      <c r="H1498" s="51" t="n"/>
      <c r="I1498" s="46" t="inlineStr">
        <is>
          <t>민경수</t>
        </is>
      </c>
      <c r="K1498" s="46" t="n">
        <v>1497</v>
      </c>
      <c r="L1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9">
      <c r="A1499" s="229" t="n">
        <v>46149</v>
      </c>
      <c r="B1499" s="46" t="inlineStr">
        <is>
          <t>정기검사</t>
        </is>
      </c>
      <c r="C1499" s="46" t="inlineStr">
        <is>
          <t>부천지역</t>
        </is>
      </c>
      <c r="D1499" s="46" t="inlineStr">
        <is>
          <t>미성산업</t>
        </is>
      </c>
      <c r="E1499" s="46" t="n">
        <v>150</v>
      </c>
      <c r="F1499" s="46" t="inlineStr">
        <is>
          <t>도당동</t>
        </is>
      </c>
      <c r="G1499" s="50" t="n">
        <v>0.5416666666666666</v>
      </c>
      <c r="H1499" s="51" t="n">
        <v>424160</v>
      </c>
      <c r="I1499" s="46" t="inlineStr">
        <is>
          <t>허창수</t>
        </is>
      </c>
      <c r="K1499" s="46" t="n">
        <v>1498</v>
      </c>
      <c r="L1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0">
      <c r="A1500" s="229" t="n">
        <v>46149</v>
      </c>
      <c r="B1500" s="46" t="inlineStr">
        <is>
          <t>정기검사</t>
        </is>
      </c>
      <c r="C1500" s="46" t="inlineStr">
        <is>
          <t>부천지역</t>
        </is>
      </c>
      <c r="D1500" s="46" t="inlineStr">
        <is>
          <t>성연빌딩</t>
        </is>
      </c>
      <c r="E1500" s="46" t="n">
        <v>45</v>
      </c>
      <c r="F1500" s="46" t="inlineStr">
        <is>
          <t>원종동</t>
        </is>
      </c>
      <c r="G1500" s="50" t="n">
        <v>0.4166666666666667</v>
      </c>
      <c r="H1500" s="51" t="n">
        <v>149930</v>
      </c>
      <c r="I1500" s="46" t="inlineStr">
        <is>
          <t>송낙명</t>
        </is>
      </c>
      <c r="K1500" s="46" t="n">
        <v>1499</v>
      </c>
      <c r="L1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1">
      <c r="A1501" s="229" t="n">
        <v>46149</v>
      </c>
      <c r="B1501" s="46" t="inlineStr">
        <is>
          <t>정기검사</t>
        </is>
      </c>
      <c r="C1501" s="46" t="inlineStr">
        <is>
          <t>부천지역</t>
        </is>
      </c>
      <c r="D1501" s="46" t="inlineStr">
        <is>
          <t>정우프라자</t>
        </is>
      </c>
      <c r="E1501" s="46" t="inlineStr">
        <is>
          <t>500/144</t>
        </is>
      </c>
      <c r="F1501" s="46" t="inlineStr">
        <is>
          <t>상동</t>
        </is>
      </c>
      <c r="G1501" s="50" t="n">
        <v>0.2916666666666667</v>
      </c>
      <c r="H1501" s="51" t="n">
        <v>1176010</v>
      </c>
      <c r="I1501" s="46" t="inlineStr">
        <is>
          <t>이종석</t>
        </is>
      </c>
      <c r="K1501" s="46" t="n">
        <v>1500</v>
      </c>
      <c r="L1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2">
      <c r="A1502" s="229" t="n">
        <v>46149</v>
      </c>
      <c r="B1502" s="46" t="inlineStr">
        <is>
          <t>정기검사</t>
        </is>
      </c>
      <c r="C1502" s="46" t="inlineStr">
        <is>
          <t>부천지역</t>
        </is>
      </c>
      <c r="D1502" s="46" t="inlineStr">
        <is>
          <t>에비뉴상가</t>
        </is>
      </c>
      <c r="E1502" s="46" t="inlineStr">
        <is>
          <t>3500/545</t>
        </is>
      </c>
      <c r="F1502" s="46" t="inlineStr">
        <is>
          <t>중동</t>
        </is>
      </c>
      <c r="G1502" s="50" t="n">
        <v>0.25</v>
      </c>
      <c r="H1502" s="51" t="n">
        <v>2012010</v>
      </c>
      <c r="I1502" s="46" t="inlineStr">
        <is>
          <t>이덕기</t>
        </is>
      </c>
      <c r="K1502" s="46" t="n">
        <v>1501</v>
      </c>
      <c r="L1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3">
      <c r="A1503" s="229" t="n">
        <v>46149</v>
      </c>
      <c r="B1503" s="46" t="inlineStr">
        <is>
          <t>정기검사</t>
        </is>
      </c>
      <c r="C1503" s="46" t="inlineStr">
        <is>
          <t>부천지역</t>
        </is>
      </c>
      <c r="D1503" s="46" t="inlineStr">
        <is>
          <t>지플랜</t>
        </is>
      </c>
      <c r="E1503" s="46" t="n">
        <v>350</v>
      </c>
      <c r="F1503" s="46" t="inlineStr">
        <is>
          <t>송내동</t>
        </is>
      </c>
      <c r="G1503" s="50" t="n">
        <v>0.5</v>
      </c>
      <c r="H1503" s="51" t="n">
        <v>686180</v>
      </c>
      <c r="I1503" s="46" t="inlineStr">
        <is>
          <t>서수형</t>
        </is>
      </c>
      <c r="K1503" s="46" t="n">
        <v>1502</v>
      </c>
      <c r="L1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4">
      <c r="A1504" s="229" t="n">
        <v>46149</v>
      </c>
      <c r="B1504" s="46" t="inlineStr">
        <is>
          <t>정기검사</t>
        </is>
      </c>
      <c r="C1504" s="46" t="inlineStr">
        <is>
          <t>부천지역</t>
        </is>
      </c>
      <c r="D1504" s="46" t="inlineStr">
        <is>
          <t>오씨에너지</t>
        </is>
      </c>
      <c r="E1504" s="46" t="n">
        <v>27</v>
      </c>
      <c r="F1504" s="46" t="inlineStr">
        <is>
          <t>대장동</t>
        </is>
      </c>
      <c r="G1504" s="50" t="n">
        <v>0.3958333333333333</v>
      </c>
      <c r="H1504" s="51" t="n">
        <v>144540</v>
      </c>
      <c r="I1504" s="46" t="inlineStr">
        <is>
          <t>송낙명</t>
        </is>
      </c>
      <c r="K1504" s="46" t="n">
        <v>1503</v>
      </c>
      <c r="L1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5">
      <c r="A1505" s="229" t="n">
        <v>46149</v>
      </c>
      <c r="B1505" s="46" t="inlineStr">
        <is>
          <t>정기검사</t>
        </is>
      </c>
      <c r="C1505" s="46" t="inlineStr">
        <is>
          <t>부천지역</t>
        </is>
      </c>
      <c r="D1505" s="46" t="inlineStr">
        <is>
          <t>지에스칼텍스</t>
        </is>
      </c>
      <c r="E1505" s="46" t="inlineStr">
        <is>
          <t>전기차</t>
        </is>
      </c>
      <c r="F1505" s="46" t="inlineStr">
        <is>
          <t>역곡</t>
        </is>
      </c>
      <c r="G1505" s="50" t="n"/>
      <c r="H1505" s="51" t="n">
        <v>247940</v>
      </c>
      <c r="I1505" s="46" t="inlineStr">
        <is>
          <t>허창수</t>
        </is>
      </c>
      <c r="K1505" s="46" t="n">
        <v>1504</v>
      </c>
      <c r="L1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6">
      <c r="A1506" s="229" t="n">
        <v>46149</v>
      </c>
      <c r="B1506" s="46" t="inlineStr">
        <is>
          <t>정기검사</t>
        </is>
      </c>
      <c r="C1506" s="46" t="inlineStr">
        <is>
          <t>부천지역</t>
        </is>
      </c>
      <c r="D1506" s="46" t="inlineStr">
        <is>
          <t>나라에너지</t>
        </is>
      </c>
      <c r="E1506" s="46" t="inlineStr">
        <is>
          <t>전기차</t>
        </is>
      </c>
      <c r="F1506" s="46" t="inlineStr">
        <is>
          <t>옥길동</t>
        </is>
      </c>
      <c r="G1506" s="50" t="n"/>
      <c r="H1506" s="51" t="n">
        <v>247940</v>
      </c>
      <c r="I1506" s="46" t="inlineStr">
        <is>
          <t>허창수</t>
        </is>
      </c>
      <c r="K1506" s="46" t="n">
        <v>1505</v>
      </c>
      <c r="L1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7">
      <c r="A1507" s="229" t="n">
        <v>46149</v>
      </c>
      <c r="B1507" s="46" t="inlineStr">
        <is>
          <t>정기검사</t>
        </is>
      </c>
      <c r="C1507" s="46" t="inlineStr">
        <is>
          <t>부천지역</t>
        </is>
      </c>
      <c r="D1507" s="46" t="inlineStr">
        <is>
          <t>종람락크</t>
        </is>
      </c>
      <c r="E1507" s="46" t="n">
        <v>250</v>
      </c>
      <c r="F1507" s="46" t="inlineStr">
        <is>
          <t>내동</t>
        </is>
      </c>
      <c r="G1507" s="50" t="n">
        <v>0.4791666666666667</v>
      </c>
      <c r="H1507" s="51" t="n">
        <v>489170</v>
      </c>
      <c r="I1507" s="46" t="inlineStr">
        <is>
          <t>이종석</t>
        </is>
      </c>
      <c r="K1507" s="46" t="n">
        <v>1506</v>
      </c>
      <c r="L1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8">
      <c r="A1508" s="229" t="n">
        <v>46149</v>
      </c>
      <c r="B1508" s="46" t="inlineStr">
        <is>
          <t>정기검사</t>
        </is>
      </c>
      <c r="C1508" s="46" t="inlineStr">
        <is>
          <t>김포지역</t>
        </is>
      </c>
      <c r="D1508" s="46" t="inlineStr">
        <is>
          <t>여월신도시주유소</t>
        </is>
      </c>
      <c r="E1508" s="46" t="inlineStr">
        <is>
          <t>전기차</t>
        </is>
      </c>
      <c r="F1508" s="46" t="inlineStr">
        <is>
          <t>여월동</t>
        </is>
      </c>
      <c r="G1508" s="50" t="n">
        <v>0.625</v>
      </c>
      <c r="H1508" s="51" t="n">
        <v>247940</v>
      </c>
      <c r="I1508" s="46" t="inlineStr">
        <is>
          <t>이종석</t>
        </is>
      </c>
      <c r="K1508" s="46" t="n">
        <v>1507</v>
      </c>
      <c r="L1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9">
      <c r="A1509" s="229" t="n">
        <v>46149</v>
      </c>
      <c r="B1509" s="46" t="inlineStr">
        <is>
          <t>정기검사</t>
        </is>
      </c>
      <c r="C1509" s="46" t="inlineStr">
        <is>
          <t>김포지역</t>
        </is>
      </c>
      <c r="D1509" s="46" t="inlineStr">
        <is>
          <t>우저서원</t>
        </is>
      </c>
      <c r="E1509" s="46" t="n">
        <v>54</v>
      </c>
      <c r="F1509" s="46" t="inlineStr">
        <is>
          <t>사우동</t>
        </is>
      </c>
      <c r="G1509" s="50" t="n">
        <v>0.4166666666666667</v>
      </c>
      <c r="H1509" s="51" t="n">
        <v>152570</v>
      </c>
      <c r="I1509" s="46" t="inlineStr">
        <is>
          <t>한태희</t>
        </is>
      </c>
      <c r="K1509" s="46" t="n">
        <v>1508</v>
      </c>
      <c r="L1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0">
      <c r="A1510" s="229" t="n">
        <v>46149</v>
      </c>
      <c r="B1510" s="46" t="inlineStr">
        <is>
          <t>정기검사</t>
        </is>
      </c>
      <c r="C1510" s="46" t="inlineStr">
        <is>
          <t>김포지역</t>
        </is>
      </c>
      <c r="D1510" s="46" t="inlineStr">
        <is>
          <t>김포한강휴먼시아2단지</t>
        </is>
      </c>
      <c r="E1510" s="46" t="inlineStr">
        <is>
          <t>2500/800</t>
        </is>
      </c>
      <c r="F1510" s="46" t="inlineStr">
        <is>
          <t>장기동</t>
        </is>
      </c>
      <c r="G1510" s="50" t="n">
        <v>0.4166666666666667</v>
      </c>
      <c r="H1510" s="51" t="n">
        <v>1449140</v>
      </c>
      <c r="I1510" s="46" t="inlineStr">
        <is>
          <t>민재홍</t>
        </is>
      </c>
      <c r="K1510" s="46" t="n">
        <v>1509</v>
      </c>
      <c r="L1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1">
      <c r="A1511" s="229" t="n">
        <v>46149</v>
      </c>
      <c r="B1511" s="46" t="inlineStr">
        <is>
          <t>정기검사</t>
        </is>
      </c>
      <c r="C1511" s="46" t="inlineStr">
        <is>
          <t>김포지역</t>
        </is>
      </c>
      <c r="D1511" s="46" t="inlineStr">
        <is>
          <t>폴텍</t>
        </is>
      </c>
      <c r="E1511" s="46" t="n">
        <v>300</v>
      </c>
      <c r="F1511" s="46" t="inlineStr">
        <is>
          <t>귀전리</t>
        </is>
      </c>
      <c r="G1511" s="50" t="n">
        <v>0.4791666666666667</v>
      </c>
      <c r="H1511" s="51" t="n">
        <v>521730</v>
      </c>
      <c r="I1511" s="46" t="inlineStr">
        <is>
          <t>정성관</t>
        </is>
      </c>
      <c r="K1511" s="46" t="n">
        <v>1510</v>
      </c>
      <c r="L1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2">
      <c r="A1512" s="229" t="n">
        <v>46149</v>
      </c>
      <c r="B1512" s="46" t="inlineStr">
        <is>
          <t>정기검사</t>
        </is>
      </c>
      <c r="C1512" s="46" t="inlineStr">
        <is>
          <t>김포지역</t>
        </is>
      </c>
      <c r="D1512" s="46" t="inlineStr">
        <is>
          <t>명진정공</t>
        </is>
      </c>
      <c r="E1512" s="46" t="n">
        <v>150</v>
      </c>
      <c r="F1512" s="46" t="inlineStr">
        <is>
          <t>거물대리</t>
        </is>
      </c>
      <c r="G1512" s="50" t="n">
        <v>0.3958333333333333</v>
      </c>
      <c r="H1512" s="51" t="n">
        <v>424160</v>
      </c>
      <c r="I1512" s="46" t="inlineStr">
        <is>
          <t>정신배</t>
        </is>
      </c>
      <c r="K1512" s="46" t="n">
        <v>1511</v>
      </c>
      <c r="L1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3">
      <c r="A1513" s="229" t="n">
        <v>46149</v>
      </c>
      <c r="B1513" s="46" t="inlineStr">
        <is>
          <t>정기검사</t>
        </is>
      </c>
      <c r="C1513" s="46" t="inlineStr">
        <is>
          <t>김포지역</t>
        </is>
      </c>
      <c r="D1513" s="46" t="inlineStr">
        <is>
          <t>진영에스텍</t>
        </is>
      </c>
      <c r="E1513" s="46" t="n">
        <v>290</v>
      </c>
      <c r="F1513" s="46" t="inlineStr">
        <is>
          <t>석정리</t>
        </is>
      </c>
      <c r="G1513" s="50" t="n">
        <v>0.4791666666666667</v>
      </c>
      <c r="H1513" s="51" t="n">
        <v>515130</v>
      </c>
      <c r="I1513" s="46" t="inlineStr">
        <is>
          <t>한태희</t>
        </is>
      </c>
      <c r="K1513" s="46" t="n">
        <v>1512</v>
      </c>
      <c r="L1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4">
      <c r="A1514" s="229" t="n">
        <v>46149</v>
      </c>
      <c r="B1514" s="46" t="inlineStr">
        <is>
          <t>정기검사</t>
        </is>
      </c>
      <c r="C1514" s="46" t="inlineStr">
        <is>
          <t>김포지역</t>
        </is>
      </c>
      <c r="D1514" s="46" t="inlineStr">
        <is>
          <t>삼우텍스</t>
        </is>
      </c>
      <c r="E1514" s="46" t="n">
        <v>150</v>
      </c>
      <c r="F1514" s="46" t="inlineStr">
        <is>
          <t>석탄리</t>
        </is>
      </c>
      <c r="G1514" s="50" t="n">
        <v>0.4583333333333333</v>
      </c>
      <c r="H1514" s="51" t="n">
        <v>424160</v>
      </c>
      <c r="I1514" s="46" t="inlineStr">
        <is>
          <t>김영권</t>
        </is>
      </c>
      <c r="K1514" s="46" t="n">
        <v>1513</v>
      </c>
      <c r="L1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5">
      <c r="A1515" s="229" t="n">
        <v>46149</v>
      </c>
      <c r="B1515" s="46" t="inlineStr">
        <is>
          <t>정기검사</t>
        </is>
      </c>
      <c r="C1515" s="46" t="inlineStr">
        <is>
          <t>김포지역</t>
        </is>
      </c>
      <c r="D1515" s="46" t="inlineStr">
        <is>
          <t>영광태양광</t>
        </is>
      </c>
      <c r="E1515" s="46" t="n">
        <v>98</v>
      </c>
      <c r="F1515" s="46" t="inlineStr">
        <is>
          <t>학운리</t>
        </is>
      </c>
      <c r="G1515" s="50" t="n"/>
      <c r="H1515" s="51" t="n">
        <v>253550</v>
      </c>
      <c r="I1515" s="46" t="inlineStr">
        <is>
          <t>민경수</t>
        </is>
      </c>
      <c r="K1515" s="46" t="n">
        <v>1514</v>
      </c>
      <c r="L1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6">
      <c r="A1516" s="229" t="n">
        <v>46149</v>
      </c>
      <c r="B1516" s="46" t="inlineStr">
        <is>
          <t>정기검사</t>
        </is>
      </c>
      <c r="C1516" s="46" t="inlineStr">
        <is>
          <t>김포지역</t>
        </is>
      </c>
      <c r="D1516" s="46" t="inlineStr">
        <is>
          <t>영광태양광</t>
        </is>
      </c>
      <c r="E1516" s="46" t="n">
        <v>99</v>
      </c>
      <c r="F1516" s="46" t="inlineStr">
        <is>
          <t>학운리</t>
        </is>
      </c>
      <c r="G1516" s="50" t="n"/>
      <c r="H1516" s="51" t="n">
        <v>251130</v>
      </c>
      <c r="I1516" s="46" t="inlineStr">
        <is>
          <t>민경수</t>
        </is>
      </c>
      <c r="K1516" s="46" t="n">
        <v>1515</v>
      </c>
      <c r="L1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7">
      <c r="A1517" s="229" t="n">
        <v>46149</v>
      </c>
      <c r="B1517" s="46" t="inlineStr">
        <is>
          <t>정기검사</t>
        </is>
      </c>
      <c r="C1517" s="46" t="inlineStr">
        <is>
          <t>김포지역</t>
        </is>
      </c>
      <c r="D1517" s="46" t="inlineStr">
        <is>
          <t>손짜장마을</t>
        </is>
      </c>
      <c r="E1517" s="46" t="n">
        <v>15</v>
      </c>
      <c r="F1517" s="46" t="inlineStr">
        <is>
          <t>포내리</t>
        </is>
      </c>
      <c r="G1517" s="50" t="n"/>
      <c r="H1517" s="51" t="n">
        <v>93060</v>
      </c>
      <c r="I1517" s="46" t="inlineStr">
        <is>
          <t>송두기</t>
        </is>
      </c>
      <c r="K1517" s="46" t="n">
        <v>1516</v>
      </c>
      <c r="L1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8">
      <c r="A1518" s="229" t="n">
        <v>46149</v>
      </c>
      <c r="B1518" s="46" t="inlineStr">
        <is>
          <t>사용전검사</t>
        </is>
      </c>
      <c r="C1518" s="46" t="inlineStr">
        <is>
          <t>김포지역</t>
        </is>
      </c>
      <c r="D1518" s="46" t="inlineStr">
        <is>
          <t>에이</t>
        </is>
      </c>
      <c r="E1518" s="46" t="inlineStr">
        <is>
          <t>재검</t>
        </is>
      </c>
      <c r="F1518" s="46" t="inlineStr">
        <is>
          <t>귀전리</t>
        </is>
      </c>
      <c r="G1518" s="50" t="n"/>
      <c r="H1518" s="51" t="n"/>
      <c r="I1518" s="46" t="inlineStr">
        <is>
          <t>이덕기</t>
        </is>
      </c>
      <c r="K1518" s="46" t="n">
        <v>1517</v>
      </c>
      <c r="L1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9">
      <c r="A1519" s="229" t="n">
        <v>46149</v>
      </c>
      <c r="B1519" s="46" t="inlineStr">
        <is>
          <t>사용전검사</t>
        </is>
      </c>
      <c r="C1519" s="46" t="inlineStr">
        <is>
          <t>김포지역</t>
        </is>
      </c>
      <c r="D1519" s="46" t="inlineStr">
        <is>
          <t>초원</t>
        </is>
      </c>
      <c r="E1519" s="46" t="inlineStr">
        <is>
          <t>재검</t>
        </is>
      </c>
      <c r="F1519" s="46" t="inlineStr">
        <is>
          <t>학운리</t>
        </is>
      </c>
      <c r="G1519" s="50" t="n"/>
      <c r="H1519" s="51" t="n"/>
      <c r="I1519" s="46" t="inlineStr">
        <is>
          <t>우승택</t>
        </is>
      </c>
      <c r="K1519" s="46" t="n">
        <v>1518</v>
      </c>
      <c r="L1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0">
      <c r="A1520" s="229" t="n">
        <v>46149</v>
      </c>
      <c r="B1520" s="46" t="inlineStr">
        <is>
          <t>사용전검사</t>
        </is>
      </c>
      <c r="C1520" s="46" t="inlineStr">
        <is>
          <t>김포지역</t>
        </is>
      </c>
      <c r="D1520" s="46" t="inlineStr">
        <is>
          <t>초원</t>
        </is>
      </c>
      <c r="E1520" s="46" t="inlineStr">
        <is>
          <t>부분</t>
        </is>
      </c>
      <c r="F1520" s="46" t="inlineStr">
        <is>
          <t>학운리</t>
        </is>
      </c>
      <c r="G1520" s="50" t="n"/>
      <c r="H1520" s="51" t="n"/>
      <c r="I1520" s="46" t="inlineStr">
        <is>
          <t>우승택</t>
        </is>
      </c>
      <c r="K1520" s="46" t="n">
        <v>1519</v>
      </c>
      <c r="L1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1">
      <c r="A1521" s="229" t="n">
        <v>46150</v>
      </c>
      <c r="B1521" s="46" t="inlineStr">
        <is>
          <t>정기검사</t>
        </is>
      </c>
      <c r="C1521" s="46" t="inlineStr">
        <is>
          <t>부천지역</t>
        </is>
      </c>
      <c r="D1521" s="46" t="inlineStr">
        <is>
          <t>서울자유발도르프학교</t>
        </is>
      </c>
      <c r="E1521" s="46" t="n">
        <v>400</v>
      </c>
      <c r="F1521" s="46" t="inlineStr">
        <is>
          <t>옥길동</t>
        </is>
      </c>
      <c r="G1521" s="50" t="n">
        <v>0.4166666666666667</v>
      </c>
      <c r="H1521" s="51" t="n">
        <v>703120</v>
      </c>
      <c r="I1521" s="46" t="inlineStr">
        <is>
          <t>정성관</t>
        </is>
      </c>
      <c r="K1521" s="46" t="n">
        <v>1520</v>
      </c>
      <c r="L1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2">
      <c r="A1522" s="229" t="n">
        <v>46150</v>
      </c>
      <c r="B1522" s="46" t="inlineStr">
        <is>
          <t>정기검사</t>
        </is>
      </c>
      <c r="C1522" s="46" t="inlineStr">
        <is>
          <t>부천지역</t>
        </is>
      </c>
      <c r="D1522" s="46" t="inlineStr">
        <is>
          <t>아산볼트기업</t>
        </is>
      </c>
      <c r="E1522" s="46" t="n">
        <v>290</v>
      </c>
      <c r="F1522" s="46" t="inlineStr">
        <is>
          <t>춘의동</t>
        </is>
      </c>
      <c r="G1522" s="50" t="n">
        <v>0.5</v>
      </c>
      <c r="H1522" s="51" t="n">
        <v>515130</v>
      </c>
      <c r="I1522" s="46" t="inlineStr">
        <is>
          <t>정신배</t>
        </is>
      </c>
      <c r="K1522" s="46" t="n">
        <v>1521</v>
      </c>
      <c r="L1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3">
      <c r="A1523" s="229" t="n">
        <v>46150</v>
      </c>
      <c r="B1523" s="46" t="inlineStr">
        <is>
          <t>정기검사</t>
        </is>
      </c>
      <c r="C1523" s="46" t="inlineStr">
        <is>
          <t>부천지역</t>
        </is>
      </c>
      <c r="D1523" s="46" t="inlineStr">
        <is>
          <t>스타팰리스상가</t>
        </is>
      </c>
      <c r="E1523" s="46" t="n">
        <v>600</v>
      </c>
      <c r="F1523" s="46" t="inlineStr">
        <is>
          <t>상동</t>
        </is>
      </c>
      <c r="G1523" s="50" t="n">
        <v>0.3958333333333333</v>
      </c>
      <c r="H1523" s="51" t="n">
        <v>770880</v>
      </c>
      <c r="I1523" s="46" t="inlineStr">
        <is>
          <t>우승택</t>
        </is>
      </c>
      <c r="K1523" s="46" t="n">
        <v>1522</v>
      </c>
      <c r="L1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4">
      <c r="A1524" s="229" t="n">
        <v>46150</v>
      </c>
      <c r="B1524" s="46" t="inlineStr">
        <is>
          <t>정기검사</t>
        </is>
      </c>
      <c r="C1524" s="46" t="inlineStr">
        <is>
          <t>부천지역</t>
        </is>
      </c>
      <c r="D1524" s="46" t="inlineStr">
        <is>
          <t>에이타워</t>
        </is>
      </c>
      <c r="E1524" s="46" t="n">
        <v>700</v>
      </c>
      <c r="F1524" s="46" t="inlineStr">
        <is>
          <t>소사본동</t>
        </is>
      </c>
      <c r="G1524" s="50" t="n">
        <v>0.4375</v>
      </c>
      <c r="H1524" s="51" t="n">
        <v>804760</v>
      </c>
      <c r="I1524" s="46" t="inlineStr">
        <is>
          <t>민재홍</t>
        </is>
      </c>
      <c r="K1524" s="46" t="n">
        <v>1523</v>
      </c>
      <c r="L1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5">
      <c r="A1525" s="229" t="n">
        <v>46150</v>
      </c>
      <c r="B1525" s="46" t="inlineStr">
        <is>
          <t>정기검사</t>
        </is>
      </c>
      <c r="C1525" s="46" t="inlineStr">
        <is>
          <t>부천지역</t>
        </is>
      </c>
      <c r="D1525" s="46" t="inlineStr">
        <is>
          <t>태현교통</t>
        </is>
      </c>
      <c r="E1525" s="46" t="inlineStr">
        <is>
          <t>전기차</t>
        </is>
      </c>
      <c r="F1525" s="46" t="inlineStr">
        <is>
          <t>옥길동</t>
        </is>
      </c>
      <c r="G1525" s="50" t="n">
        <v>0.6458333333333334</v>
      </c>
      <c r="H1525" s="51" t="n">
        <v>430760</v>
      </c>
      <c r="I1525" s="46" t="inlineStr">
        <is>
          <t>한태희</t>
        </is>
      </c>
      <c r="K1525" s="46" t="n">
        <v>1524</v>
      </c>
      <c r="L1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6">
      <c r="A1526" s="229" t="n">
        <v>46150</v>
      </c>
      <c r="B1526" s="46" t="inlineStr">
        <is>
          <t>정기검사</t>
        </is>
      </c>
      <c r="C1526" s="46" t="inlineStr">
        <is>
          <t>부천지역</t>
        </is>
      </c>
      <c r="D1526" s="46" t="inlineStr">
        <is>
          <t>고산테크노밸리</t>
        </is>
      </c>
      <c r="E1526" s="46" t="n">
        <v>700</v>
      </c>
      <c r="F1526" s="46" t="inlineStr">
        <is>
          <t>도당동</t>
        </is>
      </c>
      <c r="G1526" s="50" t="n">
        <v>0.6041666666666666</v>
      </c>
      <c r="H1526" s="51" t="n">
        <v>804760</v>
      </c>
      <c r="I1526" s="46" t="inlineStr">
        <is>
          <t>민경수</t>
        </is>
      </c>
      <c r="K1526" s="46" t="n">
        <v>1525</v>
      </c>
      <c r="L1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7">
      <c r="A1527" s="229" t="n">
        <v>46150</v>
      </c>
      <c r="B1527" s="46" t="inlineStr">
        <is>
          <t>정기검사</t>
        </is>
      </c>
      <c r="C1527" s="46" t="inlineStr">
        <is>
          <t>부천지역</t>
        </is>
      </c>
      <c r="D1527" s="46" t="inlineStr">
        <is>
          <t>삼진레이저</t>
        </is>
      </c>
      <c r="E1527" s="46" t="n">
        <v>200</v>
      </c>
      <c r="F1527" s="46" t="inlineStr">
        <is>
          <t>도당동</t>
        </is>
      </c>
      <c r="G1527" s="50" t="n">
        <v>0.4791666666666667</v>
      </c>
      <c r="H1527" s="51" t="n">
        <v>456720</v>
      </c>
      <c r="I1527" s="46" t="inlineStr">
        <is>
          <t>민재홍</t>
        </is>
      </c>
      <c r="K1527" s="46" t="n">
        <v>1526</v>
      </c>
      <c r="L1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8">
      <c r="A1528" s="229" t="n">
        <v>46150</v>
      </c>
      <c r="B1528" s="46" t="inlineStr">
        <is>
          <t>정기검사</t>
        </is>
      </c>
      <c r="C1528" s="46" t="inlineStr">
        <is>
          <t>김포지역</t>
        </is>
      </c>
      <c r="D1528" s="46" t="inlineStr">
        <is>
          <t>더퓨어</t>
        </is>
      </c>
      <c r="E1528" s="46" t="n">
        <v>150</v>
      </c>
      <c r="F1528" s="46" t="inlineStr">
        <is>
          <t>고정리</t>
        </is>
      </c>
      <c r="G1528" s="50" t="n">
        <v>0.6458333333333334</v>
      </c>
      <c r="H1528" s="51" t="n">
        <v>424160</v>
      </c>
      <c r="I1528" s="46" t="inlineStr">
        <is>
          <t>김영권</t>
        </is>
      </c>
      <c r="K1528" s="46" t="n">
        <v>1527</v>
      </c>
      <c r="L1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9">
      <c r="A1529" s="229" t="n">
        <v>46150</v>
      </c>
      <c r="B1529" s="46" t="inlineStr">
        <is>
          <t>정기검사</t>
        </is>
      </c>
      <c r="C1529" s="46" t="inlineStr">
        <is>
          <t>김포지역</t>
        </is>
      </c>
      <c r="D1529" s="46" t="inlineStr">
        <is>
          <t>샛빛마을</t>
        </is>
      </c>
      <c r="E1529" s="46" t="n">
        <v>3</v>
      </c>
      <c r="F1529" s="46" t="inlineStr">
        <is>
          <t>대벽리</t>
        </is>
      </c>
      <c r="G1529" s="50" t="n"/>
      <c r="H1529" s="51" t="n">
        <v>89210</v>
      </c>
      <c r="I1529" s="46" t="inlineStr">
        <is>
          <t>정신배</t>
        </is>
      </c>
      <c r="K1529" s="46" t="n">
        <v>1528</v>
      </c>
      <c r="L1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0">
      <c r="A1530" s="229" t="n">
        <v>46150</v>
      </c>
      <c r="B1530" s="46" t="inlineStr">
        <is>
          <t>정기검사</t>
        </is>
      </c>
      <c r="C1530" s="46" t="inlineStr">
        <is>
          <t>김포지역</t>
        </is>
      </c>
      <c r="D1530" s="46" t="inlineStr">
        <is>
          <t>샛빛마을</t>
        </is>
      </c>
      <c r="E1530" s="46" t="n">
        <v>4</v>
      </c>
      <c r="F1530" s="46" t="inlineStr">
        <is>
          <t>대벽리</t>
        </is>
      </c>
      <c r="G1530" s="50" t="n"/>
      <c r="H1530" s="51" t="n">
        <v>89210</v>
      </c>
      <c r="I1530" s="46" t="inlineStr">
        <is>
          <t>정신배</t>
        </is>
      </c>
      <c r="K1530" s="46" t="n">
        <v>1529</v>
      </c>
      <c r="L1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1">
      <c r="A1531" s="229" t="n">
        <v>46150</v>
      </c>
      <c r="B1531" s="46" t="inlineStr">
        <is>
          <t>정기검사</t>
        </is>
      </c>
      <c r="C1531" s="46" t="inlineStr">
        <is>
          <t>김포지역</t>
        </is>
      </c>
      <c r="D1531" s="46" t="inlineStr">
        <is>
          <t>하성면사무소</t>
        </is>
      </c>
      <c r="E1531" s="46" t="n">
        <v>20</v>
      </c>
      <c r="F1531" s="46" t="inlineStr">
        <is>
          <t>마곡리</t>
        </is>
      </c>
      <c r="G1531" s="50" t="n"/>
      <c r="H1531" s="51" t="n">
        <v>44220</v>
      </c>
      <c r="I1531" s="46" t="inlineStr">
        <is>
          <t>김영권</t>
        </is>
      </c>
      <c r="K1531" s="46" t="n">
        <v>1530</v>
      </c>
      <c r="L1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2">
      <c r="A1532" s="229" t="n">
        <v>46150</v>
      </c>
      <c r="B1532" s="46" t="inlineStr">
        <is>
          <t>정기검사</t>
        </is>
      </c>
      <c r="C1532" s="46" t="inlineStr">
        <is>
          <t>김포지역</t>
        </is>
      </c>
      <c r="D1532" s="46" t="inlineStr">
        <is>
          <t>스피드랙</t>
        </is>
      </c>
      <c r="E1532" s="46" t="n">
        <v>295</v>
      </c>
      <c r="F1532" s="46" t="inlineStr">
        <is>
          <t>석정리</t>
        </is>
      </c>
      <c r="G1532" s="50" t="n">
        <v>0.5</v>
      </c>
      <c r="H1532" s="51" t="n">
        <v>518430</v>
      </c>
      <c r="I1532" s="46" t="inlineStr">
        <is>
          <t>이덕기</t>
        </is>
      </c>
      <c r="K1532" s="46" t="n">
        <v>1531</v>
      </c>
      <c r="L1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3">
      <c r="A1533" s="229" t="n">
        <v>46150</v>
      </c>
      <c r="B1533" s="46" t="inlineStr">
        <is>
          <t>정기검사</t>
        </is>
      </c>
      <c r="C1533" s="46" t="inlineStr">
        <is>
          <t>김포지역</t>
        </is>
      </c>
      <c r="D1533" s="46" t="inlineStr">
        <is>
          <t>세종개발</t>
        </is>
      </c>
      <c r="E1533" s="46" t="n">
        <v>300</v>
      </c>
      <c r="F1533" s="46" t="inlineStr">
        <is>
          <t>고촌</t>
        </is>
      </c>
      <c r="G1533" s="50" t="n">
        <v>0.3958333333333333</v>
      </c>
      <c r="H1533" s="51" t="n">
        <v>521730</v>
      </c>
      <c r="I1533" s="46" t="inlineStr">
        <is>
          <t>서수형</t>
        </is>
      </c>
      <c r="K1533" s="46" t="n">
        <v>1532</v>
      </c>
      <c r="L1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4">
      <c r="A1534" s="229" t="n">
        <v>46150</v>
      </c>
      <c r="B1534" s="46" t="inlineStr">
        <is>
          <t>사용전검사</t>
        </is>
      </c>
      <c r="C1534" s="46" t="inlineStr">
        <is>
          <t>부천지역</t>
        </is>
      </c>
      <c r="D1534" s="46" t="inlineStr">
        <is>
          <t>양양</t>
        </is>
      </c>
      <c r="E1534" s="46" t="inlineStr">
        <is>
          <t>전기차</t>
        </is>
      </c>
      <c r="F1534" s="46" t="inlineStr">
        <is>
          <t>원종동</t>
        </is>
      </c>
      <c r="G1534" s="50" t="n"/>
      <c r="H1534" s="51" t="n"/>
      <c r="I1534" s="46" t="inlineStr">
        <is>
          <t>송낙명</t>
        </is>
      </c>
      <c r="K1534" s="46" t="n">
        <v>1533</v>
      </c>
      <c r="L1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5">
      <c r="A1535" s="229" t="n">
        <v>46150</v>
      </c>
      <c r="B1535" s="46" t="inlineStr">
        <is>
          <t>사용전검사</t>
        </is>
      </c>
      <c r="C1535" s="46" t="inlineStr">
        <is>
          <t>부천지역</t>
        </is>
      </c>
      <c r="D1535" s="46" t="inlineStr">
        <is>
          <t>삼하동호진</t>
        </is>
      </c>
      <c r="E1535" s="46" t="inlineStr">
        <is>
          <t>태양광</t>
        </is>
      </c>
      <c r="F1535" s="46" t="n"/>
      <c r="G1535" s="50" t="n"/>
      <c r="H1535" s="51" t="n"/>
      <c r="I1535" s="46" t="inlineStr">
        <is>
          <t>우승택</t>
        </is>
      </c>
      <c r="K1535" s="46" t="n">
        <v>1534</v>
      </c>
      <c r="L1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6">
      <c r="A1536" s="229" t="n">
        <v>46150</v>
      </c>
      <c r="B1536" s="46" t="inlineStr">
        <is>
          <t>사용전검사</t>
        </is>
      </c>
      <c r="C1536" s="46" t="inlineStr">
        <is>
          <t>김포지역</t>
        </is>
      </c>
      <c r="D1536" s="46" t="inlineStr">
        <is>
          <t>부건강법</t>
        </is>
      </c>
      <c r="E1536" s="46" t="n">
        <v>306</v>
      </c>
      <c r="F1536" s="46" t="inlineStr">
        <is>
          <t>학운리</t>
        </is>
      </c>
      <c r="G1536" s="50" t="n"/>
      <c r="H1536" s="51" t="n"/>
      <c r="I1536" s="46" t="inlineStr">
        <is>
          <t>이종석</t>
        </is>
      </c>
      <c r="K1536" s="46" t="n">
        <v>1535</v>
      </c>
      <c r="L1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7">
      <c r="A1537" s="229" t="n">
        <v>46150</v>
      </c>
      <c r="B1537" s="46" t="inlineStr">
        <is>
          <t>사용전검사</t>
        </is>
      </c>
      <c r="C1537" s="46" t="inlineStr">
        <is>
          <t>김포지역</t>
        </is>
      </c>
      <c r="D1537" s="46" t="inlineStr">
        <is>
          <t>한라태양광</t>
        </is>
      </c>
      <c r="E1537" s="46" t="n">
        <v>69</v>
      </c>
      <c r="F1537" s="46" t="inlineStr">
        <is>
          <t>원산리</t>
        </is>
      </c>
      <c r="G1537" s="50" t="n"/>
      <c r="H1537" s="51" t="n"/>
      <c r="I1537" s="46" t="inlineStr">
        <is>
          <t>송두기</t>
        </is>
      </c>
      <c r="K1537" s="46" t="n">
        <v>1536</v>
      </c>
      <c r="L1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8">
      <c r="A1538" s="229" t="n">
        <v>46150</v>
      </c>
      <c r="B1538" s="46" t="inlineStr">
        <is>
          <t>사용전검사</t>
        </is>
      </c>
      <c r="C1538" s="46" t="inlineStr">
        <is>
          <t>김포지역</t>
        </is>
      </c>
      <c r="D1538" s="46" t="inlineStr">
        <is>
          <t>김포레이저</t>
        </is>
      </c>
      <c r="E1538" s="46" t="n">
        <v>310</v>
      </c>
      <c r="F1538" s="46" t="inlineStr">
        <is>
          <t>학운리</t>
        </is>
      </c>
      <c r="G1538" s="50" t="n"/>
      <c r="H1538" s="51" t="n"/>
      <c r="I1538" s="46" t="inlineStr">
        <is>
          <t>허창수</t>
        </is>
      </c>
      <c r="K1538" s="46" t="n">
        <v>1537</v>
      </c>
      <c r="L1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9">
      <c r="A1539" s="229" t="n">
        <v>46150</v>
      </c>
      <c r="B1539" s="46" t="inlineStr">
        <is>
          <t>사용전검사</t>
        </is>
      </c>
      <c r="C1539" s="46" t="inlineStr">
        <is>
          <t>김포지역</t>
        </is>
      </c>
      <c r="D1539" s="46" t="inlineStr">
        <is>
          <t>재우엔프라</t>
        </is>
      </c>
      <c r="E1539" s="46" t="n">
        <v>248</v>
      </c>
      <c r="F1539" s="46" t="inlineStr">
        <is>
          <t>학운리</t>
        </is>
      </c>
      <c r="G1539" s="50" t="n"/>
      <c r="H1539" s="51" t="n"/>
      <c r="I1539" s="46" t="inlineStr">
        <is>
          <t>허창수</t>
        </is>
      </c>
      <c r="K1539" s="46" t="n">
        <v>1538</v>
      </c>
      <c r="L1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0">
      <c r="A1540" s="229" t="n">
        <v>46151</v>
      </c>
      <c r="B1540" s="46" t="inlineStr">
        <is>
          <t>정기검사</t>
        </is>
      </c>
      <c r="C1540" s="46" t="inlineStr">
        <is>
          <t>부천지역</t>
        </is>
      </c>
      <c r="D1540" s="46" t="inlineStr">
        <is>
          <t>에스디푸드</t>
        </is>
      </c>
      <c r="E1540" s="46" t="n">
        <v>950</v>
      </c>
      <c r="F1540" s="46" t="inlineStr">
        <is>
          <t>원미동</t>
        </is>
      </c>
      <c r="G1540" s="50" t="n">
        <v>0.375</v>
      </c>
      <c r="H1540" s="51" t="n">
        <v>1156210</v>
      </c>
      <c r="I1540" s="46" t="n"/>
      <c r="K1540" s="46" t="n">
        <v>1539</v>
      </c>
      <c r="L1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1">
      <c r="A1541" s="229" t="n">
        <v>46151</v>
      </c>
      <c r="B1541" s="46" t="inlineStr">
        <is>
          <t>정기검사</t>
        </is>
      </c>
      <c r="C1541" s="46" t="inlineStr">
        <is>
          <t>김포지역</t>
        </is>
      </c>
      <c r="D1541" s="46" t="inlineStr">
        <is>
          <t>대원세라믹스</t>
        </is>
      </c>
      <c r="E1541" s="46" t="n">
        <v>270</v>
      </c>
      <c r="F1541" s="46" t="inlineStr">
        <is>
          <t>운양동</t>
        </is>
      </c>
      <c r="G1541" s="50" t="n">
        <v>0.6458333333333334</v>
      </c>
      <c r="H1541" s="51" t="n">
        <v>682850</v>
      </c>
      <c r="I1541" s="46" t="n"/>
      <c r="K1541" s="46" t="n">
        <v>1540</v>
      </c>
      <c r="L1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2">
      <c r="A1542" s="229" t="n">
        <v>46151</v>
      </c>
      <c r="B1542" s="46" t="inlineStr">
        <is>
          <t>메모</t>
        </is>
      </c>
      <c r="C1542" s="46" t="inlineStr">
        <is>
          <t>부천지역</t>
        </is>
      </c>
      <c r="D1542" s="46" t="inlineStr">
        <is>
          <t>민재홍휴가</t>
        </is>
      </c>
      <c r="E1542" s="46" t="n"/>
      <c r="F1542" s="46" t="n"/>
      <c r="G1542" s="50" t="n"/>
      <c r="H1542" s="51" t="n"/>
      <c r="I1542" s="46" t="n"/>
      <c r="K1542" s="46" t="n">
        <v>1541</v>
      </c>
      <c r="L1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3">
      <c r="A1543" s="229" t="n">
        <v>46151</v>
      </c>
      <c r="B1543" s="46" t="inlineStr">
        <is>
          <t>메모</t>
        </is>
      </c>
      <c r="C1543" s="46" t="inlineStr">
        <is>
          <t>부천지역</t>
        </is>
      </c>
      <c r="D1543" s="46" t="inlineStr">
        <is>
          <t>한태희휴가</t>
        </is>
      </c>
      <c r="E1543" s="46" t="n"/>
      <c r="F1543" s="46" t="n"/>
      <c r="G1543" s="50" t="n"/>
      <c r="H1543" s="51" t="n"/>
      <c r="I1543" s="46" t="n"/>
      <c r="K1543" s="46" t="n">
        <v>1542</v>
      </c>
      <c r="L1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4">
      <c r="A1544" s="229" t="n">
        <v>46151</v>
      </c>
      <c r="B1544" s="46" t="inlineStr">
        <is>
          <t>사용전검사</t>
        </is>
      </c>
      <c r="C1544" s="46" t="inlineStr">
        <is>
          <t>김포지역</t>
        </is>
      </c>
      <c r="D1544" s="46" t="inlineStr">
        <is>
          <t>아이씨알</t>
        </is>
      </c>
      <c r="E1544" s="46" t="n">
        <v>1000</v>
      </c>
      <c r="F1544" s="46" t="inlineStr">
        <is>
          <t>학운리</t>
        </is>
      </c>
      <c r="G1544" s="50" t="n"/>
      <c r="H1544" s="51" t="n"/>
      <c r="I1544" s="46" t="n"/>
      <c r="K1544" s="46" t="n">
        <v>1543</v>
      </c>
      <c r="L1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5">
      <c r="A1545" s="229" t="n">
        <v>46152</v>
      </c>
      <c r="B1545" s="46" t="inlineStr">
        <is>
          <t>정기검사</t>
        </is>
      </c>
      <c r="C1545" s="46" t="inlineStr">
        <is>
          <t>부천지역</t>
        </is>
      </c>
      <c r="D1545" s="46" t="inlineStr">
        <is>
          <t>부천성모병원</t>
        </is>
      </c>
      <c r="E1545" s="46" t="n">
        <v>15700</v>
      </c>
      <c r="F1545" s="46" t="inlineStr">
        <is>
          <t>소사동</t>
        </is>
      </c>
      <c r="G1545" s="50" t="n"/>
      <c r="H1545" s="51" t="n">
        <v>2454430</v>
      </c>
      <c r="I1545" s="46" t="n"/>
      <c r="K1545" s="46" t="n">
        <v>1544</v>
      </c>
      <c r="L1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6">
      <c r="A1546" s="229" t="n">
        <v>46152</v>
      </c>
      <c r="B1546" s="46" t="inlineStr">
        <is>
          <t>메모</t>
        </is>
      </c>
      <c r="C1546" s="46" t="inlineStr">
        <is>
          <t>부천지역</t>
        </is>
      </c>
      <c r="D1546" s="46" t="inlineStr">
        <is>
          <t>서수형휴가</t>
        </is>
      </c>
      <c r="E1546" s="46" t="n"/>
      <c r="F1546" s="46" t="n"/>
      <c r="G1546" s="50" t="n"/>
      <c r="H1546" s="51" t="n"/>
      <c r="I1546" s="46" t="n"/>
      <c r="K1546" s="46" t="n">
        <v>1545</v>
      </c>
      <c r="L1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7">
      <c r="A1547" s="229" t="n">
        <v>46152</v>
      </c>
      <c r="B1547" s="46" t="inlineStr">
        <is>
          <t>메모</t>
        </is>
      </c>
      <c r="C1547" s="46" t="inlineStr">
        <is>
          <t>부천지역</t>
        </is>
      </c>
      <c r="D1547" s="46" t="inlineStr">
        <is>
          <t>허창수휴가</t>
        </is>
      </c>
      <c r="E1547" s="46" t="n"/>
      <c r="F1547" s="46" t="n"/>
      <c r="G1547" s="50" t="n"/>
      <c r="H1547" s="51" t="n"/>
      <c r="I1547" s="46" t="n"/>
      <c r="K1547" s="46" t="n">
        <v>1546</v>
      </c>
      <c r="L1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8">
      <c r="A1548" s="229" t="n">
        <v>46152</v>
      </c>
      <c r="B1548" s="46" t="inlineStr">
        <is>
          <t>메모</t>
        </is>
      </c>
      <c r="C1548" s="46" t="inlineStr">
        <is>
          <t>부천지역</t>
        </is>
      </c>
      <c r="D1548" s="46" t="inlineStr">
        <is>
          <t>한태희휴가</t>
        </is>
      </c>
      <c r="E1548" s="46" t="n"/>
      <c r="F1548" s="46" t="n"/>
      <c r="G1548" s="50" t="n"/>
      <c r="H1548" s="51" t="n"/>
      <c r="I1548" s="46" t="n"/>
      <c r="K1548" s="46" t="n">
        <v>1547</v>
      </c>
      <c r="L1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9">
      <c r="A1549" s="229" t="n">
        <v>46153</v>
      </c>
      <c r="B1549" s="46" t="inlineStr">
        <is>
          <t>정기검사</t>
        </is>
      </c>
      <c r="C1549" s="46" t="inlineStr">
        <is>
          <t>부천지역</t>
        </is>
      </c>
      <c r="D1549" s="46" t="inlineStr">
        <is>
          <t>중동센트럴파크</t>
        </is>
      </c>
      <c r="E1549" s="46" t="inlineStr">
        <is>
          <t>1900/409</t>
        </is>
      </c>
      <c r="F1549" s="46" t="inlineStr">
        <is>
          <t>중동</t>
        </is>
      </c>
      <c r="G1549" s="50" t="n">
        <v>0.3958333333333333</v>
      </c>
      <c r="H1549" s="51" t="n">
        <v>1275670</v>
      </c>
      <c r="I1549" s="46" t="inlineStr">
        <is>
          <t>한태희</t>
        </is>
      </c>
      <c r="K1549" s="46" t="n">
        <v>1548</v>
      </c>
      <c r="L1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0">
      <c r="A1550" s="229" t="n">
        <v>46153</v>
      </c>
      <c r="B1550" s="46" t="inlineStr">
        <is>
          <t>정기검사</t>
        </is>
      </c>
      <c r="C1550" s="46" t="inlineStr">
        <is>
          <t>부천지역</t>
        </is>
      </c>
      <c r="D1550" s="46" t="inlineStr">
        <is>
          <t>굿모닝프라자</t>
        </is>
      </c>
      <c r="E1550" s="46" t="inlineStr">
        <is>
          <t>800/182</t>
        </is>
      </c>
      <c r="F1550" s="46" t="inlineStr">
        <is>
          <t>중동</t>
        </is>
      </c>
      <c r="G1550" s="50" t="n">
        <v>0.2708333333333333</v>
      </c>
      <c r="H1550" s="51" t="n">
        <v>1337820</v>
      </c>
      <c r="I1550" s="46" t="inlineStr">
        <is>
          <t>김영권</t>
        </is>
      </c>
      <c r="K1550" s="46" t="n">
        <v>1549</v>
      </c>
      <c r="L1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1">
      <c r="A1551" s="229" t="n">
        <v>46153</v>
      </c>
      <c r="B1551" s="46" t="inlineStr">
        <is>
          <t>정기검사</t>
        </is>
      </c>
      <c r="C1551" s="46" t="inlineStr">
        <is>
          <t>부천지역</t>
        </is>
      </c>
      <c r="D1551" s="46" t="inlineStr">
        <is>
          <t>북부도서관</t>
        </is>
      </c>
      <c r="E1551" s="46" t="n">
        <v>150</v>
      </c>
      <c r="F1551" s="46" t="inlineStr">
        <is>
          <t>도당동</t>
        </is>
      </c>
      <c r="G1551" s="50" t="n">
        <v>0.3958333333333333</v>
      </c>
      <c r="H1551" s="51" t="n">
        <v>424160</v>
      </c>
      <c r="I1551" s="46" t="inlineStr">
        <is>
          <t>송두기</t>
        </is>
      </c>
      <c r="K1551" s="46" t="n">
        <v>1550</v>
      </c>
      <c r="L1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2">
      <c r="A1552" s="229" t="n">
        <v>46153</v>
      </c>
      <c r="B1552" s="46" t="inlineStr">
        <is>
          <t>정기검사</t>
        </is>
      </c>
      <c r="C1552" s="46" t="inlineStr">
        <is>
          <t>부천지역</t>
        </is>
      </c>
      <c r="D1552" s="46" t="inlineStr">
        <is>
          <t>보성조각공업사</t>
        </is>
      </c>
      <c r="E1552" s="46" t="n">
        <v>200</v>
      </c>
      <c r="F1552" s="46" t="inlineStr">
        <is>
          <t>삼정동</t>
        </is>
      </c>
      <c r="G1552" s="50" t="n">
        <v>0.5</v>
      </c>
      <c r="H1552" s="51" t="n">
        <v>456720</v>
      </c>
      <c r="I1552" s="46" t="inlineStr">
        <is>
          <t>송두기</t>
        </is>
      </c>
      <c r="K1552" s="46" t="n">
        <v>1551</v>
      </c>
      <c r="L1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3">
      <c r="A1553" s="229" t="n">
        <v>46153</v>
      </c>
      <c r="B1553" s="46" t="inlineStr">
        <is>
          <t>정기검사</t>
        </is>
      </c>
      <c r="C1553" s="46" t="inlineStr">
        <is>
          <t>부천지역</t>
        </is>
      </c>
      <c r="D1553" s="46" t="inlineStr">
        <is>
          <t>아이파킹</t>
        </is>
      </c>
      <c r="E1553" s="46" t="inlineStr">
        <is>
          <t>전기차</t>
        </is>
      </c>
      <c r="F1553" s="46" t="inlineStr">
        <is>
          <t>중동</t>
        </is>
      </c>
      <c r="G1553" s="50" t="n">
        <v>0.3958333333333333</v>
      </c>
      <c r="H1553" s="51" t="n">
        <v>347490</v>
      </c>
      <c r="I1553" s="46" t="inlineStr">
        <is>
          <t>정신배</t>
        </is>
      </c>
      <c r="K1553" s="46" t="n">
        <v>1552</v>
      </c>
      <c r="L1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4">
      <c r="A1554" s="229" t="n">
        <v>46153</v>
      </c>
      <c r="B1554" s="46" t="inlineStr">
        <is>
          <t>정기검사</t>
        </is>
      </c>
      <c r="C1554" s="46" t="inlineStr">
        <is>
          <t>부천지역</t>
        </is>
      </c>
      <c r="D1554" s="46" t="inlineStr">
        <is>
          <t>광역주유소</t>
        </is>
      </c>
      <c r="E1554" s="46" t="inlineStr">
        <is>
          <t>전기차</t>
        </is>
      </c>
      <c r="F1554" s="46" t="inlineStr">
        <is>
          <t>내동</t>
        </is>
      </c>
      <c r="G1554" s="50" t="n">
        <v>0.6041666666666666</v>
      </c>
      <c r="H1554" s="51" t="n">
        <v>247940</v>
      </c>
      <c r="I1554" s="46" t="inlineStr">
        <is>
          <t>정신배</t>
        </is>
      </c>
      <c r="K1554" s="46" t="n">
        <v>1553</v>
      </c>
      <c r="L1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5">
      <c r="A1555" s="229" t="n">
        <v>46153</v>
      </c>
      <c r="B1555" s="46" t="inlineStr">
        <is>
          <t>정기검사</t>
        </is>
      </c>
      <c r="C1555" s="46" t="inlineStr">
        <is>
          <t>김포지역</t>
        </is>
      </c>
      <c r="D1555" s="46" t="inlineStr">
        <is>
          <t>화인시스템</t>
        </is>
      </c>
      <c r="E1555" s="46" t="n">
        <v>350</v>
      </c>
      <c r="F1555" s="46" t="inlineStr">
        <is>
          <t>옹정리</t>
        </is>
      </c>
      <c r="G1555" s="50" t="n">
        <v>0.4791666666666667</v>
      </c>
      <c r="H1555" s="51" t="n">
        <v>686180</v>
      </c>
      <c r="I1555" s="46" t="inlineStr">
        <is>
          <t>이덕기</t>
        </is>
      </c>
      <c r="K1555" s="46" t="n">
        <v>1554</v>
      </c>
      <c r="L1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6">
      <c r="A1556" s="229" t="n">
        <v>46153</v>
      </c>
      <c r="B1556" s="46" t="inlineStr">
        <is>
          <t>정기검사</t>
        </is>
      </c>
      <c r="C1556" s="46" t="inlineStr">
        <is>
          <t>김포지역</t>
        </is>
      </c>
      <c r="D1556" s="46" t="inlineStr">
        <is>
          <t>현대프리엄</t>
        </is>
      </c>
      <c r="E1556" s="46" t="inlineStr">
        <is>
          <t>UPS</t>
        </is>
      </c>
      <c r="F1556" s="46" t="inlineStr">
        <is>
          <t>고촌</t>
        </is>
      </c>
      <c r="G1556" s="50" t="n">
        <v>0.3958333333333333</v>
      </c>
      <c r="H1556" s="51" t="n">
        <v>561330</v>
      </c>
      <c r="I1556" s="46" t="inlineStr">
        <is>
          <t>민재홍</t>
        </is>
      </c>
      <c r="K1556" s="46" t="n">
        <v>1555</v>
      </c>
      <c r="L1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7">
      <c r="A1557" s="229" t="n">
        <v>46153</v>
      </c>
      <c r="B1557" s="46" t="inlineStr">
        <is>
          <t>정기검사</t>
        </is>
      </c>
      <c r="C1557" s="46" t="inlineStr">
        <is>
          <t>김포지역</t>
        </is>
      </c>
      <c r="D1557" s="46" t="inlineStr">
        <is>
          <t>현대프리엄</t>
        </is>
      </c>
      <c r="E1557" s="46" t="inlineStr">
        <is>
          <t>UPS</t>
        </is>
      </c>
      <c r="F1557" s="46" t="inlineStr">
        <is>
          <t>고촌</t>
        </is>
      </c>
      <c r="G1557" s="50" t="n">
        <v>0.3958333333333333</v>
      </c>
      <c r="H1557" s="51" t="n">
        <v>1604240</v>
      </c>
      <c r="I1557" s="46" t="inlineStr">
        <is>
          <t>민경수</t>
        </is>
      </c>
      <c r="K1557" s="46" t="n">
        <v>1556</v>
      </c>
      <c r="L1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8">
      <c r="A1558" s="229" t="n">
        <v>46153</v>
      </c>
      <c r="B1558" s="46" t="inlineStr">
        <is>
          <t>정기검사</t>
        </is>
      </c>
      <c r="C1558" s="46" t="inlineStr">
        <is>
          <t>김포지역</t>
        </is>
      </c>
      <c r="D1558" s="46" t="inlineStr">
        <is>
          <t>김포생활체육관</t>
        </is>
      </c>
      <c r="E1558" s="46" t="inlineStr">
        <is>
          <t>900/318</t>
        </is>
      </c>
      <c r="F1558" s="46" t="inlineStr">
        <is>
          <t>사우동</t>
        </is>
      </c>
      <c r="G1558" s="50" t="n">
        <v>0.5416666666666666</v>
      </c>
      <c r="H1558" s="51" t="n">
        <v>1322860</v>
      </c>
      <c r="I1558" s="46" t="inlineStr">
        <is>
          <t>서수형</t>
        </is>
      </c>
      <c r="K1558" s="46" t="n">
        <v>1557</v>
      </c>
      <c r="L1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9">
      <c r="A1559" s="229" t="n">
        <v>46153</v>
      </c>
      <c r="B1559" s="46" t="inlineStr">
        <is>
          <t>정기검사</t>
        </is>
      </c>
      <c r="C1559" s="46" t="inlineStr">
        <is>
          <t>김포지역</t>
        </is>
      </c>
      <c r="D1559" s="46" t="inlineStr">
        <is>
          <t>청구아파트</t>
        </is>
      </c>
      <c r="E1559" s="46" t="inlineStr">
        <is>
          <t>전기차</t>
        </is>
      </c>
      <c r="F1559" s="46" t="inlineStr">
        <is>
          <t>고촌</t>
        </is>
      </c>
      <c r="G1559" s="50" t="n">
        <v>0.4166666666666667</v>
      </c>
      <c r="H1559" s="51" t="n">
        <v>98120</v>
      </c>
      <c r="I1559" s="46" t="inlineStr">
        <is>
          <t>민재홍</t>
        </is>
      </c>
      <c r="K1559" s="46" t="n">
        <v>1558</v>
      </c>
      <c r="L1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0">
      <c r="A1560" s="229" t="n">
        <v>46153</v>
      </c>
      <c r="B1560" s="46" t="inlineStr">
        <is>
          <t>정기검사</t>
        </is>
      </c>
      <c r="C1560" s="46" t="inlineStr">
        <is>
          <t>김포지역</t>
        </is>
      </c>
      <c r="D1560" s="46" t="inlineStr">
        <is>
          <t>아라농장</t>
        </is>
      </c>
      <c r="E1560" s="46" t="n">
        <v>500</v>
      </c>
      <c r="F1560" s="46" t="inlineStr">
        <is>
          <t>석탄리</t>
        </is>
      </c>
      <c r="G1560" s="50" t="n">
        <v>0.8333333333333334</v>
      </c>
      <c r="H1560" s="51" t="n">
        <v>958100</v>
      </c>
      <c r="I1560" s="46" t="inlineStr">
        <is>
          <t>서수형</t>
        </is>
      </c>
      <c r="K1560" s="46" t="n">
        <v>1559</v>
      </c>
      <c r="L1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1">
      <c r="A1561" s="229" t="n">
        <v>46153</v>
      </c>
      <c r="B1561" s="46" t="inlineStr">
        <is>
          <t>사용전검사</t>
        </is>
      </c>
      <c r="C1561" s="46" t="inlineStr">
        <is>
          <t>부천지역</t>
        </is>
      </c>
      <c r="D1561" s="46" t="inlineStr">
        <is>
          <t>애플젠</t>
        </is>
      </c>
      <c r="E1561" s="46" t="n">
        <v>290</v>
      </c>
      <c r="F1561" s="46" t="inlineStr">
        <is>
          <t>삼정동</t>
        </is>
      </c>
      <c r="G1561" s="50" t="n"/>
      <c r="H1561" s="51" t="n"/>
      <c r="I1561" s="46" t="inlineStr">
        <is>
          <t>이종석</t>
        </is>
      </c>
      <c r="K1561" s="46" t="n">
        <v>1560</v>
      </c>
      <c r="L1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2">
      <c r="A1562" s="229" t="n">
        <v>46153</v>
      </c>
      <c r="B1562" s="46" t="inlineStr">
        <is>
          <t>사용전검사</t>
        </is>
      </c>
      <c r="C1562" s="46" t="inlineStr">
        <is>
          <t>부천지역</t>
        </is>
      </c>
      <c r="D1562" s="46" t="inlineStr">
        <is>
          <t>퍼시픽</t>
        </is>
      </c>
      <c r="E1562" s="46" t="n">
        <v>12000</v>
      </c>
      <c r="F1562" s="46" t="n"/>
      <c r="G1562" s="50" t="n"/>
      <c r="H1562" s="51" t="n"/>
      <c r="I1562" s="46" t="inlineStr">
        <is>
          <t>정성관</t>
        </is>
      </c>
      <c r="K1562" s="46" t="n">
        <v>1561</v>
      </c>
      <c r="L1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3">
      <c r="A1563" s="229" t="n">
        <v>46153</v>
      </c>
      <c r="B1563" s="46" t="inlineStr">
        <is>
          <t>사용전검사</t>
        </is>
      </c>
      <c r="C1563" s="46" t="inlineStr">
        <is>
          <t>부천지역</t>
        </is>
      </c>
      <c r="D1563" s="46" t="inlineStr">
        <is>
          <t>댕댕</t>
        </is>
      </c>
      <c r="E1563" s="46" t="n">
        <v>30</v>
      </c>
      <c r="F1563" s="46" t="inlineStr">
        <is>
          <t>심곡동</t>
        </is>
      </c>
      <c r="G1563" s="50" t="n"/>
      <c r="H1563" s="51" t="n"/>
      <c r="I1563" s="46" t="inlineStr">
        <is>
          <t>송낙명</t>
        </is>
      </c>
      <c r="K1563" s="46" t="n">
        <v>1562</v>
      </c>
      <c r="L1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4">
      <c r="A1564" s="229" t="n">
        <v>46153</v>
      </c>
      <c r="B1564" s="46" t="inlineStr">
        <is>
          <t>사용전검사</t>
        </is>
      </c>
      <c r="C1564" s="46" t="inlineStr">
        <is>
          <t>부천지역</t>
        </is>
      </c>
      <c r="D1564" s="46" t="inlineStr">
        <is>
          <t>홍순자</t>
        </is>
      </c>
      <c r="E1564" s="46" t="n">
        <v>133</v>
      </c>
      <c r="F1564" s="46" t="inlineStr">
        <is>
          <t>심곡동</t>
        </is>
      </c>
      <c r="G1564" s="50" t="n"/>
      <c r="H1564" s="51" t="n"/>
      <c r="I1564" s="46" t="inlineStr">
        <is>
          <t>송낙명</t>
        </is>
      </c>
      <c r="K1564" s="46" t="n">
        <v>1563</v>
      </c>
      <c r="L1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5">
      <c r="A1565" s="229" t="n">
        <v>46153</v>
      </c>
      <c r="B1565" s="46" t="inlineStr">
        <is>
          <t>메모</t>
        </is>
      </c>
      <c r="C1565" s="46" t="inlineStr">
        <is>
          <t>부천지역</t>
        </is>
      </c>
      <c r="D1565" s="46" t="inlineStr">
        <is>
          <t>허창수휴가</t>
        </is>
      </c>
      <c r="E1565" s="46" t="n"/>
      <c r="F1565" s="46" t="n"/>
      <c r="G1565" s="50" t="n"/>
      <c r="H1565" s="51" t="n"/>
      <c r="I1565" s="46" t="n"/>
      <c r="K1565" s="46" t="n">
        <v>1564</v>
      </c>
      <c r="L1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6">
      <c r="A1566" s="229" t="n">
        <v>46153</v>
      </c>
      <c r="B1566" s="46" t="inlineStr">
        <is>
          <t>사용전검사</t>
        </is>
      </c>
      <c r="C1566" s="46" t="inlineStr">
        <is>
          <t>부천지역</t>
        </is>
      </c>
      <c r="D1566" s="46" t="inlineStr">
        <is>
          <t>씨에스팩토리</t>
        </is>
      </c>
      <c r="E1566" s="46" t="n">
        <v>290</v>
      </c>
      <c r="F1566" s="46" t="inlineStr">
        <is>
          <t>내동</t>
        </is>
      </c>
      <c r="G1566" s="50" t="n"/>
      <c r="H1566" s="51" t="n"/>
      <c r="I1566" s="46" t="inlineStr">
        <is>
          <t>정성관</t>
        </is>
      </c>
      <c r="K1566" s="46" t="n">
        <v>1565</v>
      </c>
      <c r="L1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7">
      <c r="A1567" s="229" t="n">
        <v>46153</v>
      </c>
      <c r="B1567" s="46" t="inlineStr">
        <is>
          <t>메모</t>
        </is>
      </c>
      <c r="C1567" s="46" t="inlineStr">
        <is>
          <t>부천지역</t>
        </is>
      </c>
      <c r="D1567" s="46" t="inlineStr">
        <is>
          <t>우승택휴가</t>
        </is>
      </c>
      <c r="E1567" s="46" t="n"/>
      <c r="F1567" s="46" t="n"/>
      <c r="G1567" s="50" t="n"/>
      <c r="H1567" s="51" t="n"/>
      <c r="I1567" s="46" t="n"/>
      <c r="K1567" s="46" t="n">
        <v>1566</v>
      </c>
      <c r="L1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8">
      <c r="A1568" s="229" t="n">
        <v>46153</v>
      </c>
      <c r="B1568" s="46" t="inlineStr">
        <is>
          <t>메모</t>
        </is>
      </c>
      <c r="C1568" s="46" t="inlineStr">
        <is>
          <t>김포지역</t>
        </is>
      </c>
      <c r="D1568" s="46" t="inlineStr">
        <is>
          <t>아라농장</t>
        </is>
      </c>
      <c r="E1568" s="46" t="n"/>
      <c r="F1568" s="46" t="n"/>
      <c r="G1568" s="50" t="n"/>
      <c r="H1568" s="51" t="n"/>
      <c r="I1568" s="46" t="n"/>
      <c r="K1568" s="46" t="n">
        <v>1567</v>
      </c>
      <c r="L1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9">
      <c r="A1569" s="229" t="n">
        <v>46154</v>
      </c>
      <c r="B1569" s="46" t="inlineStr">
        <is>
          <t>정기검사</t>
        </is>
      </c>
      <c r="C1569" s="46" t="inlineStr">
        <is>
          <t>부천지역</t>
        </is>
      </c>
      <c r="D1569" s="46" t="inlineStr">
        <is>
          <t>한일상가</t>
        </is>
      </c>
      <c r="E1569" s="46" t="n">
        <v>250</v>
      </c>
      <c r="F1569" s="46" t="inlineStr">
        <is>
          <t>내동</t>
        </is>
      </c>
      <c r="G1569" s="50" t="n">
        <v>0.25</v>
      </c>
      <c r="H1569" s="51" t="n">
        <v>635910</v>
      </c>
      <c r="I1569" s="46" t="inlineStr">
        <is>
          <t>정신배</t>
        </is>
      </c>
      <c r="K1569" s="46" t="n">
        <v>1568</v>
      </c>
      <c r="L1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0">
      <c r="A1570" s="229" t="n">
        <v>46154</v>
      </c>
      <c r="B1570" s="46" t="inlineStr">
        <is>
          <t>정기검사</t>
        </is>
      </c>
      <c r="C1570" s="46" t="inlineStr">
        <is>
          <t>부천지역</t>
        </is>
      </c>
      <c r="D1570" s="46" t="inlineStr">
        <is>
          <t>에스텍</t>
        </is>
      </c>
      <c r="E1570" s="46" t="n">
        <v>290</v>
      </c>
      <c r="F1570" s="46" t="inlineStr">
        <is>
          <t>상동</t>
        </is>
      </c>
      <c r="G1570" s="50" t="n">
        <v>0.5</v>
      </c>
      <c r="H1570" s="51" t="n">
        <v>515130</v>
      </c>
      <c r="I1570" s="46" t="inlineStr">
        <is>
          <t>민경수</t>
        </is>
      </c>
      <c r="K1570" s="46" t="n">
        <v>1569</v>
      </c>
      <c r="L1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1">
      <c r="A1571" s="229" t="n">
        <v>46154</v>
      </c>
      <c r="B1571" s="46" t="inlineStr">
        <is>
          <t>정기검사</t>
        </is>
      </c>
      <c r="C1571" s="46" t="inlineStr">
        <is>
          <t>부천지역</t>
        </is>
      </c>
      <c r="D1571" s="46" t="inlineStr">
        <is>
          <t>현대백화점</t>
        </is>
      </c>
      <c r="E1571" s="46" t="inlineStr">
        <is>
          <t>전기차</t>
        </is>
      </c>
      <c r="F1571" s="46" t="inlineStr">
        <is>
          <t>상동</t>
        </is>
      </c>
      <c r="G1571" s="50" t="n">
        <v>0.3958333333333333</v>
      </c>
      <c r="H1571" s="51" t="n">
        <v>567270</v>
      </c>
      <c r="I1571" s="46" t="inlineStr">
        <is>
          <t>민경수</t>
        </is>
      </c>
      <c r="K1571" s="46" t="n">
        <v>1570</v>
      </c>
      <c r="L1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2">
      <c r="A1572" s="229" t="n">
        <v>46154</v>
      </c>
      <c r="B1572" s="46" t="inlineStr">
        <is>
          <t>정기검사</t>
        </is>
      </c>
      <c r="C1572" s="46" t="inlineStr">
        <is>
          <t>부천지역</t>
        </is>
      </c>
      <c r="D1572" s="46" t="inlineStr">
        <is>
          <t>반달마을극동</t>
        </is>
      </c>
      <c r="E1572" s="46" t="inlineStr">
        <is>
          <t>2500/540</t>
        </is>
      </c>
      <c r="F1572" s="46" t="inlineStr">
        <is>
          <t>상동</t>
        </is>
      </c>
      <c r="G1572" s="50" t="n">
        <v>0.4791666666666667</v>
      </c>
      <c r="H1572" s="51" t="n">
        <v>1400520</v>
      </c>
      <c r="I1572" s="46" t="inlineStr">
        <is>
          <t>정성관</t>
        </is>
      </c>
      <c r="K1572" s="46" t="n">
        <v>1571</v>
      </c>
      <c r="L1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3">
      <c r="A1573" s="229" t="n">
        <v>46154</v>
      </c>
      <c r="B1573" s="46" t="inlineStr">
        <is>
          <t>정기검사</t>
        </is>
      </c>
      <c r="C1573" s="46" t="inlineStr">
        <is>
          <t>부천지역</t>
        </is>
      </c>
      <c r="D1573" s="46" t="inlineStr">
        <is>
          <t>신세기</t>
        </is>
      </c>
      <c r="E1573" s="46" t="inlineStr">
        <is>
          <t>전기차</t>
        </is>
      </c>
      <c r="F1573" s="46" t="inlineStr">
        <is>
          <t>중동</t>
        </is>
      </c>
      <c r="G1573" s="50" t="n"/>
      <c r="H1573" s="51" t="n">
        <v>72710</v>
      </c>
      <c r="I1573" s="46" t="inlineStr">
        <is>
          <t>한태희</t>
        </is>
      </c>
      <c r="K1573" s="46" t="n">
        <v>1572</v>
      </c>
      <c r="L1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4">
      <c r="A1574" s="229" t="n">
        <v>46154</v>
      </c>
      <c r="B1574" s="46" t="inlineStr">
        <is>
          <t>정기검사</t>
        </is>
      </c>
      <c r="C1574" s="46" t="inlineStr">
        <is>
          <t>부천지역</t>
        </is>
      </c>
      <c r="D1574" s="46" t="inlineStr">
        <is>
          <t>오비에스</t>
        </is>
      </c>
      <c r="E1574" s="46" t="inlineStr">
        <is>
          <t>UPS</t>
        </is>
      </c>
      <c r="F1574" s="46" t="inlineStr">
        <is>
          <t>오정동</t>
        </is>
      </c>
      <c r="G1574" s="50" t="n">
        <v>0.4166666666666667</v>
      </c>
      <c r="H1574" s="51" t="n">
        <v>613690</v>
      </c>
      <c r="I1574" s="46" t="inlineStr">
        <is>
          <t>이덕기</t>
        </is>
      </c>
      <c r="K1574" s="46" t="n">
        <v>1573</v>
      </c>
      <c r="L1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5">
      <c r="A1575" s="229" t="n">
        <v>46154</v>
      </c>
      <c r="B1575" s="46" t="inlineStr">
        <is>
          <t>정기검사</t>
        </is>
      </c>
      <c r="C1575" s="46" t="inlineStr">
        <is>
          <t>부천지역</t>
        </is>
      </c>
      <c r="D1575" s="46" t="inlineStr">
        <is>
          <t>대원산업사</t>
        </is>
      </c>
      <c r="E1575" s="46" t="n">
        <v>0.4791666666666667</v>
      </c>
      <c r="F1575" s="46" t="inlineStr">
        <is>
          <t>오정동</t>
        </is>
      </c>
      <c r="G1575" s="50" t="n">
        <v>0.4791666666666667</v>
      </c>
      <c r="H1575" s="51" t="n">
        <v>456720</v>
      </c>
      <c r="I1575" s="46" t="inlineStr">
        <is>
          <t>서수형</t>
        </is>
      </c>
      <c r="K1575" s="46" t="n">
        <v>1574</v>
      </c>
      <c r="L1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6">
      <c r="A1576" s="229" t="n">
        <v>46154</v>
      </c>
      <c r="B1576" s="46" t="inlineStr">
        <is>
          <t>정기검사</t>
        </is>
      </c>
      <c r="C1576" s="46" t="inlineStr">
        <is>
          <t>김포지역</t>
        </is>
      </c>
      <c r="D1576" s="46" t="inlineStr">
        <is>
          <t>케이씨이앤텍</t>
        </is>
      </c>
      <c r="E1576" s="46" t="n">
        <v>990</v>
      </c>
      <c r="F1576" s="46" t="inlineStr">
        <is>
          <t>가현리</t>
        </is>
      </c>
      <c r="G1576" s="50" t="n">
        <v>0.5</v>
      </c>
      <c r="H1576" s="51" t="n">
        <v>902990</v>
      </c>
      <c r="I1576" s="46" t="inlineStr">
        <is>
          <t>김영권</t>
        </is>
      </c>
      <c r="K1576" s="46" t="n">
        <v>1575</v>
      </c>
      <c r="L1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7">
      <c r="A1577" s="229" t="n">
        <v>46154</v>
      </c>
      <c r="B1577" s="46" t="inlineStr">
        <is>
          <t>정기검사</t>
        </is>
      </c>
      <c r="C1577" s="46" t="inlineStr">
        <is>
          <t>김포지역</t>
        </is>
      </c>
      <c r="D1577" s="46" t="inlineStr">
        <is>
          <t>남해호이스트</t>
        </is>
      </c>
      <c r="E1577" s="46" t="n">
        <v>150</v>
      </c>
      <c r="F1577" s="46" t="inlineStr">
        <is>
          <t>율생리</t>
        </is>
      </c>
      <c r="G1577" s="50" t="n">
        <v>0.5416666666666666</v>
      </c>
      <c r="H1577" s="51" t="n">
        <v>424160</v>
      </c>
      <c r="I1577" s="46" t="inlineStr">
        <is>
          <t>송두기</t>
        </is>
      </c>
      <c r="K1577" s="46" t="n">
        <v>1576</v>
      </c>
      <c r="L1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8">
      <c r="A1578" s="229" t="n">
        <v>46154</v>
      </c>
      <c r="B1578" s="46" t="inlineStr">
        <is>
          <t>정기검사</t>
        </is>
      </c>
      <c r="C1578" s="46" t="inlineStr">
        <is>
          <t>김포지역</t>
        </is>
      </c>
      <c r="D1578" s="46" t="inlineStr">
        <is>
          <t>타워스크린</t>
        </is>
      </c>
      <c r="E1578" s="46" t="n">
        <v>600</v>
      </c>
      <c r="F1578" s="46" t="inlineStr">
        <is>
          <t>마송리</t>
        </is>
      </c>
      <c r="G1578" s="50" t="n">
        <v>0.2916666666666667</v>
      </c>
      <c r="H1578" s="51" t="n">
        <v>1002100</v>
      </c>
      <c r="I1578" s="46" t="inlineStr">
        <is>
          <t>허창수</t>
        </is>
      </c>
      <c r="K1578" s="46" t="n">
        <v>1577</v>
      </c>
      <c r="L1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9">
      <c r="A1579" s="229" t="n">
        <v>46154</v>
      </c>
      <c r="B1579" s="46" t="inlineStr">
        <is>
          <t>정기검사</t>
        </is>
      </c>
      <c r="C1579" s="46" t="inlineStr">
        <is>
          <t>김포지역</t>
        </is>
      </c>
      <c r="D1579" s="46" t="inlineStr">
        <is>
          <t>씨엔에프텍파워</t>
        </is>
      </c>
      <c r="E1579" s="46" t="n">
        <v>97</v>
      </c>
      <c r="F1579" s="46" t="inlineStr">
        <is>
          <t>학운리</t>
        </is>
      </c>
      <c r="G1579" s="50" t="n">
        <v>0.4583333333333333</v>
      </c>
      <c r="H1579" s="51" t="n">
        <v>253440</v>
      </c>
      <c r="I1579" s="46" t="inlineStr">
        <is>
          <t>김영권</t>
        </is>
      </c>
      <c r="K1579" s="46" t="n">
        <v>1578</v>
      </c>
      <c r="L1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0">
      <c r="A1580" s="229" t="n">
        <v>46154</v>
      </c>
      <c r="B1580" s="46" t="inlineStr">
        <is>
          <t>정기검사</t>
        </is>
      </c>
      <c r="C1580" s="46" t="inlineStr">
        <is>
          <t>김포지역</t>
        </is>
      </c>
      <c r="D1580" s="46" t="inlineStr">
        <is>
          <t>태림산업</t>
        </is>
      </c>
      <c r="E1580" s="46" t="n">
        <v>290</v>
      </c>
      <c r="F1580" s="46" t="inlineStr">
        <is>
          <t>석정리</t>
        </is>
      </c>
      <c r="G1580" s="50" t="n">
        <v>0.5</v>
      </c>
      <c r="H1580" s="51" t="n">
        <v>515130</v>
      </c>
      <c r="I1580" s="46" t="inlineStr">
        <is>
          <t>이종석</t>
        </is>
      </c>
      <c r="K1580" s="46" t="n">
        <v>1579</v>
      </c>
      <c r="L1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1">
      <c r="A1581" s="229" t="n">
        <v>46154</v>
      </c>
      <c r="B1581" s="46" t="inlineStr">
        <is>
          <t>정기검사</t>
        </is>
      </c>
      <c r="C1581" s="46" t="inlineStr">
        <is>
          <t>김포지역</t>
        </is>
      </c>
      <c r="D1581" s="46" t="inlineStr">
        <is>
          <t>태림산업</t>
        </is>
      </c>
      <c r="E1581" s="46" t="n">
        <v>291</v>
      </c>
      <c r="F1581" s="46" t="inlineStr">
        <is>
          <t>석정리</t>
        </is>
      </c>
      <c r="G1581" s="50" t="n">
        <v>0.5</v>
      </c>
      <c r="H1581" s="51" t="n">
        <v>515131</v>
      </c>
      <c r="I1581" s="46" t="inlineStr">
        <is>
          <t>허창수</t>
        </is>
      </c>
      <c r="K1581" s="46" t="n">
        <v>1580</v>
      </c>
      <c r="L1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2">
      <c r="A1582" s="229" t="n">
        <v>46154</v>
      </c>
      <c r="B1582" s="46" t="inlineStr">
        <is>
          <t>정기검사</t>
        </is>
      </c>
      <c r="C1582" s="46" t="inlineStr">
        <is>
          <t>김포지역</t>
        </is>
      </c>
      <c r="D1582" s="46" t="inlineStr">
        <is>
          <t>우진월시스템</t>
        </is>
      </c>
      <c r="E1582" s="46" t="n">
        <v>300</v>
      </c>
      <c r="F1582" s="46" t="inlineStr">
        <is>
          <t>구래동</t>
        </is>
      </c>
      <c r="G1582" s="50" t="n">
        <v>0.4791666666666667</v>
      </c>
      <c r="H1582" s="51" t="n">
        <v>521730</v>
      </c>
      <c r="I1582" s="46" t="inlineStr">
        <is>
          <t>송두기</t>
        </is>
      </c>
      <c r="K1582" s="46" t="n">
        <v>1581</v>
      </c>
      <c r="L1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3">
      <c r="A1583" s="229" t="n">
        <v>46154</v>
      </c>
      <c r="B1583" s="46" t="inlineStr">
        <is>
          <t>사용전검사</t>
        </is>
      </c>
      <c r="C1583" s="46" t="inlineStr">
        <is>
          <t>부천지역</t>
        </is>
      </c>
      <c r="D1583" s="46" t="inlineStr">
        <is>
          <t>오비에스</t>
        </is>
      </c>
      <c r="E1583" s="46" t="inlineStr">
        <is>
          <t>UPS</t>
        </is>
      </c>
      <c r="F1583" s="46" t="inlineStr">
        <is>
          <t>오정동</t>
        </is>
      </c>
      <c r="G1583" s="50" t="n"/>
      <c r="H1583" s="51" t="n"/>
      <c r="I1583" s="46" t="inlineStr">
        <is>
          <t>이덕기</t>
        </is>
      </c>
      <c r="K1583" s="46" t="n">
        <v>1582</v>
      </c>
      <c r="L1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4">
      <c r="A1584" s="229" t="n">
        <v>46154</v>
      </c>
      <c r="B1584" s="46" t="inlineStr">
        <is>
          <t>메모</t>
        </is>
      </c>
      <c r="C1584" s="46" t="inlineStr">
        <is>
          <t>부천지역</t>
        </is>
      </c>
      <c r="D1584" s="46" t="inlineStr">
        <is>
          <t>우승택휴가</t>
        </is>
      </c>
      <c r="E1584" s="46" t="n"/>
      <c r="F1584" s="46" t="n"/>
      <c r="G1584" s="50" t="n"/>
      <c r="H1584" s="51" t="n"/>
      <c r="I1584" s="46" t="n"/>
      <c r="K1584" s="46" t="n">
        <v>1583</v>
      </c>
      <c r="L1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5">
      <c r="A1585" s="229" t="n">
        <v>46154</v>
      </c>
      <c r="B1585" s="46" t="inlineStr">
        <is>
          <t>메모</t>
        </is>
      </c>
      <c r="C1585" s="46" t="inlineStr">
        <is>
          <t>부천지역</t>
        </is>
      </c>
      <c r="D1585" s="46" t="inlineStr">
        <is>
          <t>민재홍휴가</t>
        </is>
      </c>
      <c r="E1585" s="46" t="n"/>
      <c r="F1585" s="46" t="n"/>
      <c r="G1585" s="50" t="n"/>
      <c r="H1585" s="51" t="n"/>
      <c r="I1585" s="46" t="n"/>
      <c r="K1585" s="46" t="n">
        <v>1584</v>
      </c>
      <c r="L1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6">
      <c r="A1586" s="229" t="n">
        <v>46154</v>
      </c>
      <c r="B1586" s="46" t="inlineStr">
        <is>
          <t>사용전검사</t>
        </is>
      </c>
      <c r="C1586" s="46" t="inlineStr">
        <is>
          <t>김포지역</t>
        </is>
      </c>
      <c r="D1586" s="46" t="inlineStr">
        <is>
          <t>동도켐</t>
        </is>
      </c>
      <c r="E1586" s="46" t="n">
        <v>243.165</v>
      </c>
      <c r="F1586" s="46" t="inlineStr">
        <is>
          <t>학운리</t>
        </is>
      </c>
      <c r="G1586" s="50" t="n"/>
      <c r="H1586" s="51" t="n"/>
      <c r="I1586" s="46" t="inlineStr">
        <is>
          <t>이종석</t>
        </is>
      </c>
      <c r="K1586" s="46" t="n">
        <v>1585</v>
      </c>
      <c r="L1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7">
      <c r="A1587" s="229" t="n">
        <v>46155</v>
      </c>
      <c r="B1587" s="46" t="inlineStr">
        <is>
          <t>정기검사</t>
        </is>
      </c>
      <c r="C1587" s="46" t="inlineStr">
        <is>
          <t>부천지역</t>
        </is>
      </c>
      <c r="D1587" s="46" t="inlineStr">
        <is>
          <t>펠레오트윈파크1</t>
        </is>
      </c>
      <c r="E1587" s="46" t="inlineStr">
        <is>
          <t>975/318</t>
        </is>
      </c>
      <c r="F1587" s="46" t="inlineStr">
        <is>
          <t>중동</t>
        </is>
      </c>
      <c r="G1587" s="50" t="n">
        <v>0.6041666666666666</v>
      </c>
      <c r="H1587" s="51" t="n">
        <v>1180300</v>
      </c>
      <c r="I1587" s="46" t="inlineStr">
        <is>
          <t>허창수</t>
        </is>
      </c>
      <c r="K1587" s="46" t="n">
        <v>1586</v>
      </c>
      <c r="L1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8">
      <c r="A1588" s="229" t="n">
        <v>46155</v>
      </c>
      <c r="B1588" s="46" t="inlineStr">
        <is>
          <t>정기검사</t>
        </is>
      </c>
      <c r="C1588" s="46" t="inlineStr">
        <is>
          <t>부천지역</t>
        </is>
      </c>
      <c r="D1588" s="46" t="inlineStr">
        <is>
          <t>우신화장품</t>
        </is>
      </c>
      <c r="E1588" s="46" t="n">
        <v>600</v>
      </c>
      <c r="F1588" s="46" t="inlineStr">
        <is>
          <t>내동</t>
        </is>
      </c>
      <c r="G1588" s="50" t="n">
        <v>0.5416666666666666</v>
      </c>
      <c r="H1588" s="51" t="n">
        <v>770880</v>
      </c>
      <c r="I1588" s="46" t="inlineStr">
        <is>
          <t>송낙명</t>
        </is>
      </c>
      <c r="K1588" s="46" t="n">
        <v>1587</v>
      </c>
      <c r="L1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9">
      <c r="A1589" s="229" t="n">
        <v>46155</v>
      </c>
      <c r="B1589" s="46" t="inlineStr">
        <is>
          <t>정기검사</t>
        </is>
      </c>
      <c r="C1589" s="46" t="inlineStr">
        <is>
          <t>부천지역</t>
        </is>
      </c>
      <c r="D1589" s="46" t="inlineStr">
        <is>
          <t>순복음새소망</t>
        </is>
      </c>
      <c r="E1589" s="46" t="n">
        <v>300</v>
      </c>
      <c r="F1589" s="46" t="inlineStr">
        <is>
          <t>괴안동</t>
        </is>
      </c>
      <c r="G1589" s="50" t="n">
        <v>0.4166666666666667</v>
      </c>
      <c r="H1589" s="51" t="n">
        <v>521730</v>
      </c>
      <c r="I1589" s="46" t="inlineStr">
        <is>
          <t>송낙명</t>
        </is>
      </c>
      <c r="K1589" s="46" t="n">
        <v>1588</v>
      </c>
      <c r="L1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0">
      <c r="A1590" s="229" t="n">
        <v>46155</v>
      </c>
      <c r="B1590" s="46" t="inlineStr">
        <is>
          <t>정기검사</t>
        </is>
      </c>
      <c r="C1590" s="46" t="inlineStr">
        <is>
          <t>부천지역</t>
        </is>
      </c>
      <c r="D1590" s="46" t="inlineStr">
        <is>
          <t>삼일솔루션</t>
        </is>
      </c>
      <c r="E1590" s="46" t="n">
        <v>290</v>
      </c>
      <c r="F1590" s="46" t="inlineStr">
        <is>
          <t>도당동</t>
        </is>
      </c>
      <c r="G1590" s="50" t="n">
        <v>0.5138888888888888</v>
      </c>
      <c r="H1590" s="51" t="n">
        <v>515130</v>
      </c>
      <c r="I1590" s="46" t="inlineStr">
        <is>
          <t>허창수</t>
        </is>
      </c>
      <c r="K1590" s="46" t="n">
        <v>1589</v>
      </c>
      <c r="L1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1">
      <c r="A1591" s="229" t="n">
        <v>46155</v>
      </c>
      <c r="B1591" s="46" t="inlineStr">
        <is>
          <t>정기검사</t>
        </is>
      </c>
      <c r="C1591" s="46" t="inlineStr">
        <is>
          <t>부천지역</t>
        </is>
      </c>
      <c r="D1591" s="46" t="inlineStr">
        <is>
          <t>심곡동파라곤</t>
        </is>
      </c>
      <c r="E1591" s="46" t="inlineStr">
        <is>
          <t>907/360</t>
        </is>
      </c>
      <c r="F1591" s="46" t="inlineStr">
        <is>
          <t>심곡본동</t>
        </is>
      </c>
      <c r="G1591" s="50" t="n">
        <v>0.25</v>
      </c>
      <c r="H1591" s="51" t="n">
        <v>1535050</v>
      </c>
      <c r="I1591" s="46" t="inlineStr">
        <is>
          <t>한태희</t>
        </is>
      </c>
      <c r="K1591" s="46" t="n">
        <v>1590</v>
      </c>
      <c r="L1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2">
      <c r="A1592" s="229" t="n">
        <v>46155</v>
      </c>
      <c r="B1592" s="46" t="inlineStr">
        <is>
          <t>정기검사</t>
        </is>
      </c>
      <c r="C1592" s="46" t="inlineStr">
        <is>
          <t>부천지역</t>
        </is>
      </c>
      <c r="D1592" s="46" t="inlineStr">
        <is>
          <t>아세아</t>
        </is>
      </c>
      <c r="E1592" s="46" t="n">
        <v>150</v>
      </c>
      <c r="F1592" s="46" t="inlineStr">
        <is>
          <t>춘의동</t>
        </is>
      </c>
      <c r="G1592" s="50" t="n">
        <v>0.5</v>
      </c>
      <c r="H1592" s="51" t="n">
        <v>424160</v>
      </c>
      <c r="I1592" s="46" t="inlineStr">
        <is>
          <t>정성관</t>
        </is>
      </c>
      <c r="K1592" s="46" t="n">
        <v>1591</v>
      </c>
      <c r="L1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3">
      <c r="A1593" s="229" t="n">
        <v>46155</v>
      </c>
      <c r="B1593" s="46" t="inlineStr">
        <is>
          <t>정기검사</t>
        </is>
      </c>
      <c r="C1593" s="46" t="inlineStr">
        <is>
          <t>부천지역</t>
        </is>
      </c>
      <c r="D1593" s="46" t="inlineStr">
        <is>
          <t>삼정프라자</t>
        </is>
      </c>
      <c r="E1593" s="46" t="n">
        <v>500</v>
      </c>
      <c r="F1593" s="46" t="inlineStr">
        <is>
          <t>소사동</t>
        </is>
      </c>
      <c r="G1593" s="50" t="n">
        <v>0.5833333333333334</v>
      </c>
      <c r="H1593" s="51" t="n">
        <v>737000</v>
      </c>
      <c r="I1593" s="46" t="inlineStr">
        <is>
          <t>정성관</t>
        </is>
      </c>
      <c r="K1593" s="46" t="n">
        <v>1592</v>
      </c>
      <c r="L1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4">
      <c r="A1594" s="229" t="n">
        <v>46155</v>
      </c>
      <c r="B1594" s="46" t="inlineStr">
        <is>
          <t>정기검사</t>
        </is>
      </c>
      <c r="C1594" s="46" t="inlineStr">
        <is>
          <t>부천지역</t>
        </is>
      </c>
      <c r="D1594" s="46" t="inlineStr">
        <is>
          <t>효성쌍용아파트</t>
        </is>
      </c>
      <c r="E1594" s="46" t="inlineStr">
        <is>
          <t>1500/400</t>
        </is>
      </c>
      <c r="F1594" s="46" t="inlineStr">
        <is>
          <t>중동</t>
        </is>
      </c>
      <c r="G1594" s="50" t="n">
        <v>0.4166666666666667</v>
      </c>
      <c r="H1594" s="51" t="n">
        <v>1215280</v>
      </c>
      <c r="I1594" s="46" t="inlineStr">
        <is>
          <t>정신배</t>
        </is>
      </c>
      <c r="K1594" s="46" t="n">
        <v>1593</v>
      </c>
      <c r="L1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5">
      <c r="A1595" s="229" t="n">
        <v>46155</v>
      </c>
      <c r="B1595" s="46" t="inlineStr">
        <is>
          <t>정기검사</t>
        </is>
      </c>
      <c r="C1595" s="46" t="inlineStr">
        <is>
          <t>부천지역</t>
        </is>
      </c>
      <c r="D1595" s="46" t="inlineStr">
        <is>
          <t>새암빌딩</t>
        </is>
      </c>
      <c r="E1595" s="46" t="n">
        <v>400</v>
      </c>
      <c r="F1595" s="46" t="inlineStr">
        <is>
          <t>심곡동</t>
        </is>
      </c>
      <c r="G1595" s="50" t="n">
        <v>0.3958333333333333</v>
      </c>
      <c r="H1595" s="51" t="n">
        <v>703120</v>
      </c>
      <c r="I1595" s="46" t="inlineStr">
        <is>
          <t>송낙명</t>
        </is>
      </c>
      <c r="K1595" s="46" t="n">
        <v>1594</v>
      </c>
      <c r="L1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6">
      <c r="A1596" s="229" t="n">
        <v>46155</v>
      </c>
      <c r="B1596" s="46" t="inlineStr">
        <is>
          <t>정기검사</t>
        </is>
      </c>
      <c r="C1596" s="46" t="inlineStr">
        <is>
          <t>김포지역</t>
        </is>
      </c>
      <c r="D1596" s="46" t="inlineStr">
        <is>
          <t>현대센트럴스퀘어</t>
        </is>
      </c>
      <c r="E1596" s="46" t="inlineStr">
        <is>
          <t>5007/682</t>
        </is>
      </c>
      <c r="F1596" s="46" t="inlineStr">
        <is>
          <t>운양동</t>
        </is>
      </c>
      <c r="G1596" s="50" t="n">
        <v>0.3958333333333333</v>
      </c>
      <c r="H1596" s="51" t="n">
        <v>1899370</v>
      </c>
      <c r="I1596" s="46" t="inlineStr">
        <is>
          <t>이덕기</t>
        </is>
      </c>
      <c r="K1596" s="46" t="n">
        <v>1595</v>
      </c>
      <c r="L1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7">
      <c r="A1597" s="229" t="n">
        <v>46155</v>
      </c>
      <c r="B1597" s="46" t="inlineStr">
        <is>
          <t>정기검사</t>
        </is>
      </c>
      <c r="C1597" s="46" t="inlineStr">
        <is>
          <t>김포지역</t>
        </is>
      </c>
      <c r="D1597" s="46" t="inlineStr">
        <is>
          <t>원랜드아울렛</t>
        </is>
      </c>
      <c r="E1597" s="46" t="inlineStr">
        <is>
          <t>950/320</t>
        </is>
      </c>
      <c r="F1597" s="46" t="inlineStr">
        <is>
          <t>사우동</t>
        </is>
      </c>
      <c r="G1597" s="50" t="n">
        <v>0.8125</v>
      </c>
      <c r="H1597" s="51" t="n">
        <v>1440340</v>
      </c>
      <c r="I1597" s="46" t="inlineStr">
        <is>
          <t>송두기</t>
        </is>
      </c>
      <c r="K1597" s="46" t="n">
        <v>1596</v>
      </c>
      <c r="L1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8">
      <c r="A1598" s="229" t="n">
        <v>46155</v>
      </c>
      <c r="B1598" s="46" t="inlineStr">
        <is>
          <t>정기검사</t>
        </is>
      </c>
      <c r="C1598" s="46" t="inlineStr">
        <is>
          <t>김포지역</t>
        </is>
      </c>
      <c r="D1598" s="46" t="inlineStr">
        <is>
          <t>국민은행</t>
        </is>
      </c>
      <c r="E1598" s="46" t="n"/>
      <c r="F1598" s="46" t="inlineStr">
        <is>
          <t>장기동</t>
        </is>
      </c>
      <c r="G1598" s="50" t="n"/>
      <c r="H1598" s="51" t="n">
        <v>8252200</v>
      </c>
      <c r="I1598" s="46" t="inlineStr">
        <is>
          <t>송두기</t>
        </is>
      </c>
      <c r="K1598" s="46" t="n">
        <v>1597</v>
      </c>
      <c r="L1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9">
      <c r="A1599" s="229" t="n">
        <v>46155</v>
      </c>
      <c r="B1599" s="46" t="inlineStr">
        <is>
          <t>정기검사</t>
        </is>
      </c>
      <c r="C1599" s="46" t="inlineStr">
        <is>
          <t>김포지역</t>
        </is>
      </c>
      <c r="D1599" s="46" t="inlineStr">
        <is>
          <t>김포사우아이파크</t>
        </is>
      </c>
      <c r="E1599" s="46" t="inlineStr">
        <is>
          <t>4500/818</t>
        </is>
      </c>
      <c r="F1599" s="46" t="inlineStr">
        <is>
          <t>사우동</t>
        </is>
      </c>
      <c r="G1599" s="50" t="n">
        <v>0.4166666666666667</v>
      </c>
      <c r="H1599" s="51" t="n">
        <v>2054910</v>
      </c>
      <c r="I1599" s="46" t="inlineStr">
        <is>
          <t>김영권</t>
        </is>
      </c>
      <c r="K1599" s="46" t="n">
        <v>1598</v>
      </c>
      <c r="L1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0">
      <c r="A1600" s="229" t="n">
        <v>46155</v>
      </c>
      <c r="B1600" s="46" t="inlineStr">
        <is>
          <t>정기검사</t>
        </is>
      </c>
      <c r="C1600" s="46" t="inlineStr">
        <is>
          <t>김포지역</t>
        </is>
      </c>
      <c r="D1600" s="46" t="inlineStr">
        <is>
          <t>선흥프라자</t>
        </is>
      </c>
      <c r="E1600" s="46" t="n">
        <v>300</v>
      </c>
      <c r="F1600" s="46" t="inlineStr">
        <is>
          <t>장기동</t>
        </is>
      </c>
      <c r="G1600" s="50" t="n">
        <v>0.2916666666666667</v>
      </c>
      <c r="H1600" s="51" t="n">
        <v>678150</v>
      </c>
      <c r="I1600" s="46" t="inlineStr">
        <is>
          <t>서수형</t>
        </is>
      </c>
      <c r="K1600" s="46" t="n">
        <v>1599</v>
      </c>
      <c r="L1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1">
      <c r="A1601" s="229" t="n">
        <v>46155</v>
      </c>
      <c r="B1601" s="46" t="inlineStr">
        <is>
          <t>정기검사</t>
        </is>
      </c>
      <c r="C1601" s="46" t="inlineStr">
        <is>
          <t>김포지역</t>
        </is>
      </c>
      <c r="D1601" s="46" t="inlineStr">
        <is>
          <t>서울메티칼</t>
        </is>
      </c>
      <c r="E1601" s="46" t="inlineStr">
        <is>
          <t>500/45</t>
        </is>
      </c>
      <c r="F1601" s="46" t="inlineStr">
        <is>
          <t>사우동</t>
        </is>
      </c>
      <c r="G1601" s="50" t="n">
        <v>0.3958333333333333</v>
      </c>
      <c r="H1601" s="51" t="n">
        <v>886930</v>
      </c>
      <c r="I1601" s="46" t="inlineStr">
        <is>
          <t>민재홍</t>
        </is>
      </c>
      <c r="K1601" s="46" t="n">
        <v>1600</v>
      </c>
      <c r="L1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2">
      <c r="A1602" s="229" t="n">
        <v>46155</v>
      </c>
      <c r="B1602" s="46" t="inlineStr">
        <is>
          <t>정기검사</t>
        </is>
      </c>
      <c r="C1602" s="46" t="inlineStr">
        <is>
          <t>김포지역</t>
        </is>
      </c>
      <c r="D1602" s="46" t="inlineStr">
        <is>
          <t>대곶면행정복지센터</t>
        </is>
      </c>
      <c r="E1602" s="46" t="inlineStr">
        <is>
          <t>300/90</t>
        </is>
      </c>
      <c r="F1602" s="46" t="inlineStr">
        <is>
          <t>율생리</t>
        </is>
      </c>
      <c r="G1602" s="50" t="n">
        <v>0.3125</v>
      </c>
      <c r="H1602" s="51" t="n">
        <v>890450</v>
      </c>
      <c r="I1602" s="46" t="inlineStr">
        <is>
          <t>민경수</t>
        </is>
      </c>
      <c r="K1602" s="46" t="n">
        <v>1601</v>
      </c>
      <c r="L1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3">
      <c r="A1603" s="229" t="n">
        <v>46155</v>
      </c>
      <c r="B1603" s="46" t="inlineStr">
        <is>
          <t>정기검사</t>
        </is>
      </c>
      <c r="C1603" s="46" t="inlineStr">
        <is>
          <t>김포지역</t>
        </is>
      </c>
      <c r="D1603" s="46" t="inlineStr">
        <is>
          <t>영우트러스</t>
        </is>
      </c>
      <c r="E1603" s="46" t="n">
        <v>250</v>
      </c>
      <c r="F1603" s="46" t="inlineStr">
        <is>
          <t>마곡리</t>
        </is>
      </c>
      <c r="G1603" s="50" t="n">
        <v>0.5</v>
      </c>
      <c r="H1603" s="51" t="n">
        <v>489170</v>
      </c>
      <c r="I1603" s="46" t="inlineStr">
        <is>
          <t>서수형</t>
        </is>
      </c>
      <c r="K1603" s="46" t="n">
        <v>1602</v>
      </c>
      <c r="L1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4">
      <c r="A1604" s="229" t="n">
        <v>46155</v>
      </c>
      <c r="B1604" s="46" t="inlineStr">
        <is>
          <t>정기검사</t>
        </is>
      </c>
      <c r="C1604" s="46" t="inlineStr">
        <is>
          <t>김포지역</t>
        </is>
      </c>
      <c r="D1604" s="46" t="inlineStr">
        <is>
          <t>삼운가구</t>
        </is>
      </c>
      <c r="E1604" s="46" t="n">
        <v>100</v>
      </c>
      <c r="F1604" s="46" t="inlineStr">
        <is>
          <t>누산리</t>
        </is>
      </c>
      <c r="G1604" s="50" t="n">
        <v>0.5833333333333334</v>
      </c>
      <c r="H1604" s="51" t="n">
        <v>356710</v>
      </c>
      <c r="I1604" s="46" t="inlineStr">
        <is>
          <t>서수형</t>
        </is>
      </c>
      <c r="K1604" s="46" t="n">
        <v>1603</v>
      </c>
      <c r="L1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5">
      <c r="A1605" s="229" t="n">
        <v>46155</v>
      </c>
      <c r="B1605" s="46" t="inlineStr">
        <is>
          <t>메모</t>
        </is>
      </c>
      <c r="C1605" s="46" t="inlineStr">
        <is>
          <t>부천지역</t>
        </is>
      </c>
      <c r="D1605" s="46" t="inlineStr">
        <is>
          <t>이종석휴가</t>
        </is>
      </c>
      <c r="E1605" s="46" t="n"/>
      <c r="F1605" s="46" t="n"/>
      <c r="G1605" s="50" t="n"/>
      <c r="H1605" s="51" t="n"/>
      <c r="I1605" s="46" t="n"/>
      <c r="K1605" s="46" t="n">
        <v>1604</v>
      </c>
      <c r="L1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6">
      <c r="A1606" s="229" t="n">
        <v>46155</v>
      </c>
      <c r="B1606" s="46" t="inlineStr">
        <is>
          <t>메모</t>
        </is>
      </c>
      <c r="C1606" s="46" t="inlineStr">
        <is>
          <t>부천지역</t>
        </is>
      </c>
      <c r="D1606" s="46" t="inlineStr">
        <is>
          <t>우승택휴가</t>
        </is>
      </c>
      <c r="E1606" s="46" t="n"/>
      <c r="F1606" s="46" t="n"/>
      <c r="G1606" s="50" t="n"/>
      <c r="H1606" s="51" t="n"/>
      <c r="I1606" s="46" t="n"/>
      <c r="K1606" s="46" t="n">
        <v>1605</v>
      </c>
      <c r="L1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7">
      <c r="A1607" s="229" t="n">
        <v>46155</v>
      </c>
      <c r="B1607" s="46" t="inlineStr">
        <is>
          <t>사용전검사</t>
        </is>
      </c>
      <c r="C1607" s="46" t="inlineStr">
        <is>
          <t>김포지역</t>
        </is>
      </c>
      <c r="D1607" s="46" t="inlineStr">
        <is>
          <t>와이비테크</t>
        </is>
      </c>
      <c r="E1607" s="46" t="n">
        <v>370</v>
      </c>
      <c r="F1607" s="46" t="inlineStr">
        <is>
          <t>학운리</t>
        </is>
      </c>
      <c r="G1607" s="50" t="n"/>
      <c r="H1607" s="51" t="n"/>
      <c r="I1607" s="46" t="inlineStr">
        <is>
          <t>송두기</t>
        </is>
      </c>
      <c r="K1607" s="46" t="n">
        <v>1606</v>
      </c>
      <c r="L1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8">
      <c r="A1608" s="229" t="n">
        <v>46156</v>
      </c>
      <c r="B1608" s="46" t="inlineStr">
        <is>
          <t>정기검사</t>
        </is>
      </c>
      <c r="C1608" s="46" t="inlineStr">
        <is>
          <t>부천지역</t>
        </is>
      </c>
      <c r="D1608" s="46" t="inlineStr">
        <is>
          <t>해강로디안</t>
        </is>
      </c>
      <c r="E1608" s="46" t="n">
        <v>6.48</v>
      </c>
      <c r="F1608" s="46" t="inlineStr">
        <is>
          <t>심곡동</t>
        </is>
      </c>
      <c r="G1608" s="50" t="n">
        <v>0.5833333333333334</v>
      </c>
      <c r="H1608" s="51" t="n">
        <v>90310</v>
      </c>
      <c r="I1608" s="46" t="inlineStr">
        <is>
          <t>한태희</t>
        </is>
      </c>
      <c r="K1608" s="46" t="n">
        <v>1607</v>
      </c>
      <c r="L1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9">
      <c r="A1609" s="229" t="n">
        <v>46156</v>
      </c>
      <c r="B1609" s="46" t="inlineStr">
        <is>
          <t>정기검사</t>
        </is>
      </c>
      <c r="C1609" s="46" t="inlineStr">
        <is>
          <t>부천지역</t>
        </is>
      </c>
      <c r="D1609" s="46" t="inlineStr">
        <is>
          <t>세원플라스틱</t>
        </is>
      </c>
      <c r="E1609" s="46" t="n">
        <v>300</v>
      </c>
      <c r="F1609" s="46" t="inlineStr">
        <is>
          <t>오정동</t>
        </is>
      </c>
      <c r="G1609" s="50" t="n">
        <v>0.5416666666666666</v>
      </c>
      <c r="H1609" s="51" t="n">
        <v>521730</v>
      </c>
      <c r="I1609" s="46" t="inlineStr">
        <is>
          <t>한태희</t>
        </is>
      </c>
      <c r="K1609" s="46" t="n">
        <v>1608</v>
      </c>
      <c r="L1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0">
      <c r="A1610" s="229" t="n">
        <v>46156</v>
      </c>
      <c r="B1610" s="46" t="inlineStr">
        <is>
          <t>정기검사</t>
        </is>
      </c>
      <c r="C1610" s="46" t="inlineStr">
        <is>
          <t>부천지역</t>
        </is>
      </c>
      <c r="D1610" s="46" t="inlineStr">
        <is>
          <t>신양케이피</t>
        </is>
      </c>
      <c r="E1610" s="46" t="n">
        <v>200</v>
      </c>
      <c r="F1610" s="46" t="inlineStr">
        <is>
          <t>삼정동</t>
        </is>
      </c>
      <c r="G1610" s="50" t="n">
        <v>0.4791666666666667</v>
      </c>
      <c r="H1610" s="51" t="n">
        <v>456720</v>
      </c>
      <c r="I1610" s="46" t="inlineStr">
        <is>
          <t>송낙명</t>
        </is>
      </c>
      <c r="K1610" s="46" t="n">
        <v>1609</v>
      </c>
      <c r="L1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1">
      <c r="A1611" s="229" t="n">
        <v>46156</v>
      </c>
      <c r="B1611" s="46" t="inlineStr">
        <is>
          <t>정기검사</t>
        </is>
      </c>
      <c r="C1611" s="46" t="inlineStr">
        <is>
          <t>부천지역</t>
        </is>
      </c>
      <c r="D1611" s="46" t="inlineStr">
        <is>
          <t>월타운</t>
        </is>
      </c>
      <c r="E1611" s="46" t="inlineStr">
        <is>
          <t>700/290</t>
        </is>
      </c>
      <c r="F1611" s="46" t="inlineStr">
        <is>
          <t>상동</t>
        </is>
      </c>
      <c r="G1611" s="50" t="n">
        <v>0.5833333333333334</v>
      </c>
      <c r="H1611" s="51" t="n">
        <v>1163800</v>
      </c>
      <c r="I1611" s="46" t="inlineStr">
        <is>
          <t>민재홍</t>
        </is>
      </c>
      <c r="K1611" s="46" t="n">
        <v>1610</v>
      </c>
      <c r="L1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2">
      <c r="A1612" s="229" t="n">
        <v>46156</v>
      </c>
      <c r="B1612" s="46" t="inlineStr">
        <is>
          <t>정기검사</t>
        </is>
      </c>
      <c r="C1612" s="46" t="inlineStr">
        <is>
          <t>부천지역</t>
        </is>
      </c>
      <c r="D1612" s="46" t="inlineStr">
        <is>
          <t>부천역푸르지오시티</t>
        </is>
      </c>
      <c r="E1612" s="46" t="inlineStr">
        <is>
          <t>1900/545</t>
        </is>
      </c>
      <c r="F1612" s="46" t="inlineStr">
        <is>
          <t>부천역</t>
        </is>
      </c>
      <c r="G1612" s="50" t="n">
        <v>0.4166666666666667</v>
      </c>
      <c r="H1612" s="51" t="n">
        <v>1313620</v>
      </c>
      <c r="I1612" s="46" t="inlineStr">
        <is>
          <t>민경수</t>
        </is>
      </c>
      <c r="K1612" s="46" t="n">
        <v>1611</v>
      </c>
      <c r="L1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3">
      <c r="A1613" s="229" t="n">
        <v>46156</v>
      </c>
      <c r="B1613" s="46" t="inlineStr">
        <is>
          <t>정기검사</t>
        </is>
      </c>
      <c r="C1613" s="46" t="inlineStr">
        <is>
          <t>부천지역</t>
        </is>
      </c>
      <c r="D1613" s="46" t="inlineStr">
        <is>
          <t>동아주택</t>
        </is>
      </c>
      <c r="E1613" s="46" t="inlineStr">
        <is>
          <t>950/235</t>
        </is>
      </c>
      <c r="F1613" s="46" t="inlineStr">
        <is>
          <t>중동</t>
        </is>
      </c>
      <c r="G1613" s="50" t="n">
        <v>0.2916666666666667</v>
      </c>
      <c r="H1613" s="51" t="n">
        <v>1424280</v>
      </c>
      <c r="I1613" s="46" t="inlineStr">
        <is>
          <t>민재홍</t>
        </is>
      </c>
      <c r="K1613" s="46" t="n">
        <v>1612</v>
      </c>
      <c r="L1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4">
      <c r="A1614" s="229" t="n">
        <v>46156</v>
      </c>
      <c r="B1614" s="46" t="inlineStr">
        <is>
          <t>정기검사</t>
        </is>
      </c>
      <c r="C1614" s="46" t="inlineStr">
        <is>
          <t>부천지역</t>
        </is>
      </c>
      <c r="D1614" s="46" t="inlineStr">
        <is>
          <t>국민은행</t>
        </is>
      </c>
      <c r="E1614" s="46" t="inlineStr">
        <is>
          <t>225/48</t>
        </is>
      </c>
      <c r="F1614" s="46" t="inlineStr">
        <is>
          <t>중동</t>
        </is>
      </c>
      <c r="G1614" s="50" t="n">
        <v>0.3958333333333333</v>
      </c>
      <c r="H1614" s="51" t="n">
        <v>623700</v>
      </c>
      <c r="I1614" s="46" t="inlineStr">
        <is>
          <t>송낙명</t>
        </is>
      </c>
      <c r="K1614" s="46" t="n">
        <v>1613</v>
      </c>
      <c r="L1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5">
      <c r="A1615" s="229" t="n">
        <v>46156</v>
      </c>
      <c r="B1615" s="46" t="inlineStr">
        <is>
          <t>정기검사</t>
        </is>
      </c>
      <c r="C1615" s="46" t="inlineStr">
        <is>
          <t>김포지역</t>
        </is>
      </c>
      <c r="D1615" s="46" t="inlineStr">
        <is>
          <t>디에스교역</t>
        </is>
      </c>
      <c r="E1615" s="46" t="n">
        <v>120</v>
      </c>
      <c r="F1615" s="46" t="inlineStr">
        <is>
          <t>거물대리</t>
        </is>
      </c>
      <c r="G1615" s="50" t="n">
        <v>0.5833333333333334</v>
      </c>
      <c r="H1615" s="51" t="n">
        <v>206580</v>
      </c>
      <c r="I1615" s="46" t="inlineStr">
        <is>
          <t>정신배</t>
        </is>
      </c>
      <c r="K1615" s="46" t="n">
        <v>1614</v>
      </c>
      <c r="L1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6">
      <c r="A1616" s="229" t="n">
        <v>46156</v>
      </c>
      <c r="B1616" s="46" t="inlineStr">
        <is>
          <t>정기검사</t>
        </is>
      </c>
      <c r="C1616" s="46" t="inlineStr">
        <is>
          <t>김포지역</t>
        </is>
      </c>
      <c r="D1616" s="46" t="inlineStr">
        <is>
          <t>진영금속</t>
        </is>
      </c>
      <c r="E1616" s="46" t="n">
        <v>290</v>
      </c>
      <c r="F1616" s="46" t="inlineStr">
        <is>
          <t>거물대리</t>
        </is>
      </c>
      <c r="G1616" s="50" t="n">
        <v>0.5625</v>
      </c>
      <c r="H1616" s="51" t="n">
        <v>515130</v>
      </c>
      <c r="I1616" s="46" t="inlineStr">
        <is>
          <t>서수형</t>
        </is>
      </c>
      <c r="K1616" s="46" t="n">
        <v>1615</v>
      </c>
      <c r="L1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7">
      <c r="A1617" s="229" t="n">
        <v>46156</v>
      </c>
      <c r="B1617" s="46" t="inlineStr">
        <is>
          <t>정기검사</t>
        </is>
      </c>
      <c r="C1617" s="46" t="inlineStr">
        <is>
          <t>김포지역</t>
        </is>
      </c>
      <c r="D1617" s="46" t="inlineStr">
        <is>
          <t>신성기업</t>
        </is>
      </c>
      <c r="E1617" s="46" t="n">
        <v>450</v>
      </c>
      <c r="F1617" s="46" t="inlineStr">
        <is>
          <t>송마리</t>
        </is>
      </c>
      <c r="G1617" s="50" t="n">
        <v>0.5416666666666666</v>
      </c>
      <c r="H1617" s="51" t="n">
        <v>720060</v>
      </c>
      <c r="I1617" s="46" t="inlineStr">
        <is>
          <t>김영권</t>
        </is>
      </c>
      <c r="K1617" s="46" t="n">
        <v>1616</v>
      </c>
      <c r="L1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8">
      <c r="A1618" s="229" t="n">
        <v>46156</v>
      </c>
      <c r="B1618" s="46" t="inlineStr">
        <is>
          <t>정기검사</t>
        </is>
      </c>
      <c r="C1618" s="46" t="inlineStr">
        <is>
          <t>김포지역</t>
        </is>
      </c>
      <c r="D1618" s="46" t="inlineStr">
        <is>
          <t>해성이엔피</t>
        </is>
      </c>
      <c r="E1618" s="46" t="n">
        <v>300</v>
      </c>
      <c r="F1618" s="46" t="inlineStr">
        <is>
          <t>상마리</t>
        </is>
      </c>
      <c r="G1618" s="50" t="n">
        <v>0.5</v>
      </c>
      <c r="H1618" s="51" t="n">
        <v>521730</v>
      </c>
      <c r="I1618" s="46" t="inlineStr">
        <is>
          <t>이덕기</t>
        </is>
      </c>
      <c r="K1618" s="46" t="n">
        <v>1617</v>
      </c>
      <c r="L1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9">
      <c r="A1619" s="229" t="n">
        <v>46156</v>
      </c>
      <c r="B1619" s="46" t="inlineStr">
        <is>
          <t>정기검사</t>
        </is>
      </c>
      <c r="C1619" s="46" t="inlineStr">
        <is>
          <t>김포지역</t>
        </is>
      </c>
      <c r="D1619" s="46" t="inlineStr">
        <is>
          <t>제이원코리아</t>
        </is>
      </c>
      <c r="E1619" s="46" t="n">
        <v>550</v>
      </c>
      <c r="F1619" s="46" t="inlineStr">
        <is>
          <t>원산리</t>
        </is>
      </c>
      <c r="G1619" s="50" t="n">
        <v>0.4791666666666667</v>
      </c>
      <c r="H1619" s="51" t="n">
        <v>753940</v>
      </c>
      <c r="I1619" s="46" t="inlineStr">
        <is>
          <t>송두기</t>
        </is>
      </c>
      <c r="K1619" s="46" t="n">
        <v>1618</v>
      </c>
      <c r="L1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0">
      <c r="A1620" s="229" t="n">
        <v>46156</v>
      </c>
      <c r="B1620" s="46" t="inlineStr">
        <is>
          <t>정기검사</t>
        </is>
      </c>
      <c r="C1620" s="46" t="inlineStr">
        <is>
          <t>김포지역</t>
        </is>
      </c>
      <c r="D1620" s="46" t="inlineStr">
        <is>
          <t>KY산업</t>
        </is>
      </c>
      <c r="E1620" s="46" t="n">
        <v>200</v>
      </c>
      <c r="F1620" s="46" t="inlineStr">
        <is>
          <t>초원지리</t>
        </is>
      </c>
      <c r="G1620" s="50" t="n">
        <v>0.5</v>
      </c>
      <c r="H1620" s="51" t="n">
        <v>456720</v>
      </c>
      <c r="I1620" s="46" t="inlineStr">
        <is>
          <t>정성관</t>
        </is>
      </c>
      <c r="K1620" s="46" t="n">
        <v>1619</v>
      </c>
      <c r="L1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1">
      <c r="A1621" s="229" t="n">
        <v>46156</v>
      </c>
      <c r="B1621" s="46" t="inlineStr">
        <is>
          <t>정기검사</t>
        </is>
      </c>
      <c r="C1621" s="46" t="inlineStr">
        <is>
          <t>김포지역</t>
        </is>
      </c>
      <c r="D1621" s="46" t="inlineStr">
        <is>
          <t>일호개발</t>
        </is>
      </c>
      <c r="E1621" s="46" t="n">
        <v>200</v>
      </c>
      <c r="F1621" s="46" t="inlineStr">
        <is>
          <t>감정동</t>
        </is>
      </c>
      <c r="G1621" s="50" t="n">
        <v>0.5416666666666666</v>
      </c>
      <c r="H1621" s="51" t="n">
        <v>456720</v>
      </c>
      <c r="I1621" s="46" t="inlineStr">
        <is>
          <t>허창수</t>
        </is>
      </c>
      <c r="K1621" s="46" t="n">
        <v>1620</v>
      </c>
      <c r="L1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2">
      <c r="A1622" s="229" t="n">
        <v>46156</v>
      </c>
      <c r="B1622" s="46" t="inlineStr">
        <is>
          <t>정기검사</t>
        </is>
      </c>
      <c r="C1622" s="46" t="inlineStr">
        <is>
          <t>김포지역</t>
        </is>
      </c>
      <c r="D1622" s="46" t="inlineStr">
        <is>
          <t>유림티에스</t>
        </is>
      </c>
      <c r="E1622" s="46" t="n">
        <v>600</v>
      </c>
      <c r="F1622" s="46" t="inlineStr">
        <is>
          <t>옹정리</t>
        </is>
      </c>
      <c r="G1622" s="50" t="n">
        <v>0.4166666666666667</v>
      </c>
      <c r="H1622" s="51" t="n">
        <v>770880</v>
      </c>
      <c r="I1622" s="46" t="inlineStr">
        <is>
          <t>서수형</t>
        </is>
      </c>
      <c r="K1622" s="46" t="n">
        <v>1621</v>
      </c>
      <c r="L1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3">
      <c r="A1623" s="229" t="n">
        <v>46156</v>
      </c>
      <c r="B1623" s="46" t="inlineStr">
        <is>
          <t>사용전검사</t>
        </is>
      </c>
      <c r="C1623" s="46" t="inlineStr">
        <is>
          <t>부천지역</t>
        </is>
      </c>
      <c r="D1623" s="46" t="inlineStr">
        <is>
          <t>역곡다목적</t>
        </is>
      </c>
      <c r="E1623" s="46" t="n">
        <v>64.8</v>
      </c>
      <c r="F1623" s="46" t="inlineStr">
        <is>
          <t>역곡</t>
        </is>
      </c>
      <c r="G1623" s="50" t="n"/>
      <c r="H1623" s="51" t="n"/>
      <c r="I1623" s="46" t="inlineStr">
        <is>
          <t>민경수</t>
        </is>
      </c>
      <c r="K1623" s="46" t="n">
        <v>1622</v>
      </c>
      <c r="L1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4">
      <c r="A1624" s="229" t="n">
        <v>46156</v>
      </c>
      <c r="B1624" s="46" t="inlineStr">
        <is>
          <t>메모</t>
        </is>
      </c>
      <c r="C1624" s="46" t="inlineStr">
        <is>
          <t>부천지역</t>
        </is>
      </c>
      <c r="D1624" s="46" t="inlineStr">
        <is>
          <t>우승택휴가</t>
        </is>
      </c>
      <c r="E1624" s="46" t="n"/>
      <c r="F1624" s="46" t="n"/>
      <c r="G1624" s="50" t="n"/>
      <c r="H1624" s="51" t="n"/>
      <c r="I1624" s="46" t="n"/>
      <c r="K1624" s="46" t="n">
        <v>1623</v>
      </c>
      <c r="L1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5">
      <c r="A1625" s="229" t="n">
        <v>46156</v>
      </c>
      <c r="B1625" s="46" t="inlineStr">
        <is>
          <t>메모</t>
        </is>
      </c>
      <c r="C1625" s="46" t="inlineStr">
        <is>
          <t>부천지역</t>
        </is>
      </c>
      <c r="D1625" s="46" t="inlineStr">
        <is>
          <t>체련대회</t>
        </is>
      </c>
      <c r="E1625" s="46" t="n"/>
      <c r="F1625" s="46" t="n"/>
      <c r="G1625" s="50" t="n"/>
      <c r="H1625" s="51" t="n"/>
      <c r="I1625" s="46" t="n"/>
      <c r="K1625" s="46" t="n">
        <v>1624</v>
      </c>
      <c r="L1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6">
      <c r="A1626" s="229" t="n">
        <v>46156</v>
      </c>
      <c r="B1626" s="46" t="inlineStr">
        <is>
          <t>사용전검사</t>
        </is>
      </c>
      <c r="C1626" s="46" t="inlineStr">
        <is>
          <t>김포지역</t>
        </is>
      </c>
      <c r="D1626" s="46" t="inlineStr">
        <is>
          <t>오페론</t>
        </is>
      </c>
      <c r="E1626" s="46" t="n">
        <v>500</v>
      </c>
      <c r="F1626" s="46" t="inlineStr">
        <is>
          <t>학운리</t>
        </is>
      </c>
      <c r="G1626" s="50" t="n"/>
      <c r="H1626" s="51" t="n"/>
      <c r="I1626" s="46" t="inlineStr">
        <is>
          <t>이종석</t>
        </is>
      </c>
      <c r="K1626" s="46" t="n">
        <v>1625</v>
      </c>
      <c r="L1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7">
      <c r="A1627" s="229" t="n">
        <v>46157</v>
      </c>
      <c r="B1627" s="46" t="inlineStr">
        <is>
          <t>정기검사</t>
        </is>
      </c>
      <c r="C1627" s="46" t="inlineStr">
        <is>
          <t>부천지역</t>
        </is>
      </c>
      <c r="D1627" s="46" t="inlineStr">
        <is>
          <t>영상화학</t>
        </is>
      </c>
      <c r="E1627" s="46" t="n">
        <v>150</v>
      </c>
      <c r="F1627" s="46" t="inlineStr">
        <is>
          <t>내동</t>
        </is>
      </c>
      <c r="G1627" s="50" t="n">
        <v>0.4791666666666667</v>
      </c>
      <c r="H1627" s="51" t="n">
        <v>424160</v>
      </c>
      <c r="I1627" s="46" t="inlineStr">
        <is>
          <t>김영권</t>
        </is>
      </c>
      <c r="K1627" s="46" t="n">
        <v>1626</v>
      </c>
      <c r="L1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8">
      <c r="A1628" s="229" t="n">
        <v>46157</v>
      </c>
      <c r="B1628" s="46" t="inlineStr">
        <is>
          <t>정기검사</t>
        </is>
      </c>
      <c r="C1628" s="46" t="inlineStr">
        <is>
          <t>부천지역</t>
        </is>
      </c>
      <c r="D1628" s="46" t="inlineStr">
        <is>
          <t>뉴보은네이버시티</t>
        </is>
      </c>
      <c r="E1628" s="46" t="inlineStr">
        <is>
          <t>900/182</t>
        </is>
      </c>
      <c r="F1628" s="46" t="inlineStr">
        <is>
          <t>춘의동</t>
        </is>
      </c>
      <c r="G1628" s="50" t="n">
        <v>0.3958333333333333</v>
      </c>
      <c r="H1628" s="51" t="n">
        <v>1062930</v>
      </c>
      <c r="I1628" s="46" t="inlineStr">
        <is>
          <t>민경수</t>
        </is>
      </c>
      <c r="K1628" s="46" t="n">
        <v>1627</v>
      </c>
      <c r="L1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9">
      <c r="A1629" s="229" t="n">
        <v>46157</v>
      </c>
      <c r="B1629" s="46" t="inlineStr">
        <is>
          <t>정기검사</t>
        </is>
      </c>
      <c r="C1629" s="46" t="inlineStr">
        <is>
          <t>부천지역</t>
        </is>
      </c>
      <c r="D1629" s="46" t="inlineStr">
        <is>
          <t>중동메디칼센터</t>
        </is>
      </c>
      <c r="E1629" s="46" t="inlineStr">
        <is>
          <t>500/105</t>
        </is>
      </c>
      <c r="F1629" s="46" t="inlineStr">
        <is>
          <t>중동</t>
        </is>
      </c>
      <c r="G1629" s="50" t="n">
        <v>0.2916666666666667</v>
      </c>
      <c r="H1629" s="51" t="n">
        <v>1176010</v>
      </c>
      <c r="I1629" s="46" t="inlineStr">
        <is>
          <t>김영권</t>
        </is>
      </c>
      <c r="K1629" s="46" t="n">
        <v>1628</v>
      </c>
      <c r="L1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0">
      <c r="A1630" s="229" t="n">
        <v>46157</v>
      </c>
      <c r="B1630" s="46" t="inlineStr">
        <is>
          <t>정기검사</t>
        </is>
      </c>
      <c r="C1630" s="46" t="inlineStr">
        <is>
          <t>부천지역</t>
        </is>
      </c>
      <c r="D1630" s="46" t="inlineStr">
        <is>
          <t>그린웰</t>
        </is>
      </c>
      <c r="E1630" s="46" t="n">
        <v>500</v>
      </c>
      <c r="F1630" s="46" t="inlineStr">
        <is>
          <t>도당동</t>
        </is>
      </c>
      <c r="G1630" s="50" t="n">
        <v>0.5208333333333334</v>
      </c>
      <c r="H1630" s="51" t="n">
        <v>737000</v>
      </c>
      <c r="I1630" s="46" t="inlineStr">
        <is>
          <t>한태희</t>
        </is>
      </c>
      <c r="K1630" s="46" t="n">
        <v>1629</v>
      </c>
      <c r="L1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1">
      <c r="A1631" s="229" t="n">
        <v>46157</v>
      </c>
      <c r="B1631" s="46" t="inlineStr">
        <is>
          <t>정기검사</t>
        </is>
      </c>
      <c r="C1631" s="46" t="inlineStr">
        <is>
          <t>부천지역</t>
        </is>
      </c>
      <c r="D1631" s="46" t="inlineStr">
        <is>
          <t>동성아파트</t>
        </is>
      </c>
      <c r="E1631" s="46" t="inlineStr">
        <is>
          <t>재검정전</t>
        </is>
      </c>
      <c r="F1631" s="46" t="n"/>
      <c r="G1631" s="50" t="n">
        <v>0.5625</v>
      </c>
      <c r="H1631" s="51" t="n"/>
      <c r="I1631" s="46" t="inlineStr">
        <is>
          <t>민재홍</t>
        </is>
      </c>
      <c r="K1631" s="46" t="n">
        <v>1630</v>
      </c>
      <c r="L1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2">
      <c r="A1632" s="229" t="n">
        <v>46157</v>
      </c>
      <c r="B1632" s="46" t="inlineStr">
        <is>
          <t>정기검사</t>
        </is>
      </c>
      <c r="C1632" s="46" t="inlineStr">
        <is>
          <t>부천지역</t>
        </is>
      </c>
      <c r="D1632" s="46" t="inlineStr">
        <is>
          <t>부천역사</t>
        </is>
      </c>
      <c r="E1632" s="46" t="inlineStr">
        <is>
          <t>전기차</t>
        </is>
      </c>
      <c r="F1632" s="46" t="inlineStr">
        <is>
          <t>부천역</t>
        </is>
      </c>
      <c r="G1632" s="50" t="n">
        <v>0.5833333333333334</v>
      </c>
      <c r="H1632" s="51" t="n">
        <v>174350</v>
      </c>
      <c r="I1632" s="46" t="inlineStr">
        <is>
          <t>한태희</t>
        </is>
      </c>
      <c r="K1632" s="46" t="n">
        <v>1631</v>
      </c>
      <c r="L1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3">
      <c r="A1633" s="229" t="n">
        <v>46157</v>
      </c>
      <c r="B1633" s="46" t="inlineStr">
        <is>
          <t>정기검사</t>
        </is>
      </c>
      <c r="C1633" s="46" t="inlineStr">
        <is>
          <t>부천지역</t>
        </is>
      </c>
      <c r="D1633" s="46" t="inlineStr">
        <is>
          <t>협진정밀</t>
        </is>
      </c>
      <c r="E1633" s="46" t="n">
        <v>300</v>
      </c>
      <c r="F1633" s="46" t="inlineStr">
        <is>
          <t>도당동</t>
        </is>
      </c>
      <c r="G1633" s="50" t="n">
        <v>0.5</v>
      </c>
      <c r="H1633" s="51" t="n">
        <v>521730</v>
      </c>
      <c r="I1633" s="46" t="inlineStr">
        <is>
          <t>송낙명</t>
        </is>
      </c>
      <c r="K1633" s="46" t="n">
        <v>1632</v>
      </c>
      <c r="L1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4">
      <c r="A1634" s="229" t="n">
        <v>46157</v>
      </c>
      <c r="B1634" s="46" t="inlineStr">
        <is>
          <t>정기검사</t>
        </is>
      </c>
      <c r="C1634" s="46" t="inlineStr">
        <is>
          <t>부천지역</t>
        </is>
      </c>
      <c r="D1634" s="46" t="inlineStr">
        <is>
          <t>상진테크</t>
        </is>
      </c>
      <c r="E1634" s="46" t="n">
        <v>200</v>
      </c>
      <c r="F1634" s="46" t="inlineStr">
        <is>
          <t>도당동</t>
        </is>
      </c>
      <c r="G1634" s="50" t="n">
        <v>0.5</v>
      </c>
      <c r="H1634" s="51" t="n">
        <v>456720</v>
      </c>
      <c r="I1634" s="46" t="inlineStr">
        <is>
          <t>민재홍</t>
        </is>
      </c>
      <c r="K1634" s="46" t="n">
        <v>1633</v>
      </c>
      <c r="L1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5">
      <c r="A1635" s="229" t="n">
        <v>46157</v>
      </c>
      <c r="B1635" s="46" t="inlineStr">
        <is>
          <t>정기검사</t>
        </is>
      </c>
      <c r="C1635" s="46" t="inlineStr">
        <is>
          <t>부천지역</t>
        </is>
      </c>
      <c r="D1635" s="46" t="inlineStr">
        <is>
          <t>뉴보은네이버시티</t>
        </is>
      </c>
      <c r="E1635" s="46" t="inlineStr">
        <is>
          <t>전기차</t>
        </is>
      </c>
      <c r="F1635" s="46" t="inlineStr">
        <is>
          <t>중동</t>
        </is>
      </c>
      <c r="G1635" s="50" t="n">
        <v>0.625</v>
      </c>
      <c r="H1635" s="51" t="n">
        <v>64240</v>
      </c>
      <c r="I1635" s="46" t="inlineStr">
        <is>
          <t>민경수</t>
        </is>
      </c>
      <c r="K1635" s="46" t="n">
        <v>1634</v>
      </c>
      <c r="L1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6">
      <c r="A1636" s="229" t="n">
        <v>46157</v>
      </c>
      <c r="B1636" s="46" t="inlineStr">
        <is>
          <t>정기검사</t>
        </is>
      </c>
      <c r="C1636" s="46" t="inlineStr">
        <is>
          <t>김포지역</t>
        </is>
      </c>
      <c r="D1636" s="46" t="inlineStr">
        <is>
          <t>행복자원태양광</t>
        </is>
      </c>
      <c r="E1636" s="46" t="n">
        <v>27.1</v>
      </c>
      <c r="F1636" s="46" t="inlineStr">
        <is>
          <t>갈산리</t>
        </is>
      </c>
      <c r="G1636" s="50" t="n">
        <v>0.4583333333333333</v>
      </c>
      <c r="H1636" s="51" t="n">
        <v>179300</v>
      </c>
      <c r="I1636" s="46" t="inlineStr">
        <is>
          <t>서수형</t>
        </is>
      </c>
      <c r="K1636" s="46" t="n">
        <v>1635</v>
      </c>
      <c r="L1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7">
      <c r="A1637" s="229" t="n">
        <v>46157</v>
      </c>
      <c r="B1637" s="46" t="inlineStr">
        <is>
          <t>정기검사</t>
        </is>
      </c>
      <c r="C1637" s="46" t="inlineStr">
        <is>
          <t>김포지역</t>
        </is>
      </c>
      <c r="D1637" s="46" t="inlineStr">
        <is>
          <t>바디프랜드</t>
        </is>
      </c>
      <c r="E1637" s="46" t="n">
        <v>500</v>
      </c>
      <c r="F1637" s="46" t="inlineStr">
        <is>
          <t>유현리</t>
        </is>
      </c>
      <c r="G1637" s="50" t="n">
        <v>0.5833333333333334</v>
      </c>
      <c r="H1637" s="51" t="n">
        <v>737000</v>
      </c>
      <c r="I1637" s="46" t="inlineStr">
        <is>
          <t>정성관</t>
        </is>
      </c>
      <c r="K1637" s="46" t="n">
        <v>1636</v>
      </c>
      <c r="L1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8">
      <c r="A1638" s="229" t="n">
        <v>46157</v>
      </c>
      <c r="B1638" s="46" t="inlineStr">
        <is>
          <t>정기검사</t>
        </is>
      </c>
      <c r="C1638" s="46" t="inlineStr">
        <is>
          <t>김포지역</t>
        </is>
      </c>
      <c r="D1638" s="46" t="inlineStr">
        <is>
          <t>플러크링크</t>
        </is>
      </c>
      <c r="E1638" s="46" t="inlineStr">
        <is>
          <t>전기차</t>
        </is>
      </c>
      <c r="F1638" s="46" t="inlineStr">
        <is>
          <t>흥신리</t>
        </is>
      </c>
      <c r="G1638" s="50" t="n">
        <v>0</v>
      </c>
      <c r="H1638" s="51" t="n">
        <v>55770</v>
      </c>
      <c r="I1638" s="46" t="inlineStr">
        <is>
          <t>정신배</t>
        </is>
      </c>
      <c r="K1638" s="46" t="n">
        <v>1637</v>
      </c>
      <c r="L1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9">
      <c r="A1639" s="229" t="n">
        <v>46157</v>
      </c>
      <c r="B1639" s="46" t="inlineStr">
        <is>
          <t>사용전검사</t>
        </is>
      </c>
      <c r="C1639" s="46" t="inlineStr">
        <is>
          <t>부천지역</t>
        </is>
      </c>
      <c r="D1639" s="46" t="inlineStr">
        <is>
          <t>지에스파워</t>
        </is>
      </c>
      <c r="E1639" s="46" t="n">
        <v>150</v>
      </c>
      <c r="F1639" s="46" t="inlineStr">
        <is>
          <t>도당동</t>
        </is>
      </c>
      <c r="G1639" s="50" t="n"/>
      <c r="H1639" s="51" t="n"/>
      <c r="I1639" s="46" t="inlineStr">
        <is>
          <t>송낙명</t>
        </is>
      </c>
      <c r="K1639" s="46" t="n">
        <v>1638</v>
      </c>
      <c r="L1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0">
      <c r="A1640" s="229" t="n">
        <v>46157</v>
      </c>
      <c r="B1640" s="46" t="inlineStr">
        <is>
          <t>메모</t>
        </is>
      </c>
      <c r="C1640" s="46" t="inlineStr">
        <is>
          <t>부천지역</t>
        </is>
      </c>
      <c r="D1640" s="46" t="inlineStr">
        <is>
          <t>우승택휴가</t>
        </is>
      </c>
      <c r="E1640" s="46" t="n"/>
      <c r="F1640" s="46" t="n"/>
      <c r="G1640" s="50" t="n"/>
      <c r="H1640" s="51" t="n"/>
      <c r="I1640" s="46" t="n"/>
      <c r="K1640" s="46" t="n">
        <v>1639</v>
      </c>
      <c r="L1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1">
      <c r="A1641" s="229" t="n">
        <v>46157</v>
      </c>
      <c r="B1641" s="46" t="inlineStr">
        <is>
          <t>메모</t>
        </is>
      </c>
      <c r="C1641" s="46" t="inlineStr">
        <is>
          <t>부천지역</t>
        </is>
      </c>
      <c r="D1641" s="46" t="inlineStr">
        <is>
          <t>송두기휴가</t>
        </is>
      </c>
      <c r="E1641" s="46" t="n"/>
      <c r="F1641" s="46" t="n"/>
      <c r="G1641" s="50" t="n"/>
      <c r="H1641" s="51" t="n"/>
      <c r="I1641" s="46" t="n"/>
      <c r="K1641" s="46" t="n">
        <v>1640</v>
      </c>
      <c r="L1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2">
      <c r="A1642" s="229" t="n">
        <v>46157</v>
      </c>
      <c r="B1642" s="46" t="inlineStr">
        <is>
          <t>사용전검사</t>
        </is>
      </c>
      <c r="C1642" s="46" t="inlineStr">
        <is>
          <t>김포지역</t>
        </is>
      </c>
      <c r="D1642" s="46" t="inlineStr">
        <is>
          <t>해온발전소</t>
        </is>
      </c>
      <c r="E1642" s="46" t="n">
        <v>411</v>
      </c>
      <c r="F1642" s="46" t="inlineStr">
        <is>
          <t>석정리</t>
        </is>
      </c>
      <c r="G1642" s="50" t="n"/>
      <c r="H1642" s="51" t="n"/>
      <c r="I1642" s="46" t="inlineStr">
        <is>
          <t>정신배</t>
        </is>
      </c>
      <c r="K1642" s="46" t="n">
        <v>1641</v>
      </c>
      <c r="L1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3">
      <c r="A1643" s="229" t="n">
        <v>46157</v>
      </c>
      <c r="B1643" s="46" t="inlineStr">
        <is>
          <t>사용전검사</t>
        </is>
      </c>
      <c r="C1643" s="46" t="inlineStr">
        <is>
          <t>김포지역</t>
        </is>
      </c>
      <c r="D1643" s="46" t="inlineStr">
        <is>
          <t>은숙태양광</t>
        </is>
      </c>
      <c r="E1643" s="46" t="n">
        <v>86</v>
      </c>
      <c r="F1643" s="46" t="inlineStr">
        <is>
          <t>율생리</t>
        </is>
      </c>
      <c r="G1643" s="50" t="n"/>
      <c r="H1643" s="51" t="n"/>
      <c r="I1643" s="46" t="inlineStr">
        <is>
          <t>정성관</t>
        </is>
      </c>
      <c r="K1643" s="46" t="n">
        <v>1642</v>
      </c>
      <c r="L1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4">
      <c r="A1644" s="229" t="n">
        <v>46157</v>
      </c>
      <c r="B1644" s="46" t="inlineStr">
        <is>
          <t>사용전검사</t>
        </is>
      </c>
      <c r="C1644" s="46" t="inlineStr">
        <is>
          <t>김포지역</t>
        </is>
      </c>
      <c r="D1644" s="46" t="inlineStr">
        <is>
          <t>대성태양광</t>
        </is>
      </c>
      <c r="E1644" s="46" t="n">
        <v>149</v>
      </c>
      <c r="F1644" s="46" t="inlineStr">
        <is>
          <t>송마리</t>
        </is>
      </c>
      <c r="G1644" s="50" t="n"/>
      <c r="H1644" s="51" t="n"/>
      <c r="I1644" s="46" t="inlineStr">
        <is>
          <t>이덕기</t>
        </is>
      </c>
      <c r="K1644" s="46" t="n">
        <v>1643</v>
      </c>
      <c r="L1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5">
      <c r="A1645" s="229" t="n">
        <v>46157</v>
      </c>
      <c r="B1645" s="46" t="inlineStr">
        <is>
          <t>사용전검사</t>
        </is>
      </c>
      <c r="C1645" s="46" t="inlineStr">
        <is>
          <t>김포지역</t>
        </is>
      </c>
      <c r="D1645" s="46" t="inlineStr">
        <is>
          <t>스피드랙</t>
        </is>
      </c>
      <c r="E1645" s="46" t="n">
        <v>490</v>
      </c>
      <c r="F1645" s="46" t="inlineStr">
        <is>
          <t>옹정리</t>
        </is>
      </c>
      <c r="G1645" s="50" t="n"/>
      <c r="H1645" s="51" t="n"/>
      <c r="I1645" s="46" t="inlineStr">
        <is>
          <t>이덕기</t>
        </is>
      </c>
      <c r="K1645" s="46" t="n">
        <v>1644</v>
      </c>
      <c r="L1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6">
      <c r="A1646" s="229" t="n">
        <v>46157</v>
      </c>
      <c r="B1646" s="46" t="inlineStr">
        <is>
          <t>사용전검사</t>
        </is>
      </c>
      <c r="C1646" s="46" t="inlineStr">
        <is>
          <t>김포지역</t>
        </is>
      </c>
      <c r="D1646" s="46" t="inlineStr">
        <is>
          <t>양평해장국</t>
        </is>
      </c>
      <c r="E1646" s="46" t="n">
        <v>17</v>
      </c>
      <c r="F1646" s="46" t="inlineStr">
        <is>
          <t>고촌</t>
        </is>
      </c>
      <c r="G1646" s="50" t="n"/>
      <c r="H1646" s="51" t="n"/>
      <c r="I1646" s="46" t="inlineStr">
        <is>
          <t>정신배</t>
        </is>
      </c>
      <c r="K1646" s="46" t="n">
        <v>1645</v>
      </c>
      <c r="L1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7">
      <c r="A1647" s="229" t="n">
        <v>46157</v>
      </c>
      <c r="B1647" s="46" t="inlineStr">
        <is>
          <t>사용전검사</t>
        </is>
      </c>
      <c r="C1647" s="46" t="inlineStr">
        <is>
          <t>김포지역</t>
        </is>
      </c>
      <c r="D1647" s="46" t="inlineStr">
        <is>
          <t>김은태태양광</t>
        </is>
      </c>
      <c r="E1647" s="46" t="n">
        <v>89</v>
      </c>
      <c r="F1647" s="46" t="inlineStr">
        <is>
          <t>고양리</t>
        </is>
      </c>
      <c r="G1647" s="50" t="n"/>
      <c r="H1647" s="51" t="n"/>
      <c r="I1647" s="46" t="inlineStr">
        <is>
          <t>서수형</t>
        </is>
      </c>
      <c r="K1647" s="46" t="n">
        <v>1646</v>
      </c>
      <c r="L1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8">
      <c r="A1648" s="229" t="n">
        <v>46158</v>
      </c>
      <c r="B1648" s="46" t="inlineStr">
        <is>
          <t>정기검사</t>
        </is>
      </c>
      <c r="C1648" s="46" t="inlineStr">
        <is>
          <t>부천지역</t>
        </is>
      </c>
      <c r="D1648" s="46" t="inlineStr">
        <is>
          <t>부천지구축산업협동</t>
        </is>
      </c>
      <c r="E1648" s="46" t="inlineStr">
        <is>
          <t>300/145</t>
        </is>
      </c>
      <c r="F1648" s="46" t="inlineStr">
        <is>
          <t>소사동</t>
        </is>
      </c>
      <c r="G1648" s="50" t="n">
        <v>0.4166666666666667</v>
      </c>
      <c r="H1648" s="51" t="n">
        <v>911570</v>
      </c>
      <c r="I1648" s="46" t="inlineStr">
        <is>
          <t>서수형</t>
        </is>
      </c>
      <c r="K1648" s="46" t="n">
        <v>1647</v>
      </c>
      <c r="L1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9">
      <c r="A1649" s="229" t="n">
        <v>46158</v>
      </c>
      <c r="B1649" s="46" t="inlineStr">
        <is>
          <t>정기검사</t>
        </is>
      </c>
      <c r="C1649" s="46" t="inlineStr">
        <is>
          <t>부천지역</t>
        </is>
      </c>
      <c r="D1649" s="46" t="inlineStr">
        <is>
          <t>법조타운</t>
        </is>
      </c>
      <c r="E1649" s="46" t="inlineStr">
        <is>
          <t>900/250</t>
        </is>
      </c>
      <c r="F1649" s="46" t="inlineStr">
        <is>
          <t>상동</t>
        </is>
      </c>
      <c r="G1649" s="50" t="n">
        <v>0.3958333333333333</v>
      </c>
      <c r="H1649" s="51" t="n">
        <v>1408000</v>
      </c>
      <c r="I1649" s="46" t="inlineStr">
        <is>
          <t>민경수</t>
        </is>
      </c>
      <c r="K1649" s="46" t="n">
        <v>1648</v>
      </c>
      <c r="L1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0">
      <c r="A1650" s="229" t="n">
        <v>46158</v>
      </c>
      <c r="B1650" s="46" t="inlineStr">
        <is>
          <t>정기검사</t>
        </is>
      </c>
      <c r="C1650" s="46" t="inlineStr">
        <is>
          <t>부천지역</t>
        </is>
      </c>
      <c r="D1650" s="46" t="inlineStr">
        <is>
          <t>위브더</t>
        </is>
      </c>
      <c r="E1650" s="46" t="inlineStr">
        <is>
          <t>4000/900</t>
        </is>
      </c>
      <c r="F1650" s="46" t="inlineStr">
        <is>
          <t>중동</t>
        </is>
      </c>
      <c r="G1650" s="50" t="n">
        <v>0.2708333333333333</v>
      </c>
      <c r="H1650" s="51" t="n">
        <v>2193400</v>
      </c>
      <c r="I1650" s="46" t="inlineStr">
        <is>
          <t>민재홍</t>
        </is>
      </c>
      <c r="K1650" s="46" t="n">
        <v>1649</v>
      </c>
      <c r="L1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1">
      <c r="A1651" s="229" t="n">
        <v>46158</v>
      </c>
      <c r="B1651" s="46" t="inlineStr">
        <is>
          <t>정기검사</t>
        </is>
      </c>
      <c r="C1651" s="46" t="inlineStr">
        <is>
          <t>부천지역</t>
        </is>
      </c>
      <c r="D1651" s="46" t="inlineStr">
        <is>
          <t>위브더</t>
        </is>
      </c>
      <c r="E1651" s="46" t="inlineStr">
        <is>
          <t>전기차</t>
        </is>
      </c>
      <c r="F1651" s="46" t="inlineStr">
        <is>
          <t>중동</t>
        </is>
      </c>
      <c r="G1651" s="50" t="n">
        <v>0.5416666666666666</v>
      </c>
      <c r="H1651" s="51" t="n">
        <v>226600</v>
      </c>
      <c r="I1651" s="46" t="inlineStr">
        <is>
          <t>민경수</t>
        </is>
      </c>
      <c r="K1651" s="46" t="n">
        <v>1650</v>
      </c>
      <c r="L1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2">
      <c r="A1652" s="229" t="n">
        <v>46158</v>
      </c>
      <c r="B1652" s="46" t="inlineStr">
        <is>
          <t>정기검사</t>
        </is>
      </c>
      <c r="C1652" s="46" t="inlineStr">
        <is>
          <t>김포지역</t>
        </is>
      </c>
      <c r="D1652" s="46" t="inlineStr">
        <is>
          <t>아이에이치코리아</t>
        </is>
      </c>
      <c r="E1652" s="46" t="inlineStr">
        <is>
          <t>700/250</t>
        </is>
      </c>
      <c r="F1652" s="46" t="inlineStr">
        <is>
          <t>운양동</t>
        </is>
      </c>
      <c r="G1652" s="50" t="n">
        <v>0.3333333333333333</v>
      </c>
      <c r="H1652" s="51" t="n">
        <v>1319890</v>
      </c>
      <c r="I1652" s="46" t="inlineStr">
        <is>
          <t>정신배</t>
        </is>
      </c>
      <c r="K1652" s="46" t="n">
        <v>1651</v>
      </c>
      <c r="L1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3">
      <c r="A1653" s="229" t="n">
        <v>46158</v>
      </c>
      <c r="B1653" s="46" t="inlineStr">
        <is>
          <t>정기검사</t>
        </is>
      </c>
      <c r="C1653" s="46" t="inlineStr">
        <is>
          <t>김포지역</t>
        </is>
      </c>
      <c r="D1653" s="46" t="inlineStr">
        <is>
          <t>나리여성병원</t>
        </is>
      </c>
      <c r="E1653" s="46" t="inlineStr">
        <is>
          <t>400/105</t>
        </is>
      </c>
      <c r="F1653" s="46" t="inlineStr">
        <is>
          <t>사우동</t>
        </is>
      </c>
      <c r="G1653" s="50" t="n">
        <v>0.5833333333333334</v>
      </c>
      <c r="H1653" s="51" t="n">
        <v>1132010</v>
      </c>
      <c r="I1653" s="46" t="inlineStr">
        <is>
          <t>정성관</t>
        </is>
      </c>
      <c r="K1653" s="46" t="n">
        <v>1652</v>
      </c>
      <c r="L1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4">
      <c r="A1654" s="229" t="n">
        <v>46158</v>
      </c>
      <c r="B1654" s="46" t="inlineStr">
        <is>
          <t>사용전검사</t>
        </is>
      </c>
      <c r="C1654" s="46" t="inlineStr">
        <is>
          <t>부천지역</t>
        </is>
      </c>
      <c r="D1654" s="46" t="inlineStr">
        <is>
          <t>마린보이코다리</t>
        </is>
      </c>
      <c r="E1654" s="46" t="n">
        <v>133</v>
      </c>
      <c r="F1654" s="46" t="inlineStr">
        <is>
          <t>도당동</t>
        </is>
      </c>
      <c r="G1654" s="50" t="n"/>
      <c r="H1654" s="51" t="n"/>
      <c r="I1654" s="46" t="inlineStr">
        <is>
          <t>이덕기</t>
        </is>
      </c>
      <c r="K1654" s="46" t="n">
        <v>1653</v>
      </c>
      <c r="L1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5">
      <c r="A1655" s="229" t="n">
        <v>46158</v>
      </c>
      <c r="B1655" s="46" t="inlineStr">
        <is>
          <t>메모</t>
        </is>
      </c>
      <c r="C1655" s="46" t="inlineStr">
        <is>
          <t>부천지역</t>
        </is>
      </c>
      <c r="D1655" s="46" t="inlineStr">
        <is>
          <t>우승택휴가</t>
        </is>
      </c>
      <c r="E1655" s="46" t="n"/>
      <c r="F1655" s="46" t="n"/>
      <c r="G1655" s="50" t="n"/>
      <c r="H1655" s="51" t="n"/>
      <c r="I1655" s="46" t="n"/>
      <c r="K1655" s="46" t="n">
        <v>1654</v>
      </c>
      <c r="L1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6">
      <c r="A1656" s="229" t="n">
        <v>46158</v>
      </c>
      <c r="B1656" s="46" t="inlineStr">
        <is>
          <t>메모</t>
        </is>
      </c>
      <c r="C1656" s="46" t="inlineStr">
        <is>
          <t>부천지역</t>
        </is>
      </c>
      <c r="D1656" s="46" t="inlineStr">
        <is>
          <t>한태희휴가</t>
        </is>
      </c>
      <c r="E1656" s="46" t="n"/>
      <c r="F1656" s="46" t="n"/>
      <c r="G1656" s="50" t="n"/>
      <c r="H1656" s="51" t="n"/>
      <c r="I1656" s="46" t="n"/>
      <c r="K1656" s="46" t="n">
        <v>1655</v>
      </c>
      <c r="L1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7">
      <c r="A1657" s="229" t="n">
        <v>46158</v>
      </c>
      <c r="B1657" s="46" t="inlineStr">
        <is>
          <t>메모</t>
        </is>
      </c>
      <c r="C1657" s="46" t="inlineStr">
        <is>
          <t>부천지역</t>
        </is>
      </c>
      <c r="D1657" s="46" t="inlineStr">
        <is>
          <t>송두기휴가</t>
        </is>
      </c>
      <c r="E1657" s="46" t="n"/>
      <c r="F1657" s="46" t="n"/>
      <c r="G1657" s="50" t="n"/>
      <c r="H1657" s="51" t="n"/>
      <c r="I1657" s="46" t="n"/>
      <c r="K1657" s="46" t="n">
        <v>1656</v>
      </c>
      <c r="L1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8">
      <c r="A1658" s="229" t="n">
        <v>46159</v>
      </c>
      <c r="B1658" s="46" t="inlineStr">
        <is>
          <t>메모</t>
        </is>
      </c>
      <c r="C1658" s="46" t="inlineStr">
        <is>
          <t>부천지역</t>
        </is>
      </c>
      <c r="D1658" s="46" t="inlineStr">
        <is>
          <t>우승택휴가</t>
        </is>
      </c>
      <c r="E1658" s="46" t="n"/>
      <c r="F1658" s="46" t="n"/>
      <c r="G1658" s="50" t="n"/>
      <c r="H1658" s="51" t="n"/>
      <c r="I1658" s="46" t="n"/>
      <c r="K1658" s="46" t="n">
        <v>1657</v>
      </c>
      <c r="L1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9">
      <c r="A1659" s="229" t="n">
        <v>46159</v>
      </c>
      <c r="B1659" s="46" t="inlineStr">
        <is>
          <t>메모</t>
        </is>
      </c>
      <c r="C1659" s="46" t="inlineStr">
        <is>
          <t>부천지역</t>
        </is>
      </c>
      <c r="D1659" s="46" t="inlineStr">
        <is>
          <t>송두기휴가</t>
        </is>
      </c>
      <c r="E1659" s="46" t="n"/>
      <c r="F1659" s="46" t="n"/>
      <c r="G1659" s="50" t="n"/>
      <c r="H1659" s="51" t="n"/>
      <c r="I1659" s="46" t="n"/>
      <c r="K1659" s="46" t="n">
        <v>1658</v>
      </c>
      <c r="L1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0">
      <c r="A1660" s="229" t="n">
        <v>46160</v>
      </c>
      <c r="B1660" s="46" t="inlineStr">
        <is>
          <t>정기검사</t>
        </is>
      </c>
      <c r="C1660" s="46" t="inlineStr">
        <is>
          <t>부천지역</t>
        </is>
      </c>
      <c r="D1660" s="46" t="inlineStr">
        <is>
          <t>두진상가</t>
        </is>
      </c>
      <c r="E1660" s="46" t="inlineStr">
        <is>
          <t>999/450</t>
        </is>
      </c>
      <c r="F1660" s="46" t="inlineStr">
        <is>
          <t>괴안동</t>
        </is>
      </c>
      <c r="G1660" s="50" t="n">
        <v>0.6458333333333334</v>
      </c>
      <c r="H1660" s="51" t="n">
        <v>1152470</v>
      </c>
      <c r="I1660" s="46" t="inlineStr">
        <is>
          <t>민경수</t>
        </is>
      </c>
      <c r="K1660" s="46" t="n">
        <v>1659</v>
      </c>
      <c r="L1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1">
      <c r="A1661" s="229" t="n">
        <v>46160</v>
      </c>
      <c r="B1661" s="46" t="inlineStr">
        <is>
          <t>정기검사</t>
        </is>
      </c>
      <c r="C1661" s="46" t="inlineStr">
        <is>
          <t>부천지역</t>
        </is>
      </c>
      <c r="D1661" s="46" t="inlineStr">
        <is>
          <t>진원전자</t>
        </is>
      </c>
      <c r="E1661" s="46" t="n">
        <v>675</v>
      </c>
      <c r="F1661" s="46" t="inlineStr">
        <is>
          <t>내동</t>
        </is>
      </c>
      <c r="G1661" s="50" t="n">
        <v>0.5</v>
      </c>
      <c r="H1661" s="51" t="n">
        <v>796290</v>
      </c>
      <c r="I1661" s="46" t="inlineStr">
        <is>
          <t>김영권</t>
        </is>
      </c>
      <c r="K1661" s="46" t="n">
        <v>1660</v>
      </c>
      <c r="L1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2">
      <c r="A1662" s="229" t="n">
        <v>46160</v>
      </c>
      <c r="B1662" s="46" t="inlineStr">
        <is>
          <t>정기검사</t>
        </is>
      </c>
      <c r="C1662" s="46" t="inlineStr">
        <is>
          <t>부천지역</t>
        </is>
      </c>
      <c r="D1662" s="46" t="inlineStr">
        <is>
          <t>금호프라자</t>
        </is>
      </c>
      <c r="E1662" s="46" t="inlineStr">
        <is>
          <t>750/273</t>
        </is>
      </c>
      <c r="F1662" s="46" t="inlineStr">
        <is>
          <t>중동</t>
        </is>
      </c>
      <c r="G1662" s="50" t="n">
        <v>0.2916666666666667</v>
      </c>
      <c r="H1662" s="51" t="n">
        <v>1350800</v>
      </c>
      <c r="I1662" s="46" t="inlineStr">
        <is>
          <t>김영권</t>
        </is>
      </c>
      <c r="K1662" s="46" t="n">
        <v>1661</v>
      </c>
      <c r="L1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3">
      <c r="A1663" s="229" t="n">
        <v>46160</v>
      </c>
      <c r="B1663" s="46" t="inlineStr">
        <is>
          <t>정기검사</t>
        </is>
      </c>
      <c r="C1663" s="46" t="inlineStr">
        <is>
          <t>부천지역</t>
        </is>
      </c>
      <c r="D1663" s="46" t="inlineStr">
        <is>
          <t>유니환경</t>
        </is>
      </c>
      <c r="E1663" s="46" t="n">
        <v>400</v>
      </c>
      <c r="F1663" s="46" t="inlineStr">
        <is>
          <t>내동</t>
        </is>
      </c>
      <c r="G1663" s="50" t="n">
        <v>0.5</v>
      </c>
      <c r="H1663" s="51" t="n">
        <v>703120</v>
      </c>
      <c r="I1663" s="46" t="inlineStr">
        <is>
          <t>송낙명</t>
        </is>
      </c>
      <c r="K1663" s="46" t="n">
        <v>1662</v>
      </c>
      <c r="L1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4">
      <c r="A1664" s="229" t="n">
        <v>46160</v>
      </c>
      <c r="B1664" s="46" t="inlineStr">
        <is>
          <t>정기검사</t>
        </is>
      </c>
      <c r="C1664" s="46" t="inlineStr">
        <is>
          <t>부천지역</t>
        </is>
      </c>
      <c r="D1664" s="46" t="inlineStr">
        <is>
          <t>한국에스지아이</t>
        </is>
      </c>
      <c r="E1664" s="46" t="inlineStr">
        <is>
          <t>250/91</t>
        </is>
      </c>
      <c r="F1664" s="46" t="inlineStr">
        <is>
          <t>소사동</t>
        </is>
      </c>
      <c r="G1664" s="50" t="n">
        <v>0.4375</v>
      </c>
      <c r="H1664" s="51" t="n">
        <v>652740</v>
      </c>
      <c r="I1664" s="46" t="inlineStr">
        <is>
          <t>송낙명</t>
        </is>
      </c>
      <c r="K1664" s="46" t="n">
        <v>1663</v>
      </c>
      <c r="L1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5">
      <c r="A1665" s="229" t="n">
        <v>46160</v>
      </c>
      <c r="B1665" s="46" t="inlineStr">
        <is>
          <t>정기검사</t>
        </is>
      </c>
      <c r="C1665" s="46" t="inlineStr">
        <is>
          <t>부천지역</t>
        </is>
      </c>
      <c r="D1665" s="46" t="inlineStr">
        <is>
          <t>경덕금속</t>
        </is>
      </c>
      <c r="E1665" s="46" t="n">
        <v>290</v>
      </c>
      <c r="F1665" s="46" t="inlineStr">
        <is>
          <t>도당동</t>
        </is>
      </c>
      <c r="G1665" s="50" t="n">
        <v>0.5</v>
      </c>
      <c r="H1665" s="51" t="n">
        <v>515130</v>
      </c>
      <c r="I1665" s="46" t="inlineStr">
        <is>
          <t>민재홍</t>
        </is>
      </c>
      <c r="K1665" s="46" t="n">
        <v>1664</v>
      </c>
      <c r="L1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6">
      <c r="A1666" s="229" t="n">
        <v>46160</v>
      </c>
      <c r="B1666" s="46" t="inlineStr">
        <is>
          <t>정기검사</t>
        </is>
      </c>
      <c r="C1666" s="46" t="inlineStr">
        <is>
          <t>김포지역</t>
        </is>
      </c>
      <c r="D1666" s="46" t="inlineStr">
        <is>
          <t>임정</t>
        </is>
      </c>
      <c r="E1666" s="46" t="n">
        <v>200</v>
      </c>
      <c r="F1666" s="46" t="inlineStr">
        <is>
          <t>쇄암리</t>
        </is>
      </c>
      <c r="G1666" s="50" t="n">
        <v>0.4791666666666667</v>
      </c>
      <c r="H1666" s="51" t="n">
        <v>456720</v>
      </c>
      <c r="I1666" s="46" t="inlineStr">
        <is>
          <t>이종석</t>
        </is>
      </c>
      <c r="K1666" s="46" t="n">
        <v>1665</v>
      </c>
      <c r="L1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7">
      <c r="A1667" s="229" t="n">
        <v>46160</v>
      </c>
      <c r="B1667" s="46" t="inlineStr">
        <is>
          <t>정기검사</t>
        </is>
      </c>
      <c r="C1667" s="46" t="inlineStr">
        <is>
          <t>김포지역</t>
        </is>
      </c>
      <c r="D1667" s="46" t="inlineStr">
        <is>
          <t>대경인쇄</t>
        </is>
      </c>
      <c r="E1667" s="46" t="n">
        <v>400</v>
      </c>
      <c r="F1667" s="46" t="inlineStr">
        <is>
          <t>귀전리</t>
        </is>
      </c>
      <c r="G1667" s="50" t="n">
        <v>0.3958333333333333</v>
      </c>
      <c r="H1667" s="51" t="n">
        <v>703120</v>
      </c>
      <c r="I1667" s="46" t="inlineStr">
        <is>
          <t>한태희</t>
        </is>
      </c>
      <c r="K1667" s="46" t="n">
        <v>1666</v>
      </c>
      <c r="L1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8">
      <c r="A1668" s="229" t="n">
        <v>46160</v>
      </c>
      <c r="B1668" s="46" t="inlineStr">
        <is>
          <t>정기검사</t>
        </is>
      </c>
      <c r="C1668" s="46" t="inlineStr">
        <is>
          <t>김포지역</t>
        </is>
      </c>
      <c r="D1668" s="46" t="inlineStr">
        <is>
          <t>대원진공열처리</t>
        </is>
      </c>
      <c r="E1668" s="46" t="n">
        <v>990</v>
      </c>
      <c r="F1668" s="46" t="inlineStr">
        <is>
          <t>학운리</t>
        </is>
      </c>
      <c r="G1668" s="50" t="n">
        <v>0.3958333333333333</v>
      </c>
      <c r="H1668" s="51" t="n">
        <v>902990</v>
      </c>
      <c r="I1668" s="46" t="inlineStr">
        <is>
          <t>서수형</t>
        </is>
      </c>
      <c r="K1668" s="46" t="n">
        <v>1667</v>
      </c>
      <c r="L1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9">
      <c r="A1669" s="229" t="n">
        <v>46160</v>
      </c>
      <c r="B1669" s="46" t="inlineStr">
        <is>
          <t>정기검사</t>
        </is>
      </c>
      <c r="C1669" s="46" t="inlineStr">
        <is>
          <t>김포지역</t>
        </is>
      </c>
      <c r="D1669" s="46" t="inlineStr">
        <is>
          <t>보경산업</t>
        </is>
      </c>
      <c r="E1669" s="46" t="n">
        <v>100</v>
      </c>
      <c r="F1669" s="46" t="inlineStr">
        <is>
          <t>옹정리</t>
        </is>
      </c>
      <c r="G1669" s="50" t="n">
        <v>0.4791666666666667</v>
      </c>
      <c r="H1669" s="51" t="n">
        <v>391710</v>
      </c>
      <c r="I1669" s="46" t="inlineStr">
        <is>
          <t>정성관</t>
        </is>
      </c>
      <c r="K1669" s="46" t="n">
        <v>1668</v>
      </c>
      <c r="L1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0">
      <c r="A1670" s="229" t="n">
        <v>46160</v>
      </c>
      <c r="B1670" s="46" t="inlineStr">
        <is>
          <t>정기검사</t>
        </is>
      </c>
      <c r="C1670" s="46" t="inlineStr">
        <is>
          <t>김포지역</t>
        </is>
      </c>
      <c r="D1670" s="46" t="inlineStr">
        <is>
          <t>신성특수고무</t>
        </is>
      </c>
      <c r="E1670" s="46" t="n">
        <v>200</v>
      </c>
      <c r="F1670" s="46" t="inlineStr">
        <is>
          <t>학운리</t>
        </is>
      </c>
      <c r="G1670" s="50" t="n">
        <v>0.5208333333333334</v>
      </c>
      <c r="H1670" s="51" t="n">
        <v>456720</v>
      </c>
      <c r="I1670" s="46" t="inlineStr">
        <is>
          <t>이덕기</t>
        </is>
      </c>
      <c r="K1670" s="46" t="n">
        <v>1669</v>
      </c>
      <c r="L1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1">
      <c r="A1671" s="229" t="n">
        <v>46160</v>
      </c>
      <c r="B1671" s="46" t="inlineStr">
        <is>
          <t>정기검사</t>
        </is>
      </c>
      <c r="C1671" s="46" t="inlineStr">
        <is>
          <t>김포지역</t>
        </is>
      </c>
      <c r="D1671" s="46" t="inlineStr">
        <is>
          <t>김포소방서</t>
        </is>
      </c>
      <c r="E1671" s="46" t="n">
        <v>30</v>
      </c>
      <c r="F1671" s="46" t="inlineStr">
        <is>
          <t>걸포동</t>
        </is>
      </c>
      <c r="G1671" s="50" t="n">
        <v>0.3958333333333333</v>
      </c>
      <c r="H1671" s="51" t="n">
        <v>183040</v>
      </c>
      <c r="I1671" s="46" t="inlineStr">
        <is>
          <t>이종석</t>
        </is>
      </c>
      <c r="K1671" s="46" t="n">
        <v>1670</v>
      </c>
      <c r="L1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2">
      <c r="A1672" s="229" t="n">
        <v>46160</v>
      </c>
      <c r="B1672" s="46" t="inlineStr">
        <is>
          <t>정기검사</t>
        </is>
      </c>
      <c r="C1672" s="46" t="inlineStr">
        <is>
          <t>김포지역</t>
        </is>
      </c>
      <c r="D1672" s="46" t="inlineStr">
        <is>
          <t>양지엔터프라이즈</t>
        </is>
      </c>
      <c r="E1672" s="46" t="n">
        <v>500</v>
      </c>
      <c r="F1672" s="46" t="inlineStr">
        <is>
          <t>고촌</t>
        </is>
      </c>
      <c r="G1672" s="50" t="n">
        <v>0.6041666666666666</v>
      </c>
      <c r="H1672" s="51" t="n">
        <v>737000</v>
      </c>
      <c r="I1672" s="46" t="inlineStr">
        <is>
          <t>허창수</t>
        </is>
      </c>
      <c r="K1672" s="46" t="n">
        <v>1671</v>
      </c>
      <c r="L1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3">
      <c r="A1673" s="229" t="n">
        <v>46160</v>
      </c>
      <c r="B1673" s="46" t="inlineStr">
        <is>
          <t>정기검사</t>
        </is>
      </c>
      <c r="C1673" s="46" t="inlineStr">
        <is>
          <t>김포지역</t>
        </is>
      </c>
      <c r="D1673" s="46" t="inlineStr">
        <is>
          <t>나잇스</t>
        </is>
      </c>
      <c r="E1673" s="46" t="inlineStr">
        <is>
          <t>전기차</t>
        </is>
      </c>
      <c r="F1673" s="46" t="inlineStr">
        <is>
          <t>풍무동</t>
        </is>
      </c>
      <c r="G1673" s="50" t="n">
        <v>0.625</v>
      </c>
      <c r="H1673" s="51" t="n">
        <v>55770</v>
      </c>
      <c r="I1673" s="46" t="inlineStr">
        <is>
          <t>이덕기</t>
        </is>
      </c>
      <c r="K1673" s="46" t="n">
        <v>1672</v>
      </c>
      <c r="L1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4">
      <c r="A1674" s="229" t="n">
        <v>46160</v>
      </c>
      <c r="B1674" s="46" t="inlineStr">
        <is>
          <t>사용전검사</t>
        </is>
      </c>
      <c r="C1674" s="46" t="inlineStr">
        <is>
          <t>부천지역</t>
        </is>
      </c>
      <c r="D1674" s="46" t="inlineStr">
        <is>
          <t>이마트24시</t>
        </is>
      </c>
      <c r="E1674" s="46" t="n">
        <v>22</v>
      </c>
      <c r="F1674" s="46" t="inlineStr">
        <is>
          <t>원종동</t>
        </is>
      </c>
      <c r="G1674" s="50" t="n"/>
      <c r="H1674" s="51" t="n"/>
      <c r="I1674" s="46" t="inlineStr">
        <is>
          <t>민재홍</t>
        </is>
      </c>
      <c r="K1674" s="46" t="n">
        <v>1673</v>
      </c>
      <c r="L1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5">
      <c r="A1675" s="229" t="n">
        <v>46160</v>
      </c>
      <c r="B1675" s="46" t="inlineStr">
        <is>
          <t>사용전검사</t>
        </is>
      </c>
      <c r="C1675" s="46" t="inlineStr">
        <is>
          <t>부천지역</t>
        </is>
      </c>
      <c r="D1675" s="46" t="inlineStr">
        <is>
          <t>송두기휴가</t>
        </is>
      </c>
      <c r="E1675" s="46" t="inlineStr">
        <is>
          <t>김영권</t>
        </is>
      </c>
      <c r="F1675" s="46" t="inlineStr">
        <is>
          <t>송낙명-김영권</t>
        </is>
      </c>
      <c r="G1675" s="50" t="n"/>
      <c r="H1675" s="51" t="n"/>
      <c r="I1675" s="46" t="n"/>
      <c r="K1675" s="46" t="n">
        <v>1674</v>
      </c>
      <c r="L1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6">
      <c r="A1676" s="229" t="n">
        <v>46160</v>
      </c>
      <c r="B1676" s="46" t="inlineStr">
        <is>
          <t>사용전검사</t>
        </is>
      </c>
      <c r="C1676" s="46" t="inlineStr">
        <is>
          <t>부천지역</t>
        </is>
      </c>
      <c r="D1676" s="46" t="inlineStr">
        <is>
          <t>정신배휴가</t>
        </is>
      </c>
      <c r="E1676" s="46" t="inlineStr">
        <is>
          <t>정성관</t>
        </is>
      </c>
      <c r="F1676" s="46" t="inlineStr">
        <is>
          <t>정성관-한태희</t>
        </is>
      </c>
      <c r="G1676" s="50" t="n"/>
      <c r="H1676" s="51" t="n"/>
      <c r="I1676" s="46" t="n"/>
      <c r="K1676" s="46" t="n">
        <v>1675</v>
      </c>
      <c r="L1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7">
      <c r="A1677" s="229" t="n">
        <v>46160</v>
      </c>
      <c r="B1677" s="46" t="inlineStr">
        <is>
          <t>메모</t>
        </is>
      </c>
      <c r="C1677" s="46" t="inlineStr">
        <is>
          <t>부천지역</t>
        </is>
      </c>
      <c r="D1677" s="46" t="inlineStr">
        <is>
          <t>우승택휴가</t>
        </is>
      </c>
      <c r="E1677" s="46" t="inlineStr">
        <is>
          <t>한태희</t>
        </is>
      </c>
      <c r="F1677" s="46" t="n"/>
      <c r="G1677" s="50" t="n"/>
      <c r="H1677" s="51" t="n"/>
      <c r="I1677" s="46" t="n"/>
      <c r="K1677" s="46" t="n">
        <v>1676</v>
      </c>
      <c r="L1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8">
      <c r="A1678" s="229" t="n">
        <v>46160</v>
      </c>
      <c r="B1678" s="46" t="inlineStr">
        <is>
          <t>사용전검사</t>
        </is>
      </c>
      <c r="C1678" s="46" t="inlineStr">
        <is>
          <t>김포지역</t>
        </is>
      </c>
      <c r="D1678" s="46" t="inlineStr">
        <is>
          <t>태성케미칼</t>
        </is>
      </c>
      <c r="E1678" s="46" t="n">
        <v>101</v>
      </c>
      <c r="F1678" s="46" t="inlineStr">
        <is>
          <t>구래리</t>
        </is>
      </c>
      <c r="G1678" s="50" t="n"/>
      <c r="H1678" s="51" t="n"/>
      <c r="I1678" s="46" t="inlineStr">
        <is>
          <t>허창수</t>
        </is>
      </c>
      <c r="K1678" s="46" t="n">
        <v>1677</v>
      </c>
      <c r="L1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9">
      <c r="A1679" s="229" t="n">
        <v>46160</v>
      </c>
      <c r="B1679" s="46" t="inlineStr">
        <is>
          <t>사용전검사</t>
        </is>
      </c>
      <c r="C1679" s="46" t="inlineStr">
        <is>
          <t>김포지역</t>
        </is>
      </c>
      <c r="D1679" s="46" t="inlineStr">
        <is>
          <t>한강농장</t>
        </is>
      </c>
      <c r="E1679" s="46" t="n">
        <v>149</v>
      </c>
      <c r="F1679" s="46" t="inlineStr">
        <is>
          <t>시암리</t>
        </is>
      </c>
      <c r="G1679" s="50" t="n"/>
      <c r="H1679" s="51" t="n"/>
      <c r="I1679" s="46" t="inlineStr">
        <is>
          <t>한태희</t>
        </is>
      </c>
      <c r="K1679" s="46" t="n">
        <v>1678</v>
      </c>
      <c r="L1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0">
      <c r="A1680" s="229" t="n">
        <v>46161</v>
      </c>
      <c r="B1680" s="46" t="inlineStr">
        <is>
          <t>정기검사</t>
        </is>
      </c>
      <c r="C1680" s="46" t="inlineStr">
        <is>
          <t>부천지역</t>
        </is>
      </c>
      <c r="D1680" s="46" t="inlineStr">
        <is>
          <t>씨티에스시스템</t>
        </is>
      </c>
      <c r="E1680" s="46" t="n">
        <v>290</v>
      </c>
      <c r="F1680" s="46" t="inlineStr">
        <is>
          <t>도당동</t>
        </is>
      </c>
      <c r="G1680" s="50" t="n">
        <v>0.4166666666666667</v>
      </c>
      <c r="H1680" s="51" t="n">
        <v>515130</v>
      </c>
      <c r="I1680" s="46" t="inlineStr">
        <is>
          <t>송낙명</t>
        </is>
      </c>
      <c r="K1680" s="46" t="n">
        <v>1679</v>
      </c>
      <c r="L1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1">
      <c r="A1681" s="229" t="n">
        <v>46161</v>
      </c>
      <c r="B1681" s="46" t="inlineStr">
        <is>
          <t>정기검사</t>
        </is>
      </c>
      <c r="C1681" s="46" t="inlineStr">
        <is>
          <t>부천지역</t>
        </is>
      </c>
      <c r="D1681" s="46" t="inlineStr">
        <is>
          <t>뉴서울상가</t>
        </is>
      </c>
      <c r="E1681" s="46" t="n">
        <v>400</v>
      </c>
      <c r="F1681" s="46" t="inlineStr">
        <is>
          <t>중동</t>
        </is>
      </c>
      <c r="G1681" s="50" t="n">
        <v>0.3958333333333333</v>
      </c>
      <c r="H1681" s="51" t="n">
        <v>860090</v>
      </c>
      <c r="I1681" s="46" t="inlineStr">
        <is>
          <t>송낙명</t>
        </is>
      </c>
      <c r="K1681" s="46" t="n">
        <v>1680</v>
      </c>
      <c r="L1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2">
      <c r="A1682" s="229" t="n">
        <v>46161</v>
      </c>
      <c r="B1682" s="46" t="inlineStr">
        <is>
          <t>정기검사</t>
        </is>
      </c>
      <c r="C1682" s="46" t="inlineStr">
        <is>
          <t>부천지역</t>
        </is>
      </c>
      <c r="D1682" s="46" t="inlineStr">
        <is>
          <t>시디피우정</t>
        </is>
      </c>
      <c r="E1682" s="46" t="n">
        <v>500</v>
      </c>
      <c r="F1682" s="46" t="inlineStr">
        <is>
          <t>내동</t>
        </is>
      </c>
      <c r="G1682" s="50" t="n">
        <v>0.5</v>
      </c>
      <c r="H1682" s="51" t="n">
        <v>737000</v>
      </c>
      <c r="I1682" s="46" t="inlineStr">
        <is>
          <t>송낙명</t>
        </is>
      </c>
      <c r="K1682" s="46" t="n">
        <v>1681</v>
      </c>
      <c r="L1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3">
      <c r="A1683" s="229" t="n">
        <v>46161</v>
      </c>
      <c r="B1683" s="46" t="inlineStr">
        <is>
          <t>정기검사</t>
        </is>
      </c>
      <c r="C1683" s="46" t="inlineStr">
        <is>
          <t>부천지역</t>
        </is>
      </c>
      <c r="D1683" s="46" t="inlineStr">
        <is>
          <t>두리식품</t>
        </is>
      </c>
      <c r="E1683" s="46" t="n">
        <v>280</v>
      </c>
      <c r="F1683" s="46" t="inlineStr">
        <is>
          <t>도당동</t>
        </is>
      </c>
      <c r="G1683" s="50" t="n">
        <v>0.5</v>
      </c>
      <c r="H1683" s="51" t="n">
        <v>508640</v>
      </c>
      <c r="I1683" s="46" t="inlineStr">
        <is>
          <t>이종석</t>
        </is>
      </c>
      <c r="K1683" s="46" t="n">
        <v>1682</v>
      </c>
      <c r="L1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4">
      <c r="A1684" s="229" t="n">
        <v>46161</v>
      </c>
      <c r="B1684" s="46" t="inlineStr">
        <is>
          <t>정기검사</t>
        </is>
      </c>
      <c r="C1684" s="46" t="inlineStr">
        <is>
          <t>부천지역</t>
        </is>
      </c>
      <c r="D1684" s="46" t="inlineStr">
        <is>
          <t>국일사</t>
        </is>
      </c>
      <c r="E1684" s="46" t="n">
        <v>150</v>
      </c>
      <c r="F1684" s="46" t="inlineStr">
        <is>
          <t>내동</t>
        </is>
      </c>
      <c r="G1684" s="50" t="n">
        <v>0.5416666666666666</v>
      </c>
      <c r="H1684" s="51" t="n">
        <v>424160</v>
      </c>
      <c r="I1684" s="46" t="inlineStr">
        <is>
          <t>이종석</t>
        </is>
      </c>
      <c r="K1684" s="46" t="n">
        <v>1683</v>
      </c>
      <c r="L1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5">
      <c r="A1685" s="229" t="n">
        <v>46161</v>
      </c>
      <c r="B1685" s="46" t="inlineStr">
        <is>
          <t>정기검사</t>
        </is>
      </c>
      <c r="C1685" s="46" t="inlineStr">
        <is>
          <t>부천지역</t>
        </is>
      </c>
      <c r="D1685" s="46" t="inlineStr">
        <is>
          <t>두리마이텍</t>
        </is>
      </c>
      <c r="E1685" s="46" t="n">
        <v>430</v>
      </c>
      <c r="F1685" s="46" t="inlineStr">
        <is>
          <t>상동</t>
        </is>
      </c>
      <c r="G1685" s="50" t="n">
        <v>0.5208333333333334</v>
      </c>
      <c r="H1685" s="51" t="n">
        <v>713240</v>
      </c>
      <c r="I1685" s="46" t="inlineStr">
        <is>
          <t>정신배</t>
        </is>
      </c>
      <c r="K1685" s="46" t="n">
        <v>1684</v>
      </c>
      <c r="L1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6">
      <c r="A1686" s="229" t="n">
        <v>46161</v>
      </c>
      <c r="B1686" s="46" t="inlineStr">
        <is>
          <t>정기검사</t>
        </is>
      </c>
      <c r="C1686" s="46" t="inlineStr">
        <is>
          <t>부천지역</t>
        </is>
      </c>
      <c r="D1686" s="46" t="inlineStr">
        <is>
          <t>두풍리치빌</t>
        </is>
      </c>
      <c r="E1686" s="46" t="inlineStr">
        <is>
          <t>400/115</t>
        </is>
      </c>
      <c r="F1686" s="46" t="inlineStr">
        <is>
          <t>송내동</t>
        </is>
      </c>
      <c r="G1686" s="50" t="n">
        <v>0.4166666666666667</v>
      </c>
      <c r="H1686" s="51" t="n">
        <v>870760</v>
      </c>
      <c r="I1686" s="46" t="inlineStr">
        <is>
          <t>정성관</t>
        </is>
      </c>
      <c r="K1686" s="46" t="n">
        <v>1685</v>
      </c>
      <c r="L1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7">
      <c r="A1687" s="229" t="n">
        <v>46161</v>
      </c>
      <c r="B1687" s="46" t="inlineStr">
        <is>
          <t>정기검사</t>
        </is>
      </c>
      <c r="C1687" s="46" t="inlineStr">
        <is>
          <t>부천지역</t>
        </is>
      </c>
      <c r="D1687" s="46" t="inlineStr">
        <is>
          <t>국천빌딩</t>
        </is>
      </c>
      <c r="E1687" s="46" t="inlineStr">
        <is>
          <t>800/182</t>
        </is>
      </c>
      <c r="F1687" s="46" t="inlineStr">
        <is>
          <t>상동</t>
        </is>
      </c>
      <c r="G1687" s="50" t="n">
        <v>0.3958333333333333</v>
      </c>
      <c r="H1687" s="51" t="n">
        <v>1029050</v>
      </c>
      <c r="I1687" s="46" t="inlineStr">
        <is>
          <t>허창수</t>
        </is>
      </c>
      <c r="K1687" s="46" t="n">
        <v>1686</v>
      </c>
      <c r="L1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8">
      <c r="A1688" s="229" t="n">
        <v>46161</v>
      </c>
      <c r="B1688" s="46" t="inlineStr">
        <is>
          <t>정기검사</t>
        </is>
      </c>
      <c r="C1688" s="46" t="inlineStr">
        <is>
          <t>부천지역</t>
        </is>
      </c>
      <c r="D1688" s="46" t="inlineStr">
        <is>
          <t>국천빌딩</t>
        </is>
      </c>
      <c r="E1688" s="46" t="inlineStr">
        <is>
          <t>전기차</t>
        </is>
      </c>
      <c r="F1688" s="46" t="inlineStr">
        <is>
          <t>상동</t>
        </is>
      </c>
      <c r="G1688" s="50" t="n">
        <v>0.3958333333333333</v>
      </c>
      <c r="H1688" s="51" t="n">
        <v>81180</v>
      </c>
      <c r="I1688" s="46" t="inlineStr">
        <is>
          <t>허창수</t>
        </is>
      </c>
      <c r="K1688" s="46" t="n">
        <v>1687</v>
      </c>
      <c r="L1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9">
      <c r="A1689" s="229" t="n">
        <v>46161</v>
      </c>
      <c r="B1689" s="46" t="inlineStr">
        <is>
          <t>정기검사</t>
        </is>
      </c>
      <c r="C1689" s="46" t="inlineStr">
        <is>
          <t>김포지역</t>
        </is>
      </c>
      <c r="D1689" s="46" t="inlineStr">
        <is>
          <t>지원에셋플러스</t>
        </is>
      </c>
      <c r="E1689" s="46" t="inlineStr">
        <is>
          <t>750/200</t>
        </is>
      </c>
      <c r="F1689" s="46" t="inlineStr">
        <is>
          <t>구래동</t>
        </is>
      </c>
      <c r="G1689" s="50" t="n">
        <v>0.3958333333333333</v>
      </c>
      <c r="H1689" s="51" t="n">
        <v>1017500</v>
      </c>
      <c r="I1689" s="46" t="inlineStr">
        <is>
          <t>한태희</t>
        </is>
      </c>
      <c r="K1689" s="46" t="n">
        <v>1688</v>
      </c>
      <c r="L1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0">
      <c r="A1690" s="229" t="n">
        <v>46161</v>
      </c>
      <c r="B1690" s="46" t="inlineStr">
        <is>
          <t>정기검사</t>
        </is>
      </c>
      <c r="C1690" s="46" t="inlineStr">
        <is>
          <t>김포지역</t>
        </is>
      </c>
      <c r="D1690" s="46" t="inlineStr">
        <is>
          <t>천승실업</t>
        </is>
      </c>
      <c r="E1690" s="46" t="n">
        <v>200</v>
      </c>
      <c r="F1690" s="46" t="inlineStr">
        <is>
          <t>고양리</t>
        </is>
      </c>
      <c r="G1690" s="50" t="n">
        <v>0.4791666666666667</v>
      </c>
      <c r="H1690" s="51" t="n">
        <v>456720</v>
      </c>
      <c r="I1690" s="46" t="inlineStr">
        <is>
          <t>서수형</t>
        </is>
      </c>
      <c r="K1690" s="46" t="n">
        <v>1689</v>
      </c>
      <c r="L1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1">
      <c r="A1691" s="229" t="n">
        <v>46161</v>
      </c>
      <c r="B1691" s="46" t="inlineStr">
        <is>
          <t>정기검사</t>
        </is>
      </c>
      <c r="C1691" s="46" t="inlineStr">
        <is>
          <t>김포지역</t>
        </is>
      </c>
      <c r="D1691" s="46" t="inlineStr">
        <is>
          <t>태운태양광</t>
        </is>
      </c>
      <c r="E1691" s="46" t="n">
        <v>81</v>
      </c>
      <c r="F1691" s="46" t="inlineStr">
        <is>
          <t>거물대리</t>
        </is>
      </c>
      <c r="G1691" s="50" t="n">
        <v>0.4583333333333333</v>
      </c>
      <c r="H1691" s="51" t="n">
        <v>236610</v>
      </c>
      <c r="I1691" s="46" t="inlineStr">
        <is>
          <t>송두기</t>
        </is>
      </c>
      <c r="K1691" s="46" t="n">
        <v>1690</v>
      </c>
      <c r="L1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2">
      <c r="A1692" s="229" t="n">
        <v>46161</v>
      </c>
      <c r="B1692" s="46" t="inlineStr">
        <is>
          <t>정기검사</t>
        </is>
      </c>
      <c r="C1692" s="46" t="inlineStr">
        <is>
          <t>김포지역</t>
        </is>
      </c>
      <c r="D1692" s="46" t="inlineStr">
        <is>
          <t>한강호반베르디움</t>
        </is>
      </c>
      <c r="E1692" s="46" t="inlineStr">
        <is>
          <t>4850/1409</t>
        </is>
      </c>
      <c r="F1692" s="46" t="inlineStr">
        <is>
          <t>장기동</t>
        </is>
      </c>
      <c r="G1692" s="50" t="n">
        <v>0.4166666666666667</v>
      </c>
      <c r="H1692" s="51" t="n">
        <v>2135980</v>
      </c>
      <c r="I1692" s="46" t="inlineStr">
        <is>
          <t>민재홍</t>
        </is>
      </c>
      <c r="K1692" s="46" t="n">
        <v>1691</v>
      </c>
      <c r="L1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3">
      <c r="A1693" s="229" t="n">
        <v>46161</v>
      </c>
      <c r="B1693" s="46" t="inlineStr">
        <is>
          <t>정기검사</t>
        </is>
      </c>
      <c r="C1693" s="46" t="inlineStr">
        <is>
          <t>김포지역</t>
        </is>
      </c>
      <c r="D1693" s="46" t="inlineStr">
        <is>
          <t>골드로거성</t>
        </is>
      </c>
      <c r="E1693" s="46" t="n">
        <v>150</v>
      </c>
      <c r="F1693" s="46" t="inlineStr">
        <is>
          <t>대명리</t>
        </is>
      </c>
      <c r="G1693" s="50" t="n">
        <v>0.5625</v>
      </c>
      <c r="H1693" s="51" t="n">
        <v>424160</v>
      </c>
      <c r="I1693" s="46" t="inlineStr">
        <is>
          <t>한태희</t>
        </is>
      </c>
      <c r="K1693" s="46" t="n">
        <v>1692</v>
      </c>
      <c r="L1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4">
      <c r="A1694" s="229" t="n">
        <v>46161</v>
      </c>
      <c r="B1694" s="46" t="inlineStr">
        <is>
          <t>정기검사</t>
        </is>
      </c>
      <c r="C1694" s="46" t="inlineStr">
        <is>
          <t>김포지역</t>
        </is>
      </c>
      <c r="D1694" s="46" t="inlineStr">
        <is>
          <t>호반</t>
        </is>
      </c>
      <c r="E1694" s="46" t="inlineStr">
        <is>
          <t>전기차</t>
        </is>
      </c>
      <c r="F1694" s="46" t="inlineStr">
        <is>
          <t>장기동</t>
        </is>
      </c>
      <c r="G1694" s="50" t="n"/>
      <c r="H1694" s="51" t="n">
        <v>132000</v>
      </c>
      <c r="I1694" s="46" t="inlineStr">
        <is>
          <t>민재홍</t>
        </is>
      </c>
      <c r="K1694" s="46" t="n">
        <v>1693</v>
      </c>
      <c r="L1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5">
      <c r="A1695" s="229" t="n">
        <v>46161</v>
      </c>
      <c r="B1695" s="46" t="inlineStr">
        <is>
          <t>정기검사</t>
        </is>
      </c>
      <c r="C1695" s="46" t="inlineStr">
        <is>
          <t>김포지역</t>
        </is>
      </c>
      <c r="D1695" s="46" t="inlineStr">
        <is>
          <t>그랜드타워</t>
        </is>
      </c>
      <c r="E1695" s="46" t="inlineStr">
        <is>
          <t>전기차</t>
        </is>
      </c>
      <c r="F1695" s="46" t="inlineStr">
        <is>
          <t>운양동</t>
        </is>
      </c>
      <c r="G1695" s="50" t="n">
        <v>0.5625</v>
      </c>
      <c r="H1695" s="51" t="n">
        <v>64240</v>
      </c>
      <c r="I1695" s="46" t="inlineStr">
        <is>
          <t>민경수</t>
        </is>
      </c>
      <c r="K1695" s="46" t="n">
        <v>1694</v>
      </c>
      <c r="L1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6">
      <c r="A1696" s="229" t="n">
        <v>46161</v>
      </c>
      <c r="B1696" s="46" t="inlineStr">
        <is>
          <t>정기검사</t>
        </is>
      </c>
      <c r="C1696" s="46" t="inlineStr">
        <is>
          <t>김포지역</t>
        </is>
      </c>
      <c r="D1696" s="46" t="inlineStr">
        <is>
          <t>난초</t>
        </is>
      </c>
      <c r="E1696" s="46" t="n">
        <v>29</v>
      </c>
      <c r="F1696" s="46" t="inlineStr">
        <is>
          <t>군하로</t>
        </is>
      </c>
      <c r="G1696" s="50" t="n">
        <v>0.625</v>
      </c>
      <c r="H1696" s="51" t="n">
        <v>182050</v>
      </c>
      <c r="I1696" s="46" t="inlineStr">
        <is>
          <t>이덕기</t>
        </is>
      </c>
      <c r="K1696" s="46" t="n">
        <v>1695</v>
      </c>
      <c r="L1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7">
      <c r="A1697" s="229" t="n">
        <v>46161</v>
      </c>
      <c r="B1697" s="46" t="inlineStr">
        <is>
          <t>정기검사</t>
        </is>
      </c>
      <c r="C1697" s="46" t="inlineStr">
        <is>
          <t>김포지역</t>
        </is>
      </c>
      <c r="D1697" s="46" t="inlineStr">
        <is>
          <t>가원</t>
        </is>
      </c>
      <c r="E1697" s="46" t="n">
        <v>29</v>
      </c>
      <c r="F1697" s="46" t="inlineStr">
        <is>
          <t>군하로</t>
        </is>
      </c>
      <c r="G1697" s="50" t="n">
        <v>0.6041666666666666</v>
      </c>
      <c r="H1697" s="51" t="n">
        <v>182050</v>
      </c>
      <c r="I1697" s="46" t="inlineStr">
        <is>
          <t>서수형</t>
        </is>
      </c>
      <c r="K1697" s="46" t="n">
        <v>1696</v>
      </c>
      <c r="L1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8">
      <c r="A1698" s="229" t="n">
        <v>46161</v>
      </c>
      <c r="B1698" s="46" t="inlineStr">
        <is>
          <t>사용전검사</t>
        </is>
      </c>
      <c r="C1698" s="46" t="inlineStr">
        <is>
          <t>부천지역</t>
        </is>
      </c>
      <c r="D1698" s="46" t="inlineStr">
        <is>
          <t>쌍용레미콘</t>
        </is>
      </c>
      <c r="E1698" s="46" t="inlineStr">
        <is>
          <t>부분</t>
        </is>
      </c>
      <c r="F1698" s="46" t="n"/>
      <c r="G1698" s="50" t="n"/>
      <c r="H1698" s="51" t="n"/>
      <c r="I1698" s="46" t="inlineStr">
        <is>
          <t>이종석</t>
        </is>
      </c>
      <c r="K1698" s="46" t="n">
        <v>1697</v>
      </c>
      <c r="L1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9">
      <c r="A1699" s="229" t="n">
        <v>46161</v>
      </c>
      <c r="B1699" s="46" t="inlineStr">
        <is>
          <t>메모</t>
        </is>
      </c>
      <c r="C1699" s="46" t="inlineStr">
        <is>
          <t>부천지역</t>
        </is>
      </c>
      <c r="D1699" s="46" t="inlineStr">
        <is>
          <t>우승택휴가</t>
        </is>
      </c>
      <c r="E1699" s="46" t="inlineStr">
        <is>
          <t>송두기-한태희</t>
        </is>
      </c>
      <c r="F1699" s="46" t="n"/>
      <c r="G1699" s="50" t="n"/>
      <c r="H1699" s="51" t="n"/>
      <c r="I1699" s="46" t="n"/>
      <c r="K1699" s="46" t="n">
        <v>1698</v>
      </c>
      <c r="L1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0">
      <c r="A1700" s="229" t="n">
        <v>46161</v>
      </c>
      <c r="B1700" s="46" t="inlineStr">
        <is>
          <t>메모</t>
        </is>
      </c>
      <c r="C1700" s="46" t="inlineStr">
        <is>
          <t>부천지역</t>
        </is>
      </c>
      <c r="D1700" s="46" t="inlineStr">
        <is>
          <t>김영권휴가</t>
        </is>
      </c>
      <c r="E1700" s="46" t="n"/>
      <c r="F1700" s="46" t="n"/>
      <c r="G1700" s="50" t="n"/>
      <c r="H1700" s="51" t="n"/>
      <c r="I1700" s="46" t="n"/>
      <c r="K1700" s="46" t="n">
        <v>1699</v>
      </c>
      <c r="L1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1">
      <c r="A1701" s="229" t="n">
        <v>46161</v>
      </c>
      <c r="B1701" s="46" t="inlineStr">
        <is>
          <t>사용전검사</t>
        </is>
      </c>
      <c r="C1701" s="46" t="inlineStr">
        <is>
          <t>김포지역</t>
        </is>
      </c>
      <c r="D1701" s="46" t="inlineStr">
        <is>
          <t>선진</t>
        </is>
      </c>
      <c r="E1701" s="46" t="n">
        <v>160</v>
      </c>
      <c r="F1701" s="46" t="inlineStr">
        <is>
          <t>석정리</t>
        </is>
      </c>
      <c r="G1701" s="50" t="n"/>
      <c r="H1701" s="51" t="n"/>
      <c r="I1701" s="46" t="inlineStr">
        <is>
          <t>이덕기</t>
        </is>
      </c>
      <c r="K1701" s="46" t="n">
        <v>1700</v>
      </c>
      <c r="L1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2">
      <c r="A1702" s="229" t="n">
        <v>46161</v>
      </c>
      <c r="B1702" s="46" t="inlineStr">
        <is>
          <t>사용전검사</t>
        </is>
      </c>
      <c r="C1702" s="46" t="inlineStr">
        <is>
          <t>김포지역</t>
        </is>
      </c>
      <c r="D1702" s="46" t="inlineStr">
        <is>
          <t>KH</t>
        </is>
      </c>
      <c r="E1702" s="46" t="n">
        <v>30</v>
      </c>
      <c r="F1702" s="46" t="inlineStr">
        <is>
          <t>초원지리</t>
        </is>
      </c>
      <c r="G1702" s="50" t="n"/>
      <c r="H1702" s="51" t="n"/>
      <c r="I1702" s="46" t="inlineStr">
        <is>
          <t>송두기</t>
        </is>
      </c>
      <c r="K1702" s="46" t="n">
        <v>1701</v>
      </c>
      <c r="L1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3">
      <c r="A1703" s="229" t="n">
        <v>46162</v>
      </c>
      <c r="B1703" s="46" t="inlineStr">
        <is>
          <t>정기검사</t>
        </is>
      </c>
      <c r="C1703" s="46" t="inlineStr">
        <is>
          <t>부천지역</t>
        </is>
      </c>
      <c r="D1703" s="46" t="inlineStr">
        <is>
          <t>대맥프라자</t>
        </is>
      </c>
      <c r="E1703" s="46" t="inlineStr">
        <is>
          <t>600/228</t>
        </is>
      </c>
      <c r="F1703" s="46" t="inlineStr">
        <is>
          <t>중동</t>
        </is>
      </c>
      <c r="G1703" s="50" t="n">
        <v>0.3958333333333333</v>
      </c>
      <c r="H1703" s="51" t="n">
        <v>974930</v>
      </c>
      <c r="I1703" s="46" t="inlineStr">
        <is>
          <t>민경수</t>
        </is>
      </c>
      <c r="K1703" s="46" t="n">
        <v>1702</v>
      </c>
      <c r="L1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4">
      <c r="A1704" s="229" t="n">
        <v>46162</v>
      </c>
      <c r="B1704" s="46" t="inlineStr">
        <is>
          <t>정기검사</t>
        </is>
      </c>
      <c r="C1704" s="46" t="inlineStr">
        <is>
          <t>부천지역</t>
        </is>
      </c>
      <c r="D1704" s="46" t="inlineStr">
        <is>
          <t>신광정공사</t>
        </is>
      </c>
      <c r="E1704" s="46" t="n">
        <v>400</v>
      </c>
      <c r="F1704" s="46" t="inlineStr">
        <is>
          <t>내동</t>
        </is>
      </c>
      <c r="G1704" s="50" t="n">
        <v>0.5</v>
      </c>
      <c r="H1704" s="51" t="n">
        <v>703120</v>
      </c>
      <c r="I1704" s="46" t="inlineStr">
        <is>
          <t>민재홍</t>
        </is>
      </c>
      <c r="K1704" s="46" t="n">
        <v>1703</v>
      </c>
      <c r="L1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5">
      <c r="A1705" s="229" t="n">
        <v>46162</v>
      </c>
      <c r="B1705" s="46" t="inlineStr">
        <is>
          <t>정기검사</t>
        </is>
      </c>
      <c r="C1705" s="46" t="inlineStr">
        <is>
          <t>부천지역</t>
        </is>
      </c>
      <c r="D1705" s="46" t="inlineStr">
        <is>
          <t>금호아파트</t>
        </is>
      </c>
      <c r="E1705" s="46" t="inlineStr">
        <is>
          <t>1100/255</t>
        </is>
      </c>
      <c r="F1705" s="46" t="inlineStr">
        <is>
          <t>상동</t>
        </is>
      </c>
      <c r="G1705" s="50" t="n">
        <v>0.4166666666666667</v>
      </c>
      <c r="H1705" s="51" t="n">
        <v>1133000</v>
      </c>
      <c r="I1705" s="46" t="inlineStr">
        <is>
          <t>정성관</t>
        </is>
      </c>
      <c r="K1705" s="46" t="n">
        <v>1704</v>
      </c>
      <c r="L1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6">
      <c r="A1706" s="229" t="n">
        <v>46162</v>
      </c>
      <c r="B1706" s="46" t="inlineStr">
        <is>
          <t>정기검사</t>
        </is>
      </c>
      <c r="C1706" s="46" t="inlineStr">
        <is>
          <t>부천지역</t>
        </is>
      </c>
      <c r="D1706" s="46" t="inlineStr">
        <is>
          <t>푸르지오시티</t>
        </is>
      </c>
      <c r="E1706" s="46" t="inlineStr">
        <is>
          <t>5500/750</t>
        </is>
      </c>
      <c r="F1706" s="46" t="inlineStr">
        <is>
          <t>중동</t>
        </is>
      </c>
      <c r="G1706" s="50" t="n">
        <v>0.25</v>
      </c>
      <c r="H1706" s="51" t="n">
        <v>2380730</v>
      </c>
      <c r="I1706" s="46" t="inlineStr">
        <is>
          <t>김영권</t>
        </is>
      </c>
      <c r="K1706" s="46" t="n">
        <v>1705</v>
      </c>
      <c r="L1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7">
      <c r="A1707" s="229" t="n">
        <v>46162</v>
      </c>
      <c r="B1707" s="46" t="inlineStr">
        <is>
          <t>정기검사</t>
        </is>
      </c>
      <c r="C1707" s="46" t="inlineStr">
        <is>
          <t>부천지역</t>
        </is>
      </c>
      <c r="D1707" s="46" t="inlineStr">
        <is>
          <t>은성빌딩</t>
        </is>
      </c>
      <c r="E1707" s="46" t="inlineStr">
        <is>
          <t>290/44</t>
        </is>
      </c>
      <c r="F1707" s="46" t="inlineStr">
        <is>
          <t>심곡동</t>
        </is>
      </c>
      <c r="G1707" s="50" t="n">
        <v>0.6041666666666666</v>
      </c>
      <c r="H1707" s="51" t="n">
        <v>664840</v>
      </c>
      <c r="I1707" s="46" t="inlineStr">
        <is>
          <t>송낙명</t>
        </is>
      </c>
      <c r="K1707" s="46" t="n">
        <v>1706</v>
      </c>
      <c r="L1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8">
      <c r="A1708" s="229" t="n">
        <v>46162</v>
      </c>
      <c r="B1708" s="46" t="inlineStr">
        <is>
          <t>정기검사</t>
        </is>
      </c>
      <c r="C1708" s="46" t="inlineStr">
        <is>
          <t>부천지역</t>
        </is>
      </c>
      <c r="D1708" s="46" t="inlineStr">
        <is>
          <t>디투케어</t>
        </is>
      </c>
      <c r="E1708" s="46" t="n">
        <v>250</v>
      </c>
      <c r="F1708" s="46" t="inlineStr">
        <is>
          <t>심곡동</t>
        </is>
      </c>
      <c r="G1708" s="50" t="n">
        <v>0.4375</v>
      </c>
      <c r="H1708" s="51" t="n">
        <v>489170</v>
      </c>
      <c r="I1708" s="46" t="inlineStr">
        <is>
          <t>민재홍</t>
        </is>
      </c>
      <c r="K1708" s="46" t="n">
        <v>1707</v>
      </c>
      <c r="L1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9">
      <c r="A1709" s="229" t="n">
        <v>46162</v>
      </c>
      <c r="B1709" s="46" t="inlineStr">
        <is>
          <t>정기검사</t>
        </is>
      </c>
      <c r="C1709" s="46" t="inlineStr">
        <is>
          <t>부천지역</t>
        </is>
      </c>
      <c r="D1709" s="46" t="inlineStr">
        <is>
          <t>상록아파트</t>
        </is>
      </c>
      <c r="E1709" s="46" t="n"/>
      <c r="F1709" s="46" t="n"/>
      <c r="G1709" s="50" t="n"/>
      <c r="H1709" s="51" t="n">
        <v>227920</v>
      </c>
      <c r="I1709" s="46" t="inlineStr">
        <is>
          <t>송두기</t>
        </is>
      </c>
      <c r="K1709" s="46" t="n">
        <v>1708</v>
      </c>
      <c r="L1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0">
      <c r="A1710" s="229" t="n">
        <v>46162</v>
      </c>
      <c r="B1710" s="46" t="inlineStr">
        <is>
          <t>정기검사</t>
        </is>
      </c>
      <c r="C1710" s="46" t="inlineStr">
        <is>
          <t>김포지역</t>
        </is>
      </c>
      <c r="D1710" s="46" t="inlineStr">
        <is>
          <t>캐슬앤파밀리에시티</t>
        </is>
      </c>
      <c r="E1710" s="46" t="inlineStr">
        <is>
          <t>8500/1286</t>
        </is>
      </c>
      <c r="F1710" s="46" t="inlineStr">
        <is>
          <t>고촌</t>
        </is>
      </c>
      <c r="G1710" s="50" t="n">
        <v>0.4375</v>
      </c>
      <c r="H1710" s="51" t="n">
        <v>2108700</v>
      </c>
      <c r="I1710" s="46" t="inlineStr">
        <is>
          <t>송낙명</t>
        </is>
      </c>
      <c r="K1710" s="46" t="n">
        <v>1709</v>
      </c>
      <c r="L1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1">
      <c r="A1711" s="229" t="n">
        <v>46162</v>
      </c>
      <c r="B1711" s="46" t="inlineStr">
        <is>
          <t>정기검사</t>
        </is>
      </c>
      <c r="C1711" s="46" t="inlineStr">
        <is>
          <t>김포지역</t>
        </is>
      </c>
      <c r="D1711" s="46" t="inlineStr">
        <is>
          <t>웰라움퍼펙트</t>
        </is>
      </c>
      <c r="E1711" s="46" t="inlineStr">
        <is>
          <t>7650/1090</t>
        </is>
      </c>
      <c r="F1711" s="46" t="inlineStr">
        <is>
          <t>풍무동</t>
        </is>
      </c>
      <c r="G1711" s="50" t="n">
        <v>0.25</v>
      </c>
      <c r="H1711" s="51" t="n">
        <v>2879580</v>
      </c>
      <c r="I1711" s="46" t="inlineStr">
        <is>
          <t>서수형</t>
        </is>
      </c>
      <c r="K1711" s="46" t="n">
        <v>1710</v>
      </c>
      <c r="L1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2">
      <c r="A1712" s="229" t="n">
        <v>46162</v>
      </c>
      <c r="B1712" s="46" t="inlineStr">
        <is>
          <t>정기검사</t>
        </is>
      </c>
      <c r="C1712" s="46" t="inlineStr">
        <is>
          <t>김포지역</t>
        </is>
      </c>
      <c r="D1712" s="46" t="inlineStr">
        <is>
          <t>동화테그타일</t>
        </is>
      </c>
      <c r="E1712" s="46" t="n">
        <v>450</v>
      </c>
      <c r="F1712" s="46" t="inlineStr">
        <is>
          <t>대능리</t>
        </is>
      </c>
      <c r="G1712" s="50" t="n">
        <v>0.4791666666666667</v>
      </c>
      <c r="H1712" s="51" t="n">
        <v>720060</v>
      </c>
      <c r="I1712" s="46" t="inlineStr">
        <is>
          <t>이덕기</t>
        </is>
      </c>
      <c r="K1712" s="46" t="n">
        <v>1711</v>
      </c>
      <c r="L1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3">
      <c r="A1713" s="229" t="n">
        <v>46162</v>
      </c>
      <c r="B1713" s="46" t="inlineStr">
        <is>
          <t>정기검사</t>
        </is>
      </c>
      <c r="C1713" s="46" t="inlineStr">
        <is>
          <t>김포지역</t>
        </is>
      </c>
      <c r="D1713" s="46" t="inlineStr">
        <is>
          <t>부원기계</t>
        </is>
      </c>
      <c r="E1713" s="46" t="n">
        <v>500</v>
      </c>
      <c r="F1713" s="46" t="inlineStr">
        <is>
          <t>학운리</t>
        </is>
      </c>
      <c r="G1713" s="50" t="n">
        <v>0.3958333333333333</v>
      </c>
      <c r="H1713" s="51" t="n">
        <v>737000</v>
      </c>
      <c r="I1713" s="46" t="inlineStr">
        <is>
          <t>허창수</t>
        </is>
      </c>
      <c r="K1713" s="46" t="n">
        <v>1712</v>
      </c>
      <c r="L1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4">
      <c r="A1714" s="229" t="n">
        <v>46162</v>
      </c>
      <c r="B1714" s="46" t="inlineStr">
        <is>
          <t>정기검사</t>
        </is>
      </c>
      <c r="C1714" s="46" t="inlineStr">
        <is>
          <t>김포지역</t>
        </is>
      </c>
      <c r="D1714" s="46" t="inlineStr">
        <is>
          <t>더럭스나인</t>
        </is>
      </c>
      <c r="E1714" s="46" t="inlineStr">
        <is>
          <t>1750/610</t>
        </is>
      </c>
      <c r="F1714" s="46" t="inlineStr">
        <is>
          <t>구래동</t>
        </is>
      </c>
      <c r="G1714" s="50" t="n">
        <v>0.4166666666666667</v>
      </c>
      <c r="H1714" s="51" t="n">
        <v>1303830</v>
      </c>
      <c r="I1714" s="46" t="inlineStr">
        <is>
          <t>이덕기</t>
        </is>
      </c>
      <c r="K1714" s="46" t="n">
        <v>1713</v>
      </c>
      <c r="L1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5">
      <c r="A1715" s="229" t="n">
        <v>46162</v>
      </c>
      <c r="B1715" s="46" t="inlineStr">
        <is>
          <t>정기검사</t>
        </is>
      </c>
      <c r="C1715" s="46" t="inlineStr">
        <is>
          <t>김포지역</t>
        </is>
      </c>
      <c r="D1715" s="46" t="inlineStr">
        <is>
          <t>농협은행</t>
        </is>
      </c>
      <c r="E1715" s="46" t="inlineStr">
        <is>
          <t>200/105</t>
        </is>
      </c>
      <c r="F1715" s="46" t="inlineStr">
        <is>
          <t>사우동</t>
        </is>
      </c>
      <c r="G1715" s="50" t="n">
        <v>0.7708333333333334</v>
      </c>
      <c r="H1715" s="51" t="n">
        <v>811690</v>
      </c>
      <c r="I1715" s="46" t="inlineStr">
        <is>
          <t>이종석</t>
        </is>
      </c>
      <c r="K1715" s="46" t="n">
        <v>1714</v>
      </c>
      <c r="L1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6">
      <c r="A1716" s="229" t="n">
        <v>46162</v>
      </c>
      <c r="B1716" s="46" t="inlineStr">
        <is>
          <t>정기검사</t>
        </is>
      </c>
      <c r="C1716" s="46" t="inlineStr">
        <is>
          <t>김포지역</t>
        </is>
      </c>
      <c r="D1716" s="46" t="inlineStr">
        <is>
          <t>유브이종합개발</t>
        </is>
      </c>
      <c r="E1716" s="46" t="inlineStr">
        <is>
          <t>5007/682</t>
        </is>
      </c>
      <c r="F1716" s="46" t="inlineStr">
        <is>
          <t>운양동</t>
        </is>
      </c>
      <c r="G1716" s="50" t="n">
        <v>0.25</v>
      </c>
      <c r="H1716" s="51" t="n">
        <v>2469170</v>
      </c>
      <c r="I1716" s="46" t="inlineStr">
        <is>
          <t>허창수</t>
        </is>
      </c>
      <c r="K1716" s="46" t="n">
        <v>1715</v>
      </c>
      <c r="L1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7">
      <c r="A1717" s="229" t="n">
        <v>46162</v>
      </c>
      <c r="B1717" s="46" t="inlineStr">
        <is>
          <t>정기검사</t>
        </is>
      </c>
      <c r="C1717" s="46" t="inlineStr">
        <is>
          <t>김포지역</t>
        </is>
      </c>
      <c r="D1717" s="46" t="inlineStr">
        <is>
          <t>디에스씨</t>
        </is>
      </c>
      <c r="E1717" s="46" t="n">
        <v>290</v>
      </c>
      <c r="F1717" s="46" t="inlineStr">
        <is>
          <t>개곡리</t>
        </is>
      </c>
      <c r="G1717" s="50" t="n">
        <v>0.4791666666666667</v>
      </c>
      <c r="H1717" s="51" t="n">
        <v>515130</v>
      </c>
      <c r="I1717" s="46" t="inlineStr">
        <is>
          <t>한태희</t>
        </is>
      </c>
      <c r="K1717" s="46" t="n">
        <v>1716</v>
      </c>
      <c r="L1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8">
      <c r="A1718" s="229" t="n">
        <v>46162</v>
      </c>
      <c r="B1718" s="46" t="inlineStr">
        <is>
          <t>정기검사</t>
        </is>
      </c>
      <c r="C1718" s="46" t="inlineStr">
        <is>
          <t>김포지역</t>
        </is>
      </c>
      <c r="D1718" s="46" t="n"/>
      <c r="E1718" s="46" t="n"/>
      <c r="F1718" s="46" t="n"/>
      <c r="G1718" s="50" t="n"/>
      <c r="H1718" s="51" t="n">
        <v>770880</v>
      </c>
      <c r="I1718" s="46" t="inlineStr">
        <is>
          <t>이종석</t>
        </is>
      </c>
      <c r="K1718" s="46" t="n">
        <v>1717</v>
      </c>
      <c r="L1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9">
      <c r="A1719" s="229" t="n">
        <v>46162</v>
      </c>
      <c r="B1719" s="46" t="inlineStr">
        <is>
          <t>사용전검사</t>
        </is>
      </c>
      <c r="C1719" s="46" t="inlineStr">
        <is>
          <t>부천지역</t>
        </is>
      </c>
      <c r="D1719" s="46" t="inlineStr">
        <is>
          <t>금홍씨엠상사</t>
        </is>
      </c>
      <c r="E1719" s="46" t="n">
        <v>148</v>
      </c>
      <c r="F1719" s="46" t="inlineStr">
        <is>
          <t>오정동</t>
        </is>
      </c>
      <c r="G1719" s="50" t="n"/>
      <c r="H1719" s="51" t="n"/>
      <c r="I1719" s="46" t="inlineStr">
        <is>
          <t>정신배</t>
        </is>
      </c>
      <c r="K1719" s="46" t="n">
        <v>1718</v>
      </c>
      <c r="L1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0">
      <c r="A1720" s="229" t="n">
        <v>46162</v>
      </c>
      <c r="B1720" s="46" t="inlineStr">
        <is>
          <t>사용전검사</t>
        </is>
      </c>
      <c r="C1720" s="46" t="inlineStr">
        <is>
          <t>부천지역</t>
        </is>
      </c>
      <c r="D1720" s="46" t="inlineStr">
        <is>
          <t>목련마을 상록아파트-배부</t>
        </is>
      </c>
      <c r="E1720" s="46" t="n">
        <v>1750</v>
      </c>
      <c r="F1720" s="46" t="inlineStr">
        <is>
          <t>상동</t>
        </is>
      </c>
      <c r="G1720" s="50" t="n"/>
      <c r="H1720" s="51" t="n"/>
      <c r="I1720" s="46" t="inlineStr">
        <is>
          <t>송두기</t>
        </is>
      </c>
      <c r="K1720" s="46" t="n">
        <v>1719</v>
      </c>
      <c r="L1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1">
      <c r="A1721" s="229" t="n">
        <v>46162</v>
      </c>
      <c r="B1721" s="46" t="inlineStr">
        <is>
          <t>사용전검사</t>
        </is>
      </c>
      <c r="C1721" s="46" t="inlineStr">
        <is>
          <t>부천지역</t>
        </is>
      </c>
      <c r="D1721" s="46" t="inlineStr">
        <is>
          <t>판다스쿱아이스크림</t>
        </is>
      </c>
      <c r="E1721" s="46" t="n">
        <v>8</v>
      </c>
      <c r="F1721" s="46" t="inlineStr">
        <is>
          <t>송내동</t>
        </is>
      </c>
      <c r="G1721" s="50" t="n"/>
      <c r="H1721" s="51" t="n"/>
      <c r="I1721" s="46" t="inlineStr">
        <is>
          <t>민경수</t>
        </is>
      </c>
      <c r="K1721" s="46" t="n">
        <v>1720</v>
      </c>
      <c r="L1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2">
      <c r="A1722" s="229" t="n">
        <v>46162</v>
      </c>
      <c r="B1722" s="46" t="inlineStr">
        <is>
          <t>사용전검사</t>
        </is>
      </c>
      <c r="C1722" s="46" t="inlineStr">
        <is>
          <t>부천지역</t>
        </is>
      </c>
      <c r="D1722" s="46" t="inlineStr">
        <is>
          <t>김승호건물</t>
        </is>
      </c>
      <c r="E1722" s="46" t="n">
        <v>65</v>
      </c>
      <c r="F1722" s="46" t="inlineStr">
        <is>
          <t>내동</t>
        </is>
      </c>
      <c r="G1722" s="50" t="n"/>
      <c r="H1722" s="51" t="n"/>
      <c r="I1722" s="46" t="inlineStr">
        <is>
          <t>정신배</t>
        </is>
      </c>
      <c r="K1722" s="46" t="n">
        <v>1721</v>
      </c>
      <c r="L1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3">
      <c r="A1723" s="229" t="n">
        <v>46162</v>
      </c>
      <c r="B1723" s="46" t="inlineStr">
        <is>
          <t>메모</t>
        </is>
      </c>
      <c r="C1723" s="46" t="inlineStr">
        <is>
          <t>부천지역</t>
        </is>
      </c>
      <c r="D1723" s="46" t="inlineStr">
        <is>
          <t>우승택휴가</t>
        </is>
      </c>
      <c r="E1723" s="46" t="n"/>
      <c r="F1723" s="46" t="n"/>
      <c r="G1723" s="50" t="n"/>
      <c r="H1723" s="51" t="n"/>
      <c r="I1723" s="46" t="n"/>
      <c r="K1723" s="46" t="n">
        <v>1722</v>
      </c>
      <c r="L1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4">
      <c r="A1724" s="229" t="n">
        <v>46162</v>
      </c>
      <c r="B1724" s="46" t="inlineStr">
        <is>
          <t>사용전검사</t>
        </is>
      </c>
      <c r="C1724" s="46" t="inlineStr">
        <is>
          <t>김포지역</t>
        </is>
      </c>
      <c r="D1724" s="46" t="inlineStr">
        <is>
          <t>케이에스</t>
        </is>
      </c>
      <c r="E1724" s="46" t="n">
        <v>239</v>
      </c>
      <c r="F1724" s="46" t="inlineStr">
        <is>
          <t>학운리</t>
        </is>
      </c>
      <c r="G1724" s="50" t="n"/>
      <c r="H1724" s="51" t="n"/>
      <c r="I1724" s="46" t="inlineStr">
        <is>
          <t>한태희</t>
        </is>
      </c>
      <c r="K1724" s="46" t="n">
        <v>1723</v>
      </c>
      <c r="L1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5">
      <c r="A1725" s="229" t="n">
        <v>46162</v>
      </c>
      <c r="B1725" s="46" t="inlineStr">
        <is>
          <t>사용전검사</t>
        </is>
      </c>
      <c r="C1725" s="46" t="inlineStr">
        <is>
          <t>김포지역</t>
        </is>
      </c>
      <c r="D1725" s="46" t="inlineStr">
        <is>
          <t>김성광</t>
        </is>
      </c>
      <c r="E1725" s="46" t="n">
        <v>5</v>
      </c>
      <c r="F1725" s="46" t="inlineStr">
        <is>
          <t>마송리</t>
        </is>
      </c>
      <c r="G1725" s="50" t="n"/>
      <c r="H1725" s="51" t="n"/>
      <c r="I1725" s="46" t="inlineStr">
        <is>
          <t>한태희</t>
        </is>
      </c>
      <c r="K1725" s="46" t="n">
        <v>1724</v>
      </c>
      <c r="L1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6">
      <c r="A1726" s="229" t="n">
        <v>46163</v>
      </c>
      <c r="B1726" s="46" t="inlineStr">
        <is>
          <t>정기검사</t>
        </is>
      </c>
      <c r="C1726" s="46" t="inlineStr">
        <is>
          <t>부천지역</t>
        </is>
      </c>
      <c r="D1726" s="46" t="inlineStr">
        <is>
          <t>쌍용예가</t>
        </is>
      </c>
      <c r="E1726" s="46" t="inlineStr">
        <is>
          <t>3250/637</t>
        </is>
      </c>
      <c r="F1726" s="46" t="inlineStr">
        <is>
          <t>상동</t>
        </is>
      </c>
      <c r="G1726" s="50" t="n">
        <v>0.5833333333333334</v>
      </c>
      <c r="H1726" s="51" t="n">
        <v>1528340</v>
      </c>
      <c r="I1726" s="46" t="inlineStr">
        <is>
          <t>서수형</t>
        </is>
      </c>
      <c r="K1726" s="46" t="n">
        <v>1725</v>
      </c>
      <c r="L1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7">
      <c r="A1727" s="229" t="n">
        <v>46163</v>
      </c>
      <c r="B1727" s="46" t="inlineStr">
        <is>
          <t>정기검사</t>
        </is>
      </c>
      <c r="C1727" s="46" t="inlineStr">
        <is>
          <t>부천지역</t>
        </is>
      </c>
      <c r="D1727" s="46" t="inlineStr">
        <is>
          <t>대우동부아파트</t>
        </is>
      </c>
      <c r="E1727" s="46" t="inlineStr">
        <is>
          <t>1850/500</t>
        </is>
      </c>
      <c r="F1727" s="46" t="inlineStr">
        <is>
          <t>중동</t>
        </is>
      </c>
      <c r="G1727" s="50" t="n">
        <v>0.3958333333333333</v>
      </c>
      <c r="H1727" s="51" t="n">
        <v>1287880</v>
      </c>
      <c r="I1727" s="46" t="inlineStr">
        <is>
          <t>허창수</t>
        </is>
      </c>
      <c r="K1727" s="46" t="n">
        <v>1726</v>
      </c>
      <c r="L1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8">
      <c r="A1728" s="229" t="n">
        <v>46163</v>
      </c>
      <c r="B1728" s="46" t="inlineStr">
        <is>
          <t>정기검사</t>
        </is>
      </c>
      <c r="C1728" s="46" t="inlineStr">
        <is>
          <t>부천지역</t>
        </is>
      </c>
      <c r="D1728" s="46" t="inlineStr">
        <is>
          <t>우성엠엔피</t>
        </is>
      </c>
      <c r="E1728" s="46" t="n">
        <v>600</v>
      </c>
      <c r="F1728" s="46" t="inlineStr">
        <is>
          <t>삼정동</t>
        </is>
      </c>
      <c r="G1728" s="50" t="n">
        <v>0.4375</v>
      </c>
      <c r="H1728" s="51" t="n">
        <v>770880</v>
      </c>
      <c r="I1728" s="46" t="inlineStr">
        <is>
          <t>정신배</t>
        </is>
      </c>
      <c r="K1728" s="46" t="n">
        <v>1727</v>
      </c>
      <c r="L1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9">
      <c r="A1729" s="229" t="n">
        <v>46163</v>
      </c>
      <c r="B1729" s="46" t="inlineStr">
        <is>
          <t>정기검사</t>
        </is>
      </c>
      <c r="C1729" s="46" t="inlineStr">
        <is>
          <t>부천지역</t>
        </is>
      </c>
      <c r="D1729" s="46" t="inlineStr">
        <is>
          <t>LG아파트</t>
        </is>
      </c>
      <c r="E1729" s="46" t="inlineStr">
        <is>
          <t>1300/260</t>
        </is>
      </c>
      <c r="F1729" s="46" t="inlineStr">
        <is>
          <t>중동</t>
        </is>
      </c>
      <c r="G1729" s="50" t="n">
        <v>0.4166666666666667</v>
      </c>
      <c r="H1729" s="51" t="n"/>
      <c r="I1729" s="46" t="inlineStr">
        <is>
          <t>이덕기</t>
        </is>
      </c>
      <c r="K1729" s="46" t="n">
        <v>1728</v>
      </c>
      <c r="L1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0">
      <c r="A1730" s="229" t="n">
        <v>46163</v>
      </c>
      <c r="B1730" s="46" t="inlineStr">
        <is>
          <t>정기검사</t>
        </is>
      </c>
      <c r="C1730" s="46" t="inlineStr">
        <is>
          <t>부천지역</t>
        </is>
      </c>
      <c r="D1730" s="46" t="inlineStr">
        <is>
          <t>신한레벨</t>
        </is>
      </c>
      <c r="E1730" s="46" t="n">
        <v>300</v>
      </c>
      <c r="F1730" s="46" t="inlineStr">
        <is>
          <t>삼정동</t>
        </is>
      </c>
      <c r="G1730" s="50" t="n">
        <v>0.4791666666666667</v>
      </c>
      <c r="H1730" s="51" t="n">
        <v>521730</v>
      </c>
      <c r="I1730" s="46" t="inlineStr">
        <is>
          <t>정신배</t>
        </is>
      </c>
      <c r="K1730" s="46" t="n">
        <v>1729</v>
      </c>
      <c r="L1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1">
      <c r="A1731" s="229" t="n">
        <v>46163</v>
      </c>
      <c r="B1731" s="46" t="inlineStr">
        <is>
          <t>정기검사</t>
        </is>
      </c>
      <c r="C1731" s="46" t="inlineStr">
        <is>
          <t>부천지역</t>
        </is>
      </c>
      <c r="D1731" s="46" t="inlineStr">
        <is>
          <t>원종센트레빌아파트</t>
        </is>
      </c>
      <c r="E1731" s="46" t="n">
        <v>34</v>
      </c>
      <c r="F1731" s="46" t="inlineStr">
        <is>
          <t>원종동</t>
        </is>
      </c>
      <c r="G1731" s="50" t="n">
        <v>0.6875</v>
      </c>
      <c r="H1731" s="51" t="n">
        <v>146630</v>
      </c>
      <c r="I1731" s="46" t="inlineStr">
        <is>
          <t>이덕기</t>
        </is>
      </c>
      <c r="K1731" s="46" t="n">
        <v>1730</v>
      </c>
      <c r="L1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2">
      <c r="A1732" s="229" t="n">
        <v>46163</v>
      </c>
      <c r="B1732" s="46" t="inlineStr">
        <is>
          <t>정기검사</t>
        </is>
      </c>
      <c r="C1732" s="46" t="inlineStr">
        <is>
          <t>부천지역</t>
        </is>
      </c>
      <c r="D1732" s="46" t="inlineStr">
        <is>
          <t>신세계</t>
        </is>
      </c>
      <c r="E1732" s="46" t="inlineStr">
        <is>
          <t>전기차</t>
        </is>
      </c>
      <c r="F1732" s="46" t="inlineStr">
        <is>
          <t>상동</t>
        </is>
      </c>
      <c r="G1732" s="50" t="n">
        <v>0.6041666666666666</v>
      </c>
      <c r="H1732" s="51" t="n">
        <v>89650</v>
      </c>
      <c r="I1732" s="46" t="inlineStr">
        <is>
          <t>정신배</t>
        </is>
      </c>
      <c r="K1732" s="46" t="n">
        <v>1731</v>
      </c>
      <c r="L1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3">
      <c r="A1733" s="229" t="n">
        <v>46163</v>
      </c>
      <c r="B1733" s="46" t="inlineStr">
        <is>
          <t>정기검사</t>
        </is>
      </c>
      <c r="C1733" s="46" t="inlineStr">
        <is>
          <t>김포지역</t>
        </is>
      </c>
      <c r="D1733" s="46" t="inlineStr">
        <is>
          <t>신동아상가</t>
        </is>
      </c>
      <c r="E1733" s="46" t="inlineStr">
        <is>
          <t>250/54</t>
        </is>
      </c>
      <c r="F1733" s="46" t="inlineStr">
        <is>
          <t>유현리</t>
        </is>
      </c>
      <c r="G1733" s="50" t="n">
        <v>0.625</v>
      </c>
      <c r="H1733" s="51" t="n">
        <v>536030</v>
      </c>
      <c r="I1733" s="46" t="inlineStr">
        <is>
          <t>김영권</t>
        </is>
      </c>
      <c r="K1733" s="46" t="n">
        <v>1732</v>
      </c>
      <c r="L1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4">
      <c r="A1734" s="229" t="n">
        <v>46163</v>
      </c>
      <c r="B1734" s="46" t="inlineStr">
        <is>
          <t>정기검사</t>
        </is>
      </c>
      <c r="C1734" s="46" t="inlineStr">
        <is>
          <t>김포지역</t>
        </is>
      </c>
      <c r="D1734" s="46" t="inlineStr">
        <is>
          <t>브니엘네이처</t>
        </is>
      </c>
      <c r="E1734" s="46" t="n">
        <v>2500</v>
      </c>
      <c r="F1734" s="46" t="inlineStr">
        <is>
          <t>구래동</t>
        </is>
      </c>
      <c r="G1734" s="50" t="n">
        <v>0.5416666666666666</v>
      </c>
      <c r="H1734" s="51" t="n">
        <v>1181400</v>
      </c>
      <c r="I1734" s="46" t="inlineStr">
        <is>
          <t>송두기</t>
        </is>
      </c>
      <c r="K1734" s="46" t="n">
        <v>1733</v>
      </c>
      <c r="L1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5">
      <c r="A1735" s="229" t="n">
        <v>46163</v>
      </c>
      <c r="B1735" s="46" t="inlineStr">
        <is>
          <t>정기검사</t>
        </is>
      </c>
      <c r="C1735" s="46" t="inlineStr">
        <is>
          <t>김포지역</t>
        </is>
      </c>
      <c r="D1735" s="46" t="inlineStr">
        <is>
          <t>현대아파트</t>
        </is>
      </c>
      <c r="E1735" s="46" t="inlineStr">
        <is>
          <t>전기차</t>
        </is>
      </c>
      <c r="F1735" s="46" t="inlineStr">
        <is>
          <t>마송리</t>
        </is>
      </c>
      <c r="G1735" s="50" t="n"/>
      <c r="H1735" s="51" t="n">
        <v>89650</v>
      </c>
      <c r="I1735" s="46" t="inlineStr">
        <is>
          <t>민경수</t>
        </is>
      </c>
      <c r="K1735" s="46" t="n">
        <v>1734</v>
      </c>
      <c r="L1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6">
      <c r="A1736" s="229" t="n">
        <v>46163</v>
      </c>
      <c r="B1736" s="46" t="inlineStr">
        <is>
          <t>정기검사</t>
        </is>
      </c>
      <c r="C1736" s="46" t="inlineStr">
        <is>
          <t>김포지역</t>
        </is>
      </c>
      <c r="D1736" s="46" t="inlineStr">
        <is>
          <t>정현주</t>
        </is>
      </c>
      <c r="E1736" s="46" t="n">
        <v>400</v>
      </c>
      <c r="F1736" s="46" t="inlineStr">
        <is>
          <t>누산리</t>
        </is>
      </c>
      <c r="G1736" s="50" t="n">
        <v>0.4166666666666667</v>
      </c>
      <c r="H1736" s="51" t="n">
        <v>703120</v>
      </c>
      <c r="I1736" s="46" t="inlineStr">
        <is>
          <t>한태희</t>
        </is>
      </c>
      <c r="K1736" s="46" t="n">
        <v>1735</v>
      </c>
      <c r="L1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7">
      <c r="A1737" s="229" t="n">
        <v>46163</v>
      </c>
      <c r="B1737" s="46" t="inlineStr">
        <is>
          <t>정기검사</t>
        </is>
      </c>
      <c r="C1737" s="46" t="inlineStr">
        <is>
          <t>김포지역</t>
        </is>
      </c>
      <c r="D1737" s="46" t="inlineStr">
        <is>
          <t>신우산업</t>
        </is>
      </c>
      <c r="E1737" s="46" t="n">
        <v>250</v>
      </c>
      <c r="F1737" s="46" t="inlineStr">
        <is>
          <t>마송리</t>
        </is>
      </c>
      <c r="G1737" s="50" t="n">
        <v>0.5</v>
      </c>
      <c r="H1737" s="51" t="n">
        <v>489170</v>
      </c>
      <c r="I1737" s="46" t="inlineStr">
        <is>
          <t>한태희</t>
        </is>
      </c>
      <c r="K1737" s="46" t="n">
        <v>1736</v>
      </c>
      <c r="L1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8">
      <c r="A1738" s="229" t="n">
        <v>46163</v>
      </c>
      <c r="B1738" s="46" t="inlineStr">
        <is>
          <t>정기검사</t>
        </is>
      </c>
      <c r="C1738" s="46" t="inlineStr">
        <is>
          <t>김포지역</t>
        </is>
      </c>
      <c r="D1738" s="46" t="inlineStr">
        <is>
          <t>주민희</t>
        </is>
      </c>
      <c r="E1738" s="46" t="n">
        <v>15.1</v>
      </c>
      <c r="F1738" s="46" t="inlineStr">
        <is>
          <t>사우동</t>
        </is>
      </c>
      <c r="G1738" s="50" t="n">
        <v>0.6041666666666666</v>
      </c>
      <c r="H1738" s="51" t="n">
        <v>93060</v>
      </c>
      <c r="I1738" s="46" t="inlineStr">
        <is>
          <t>민경수</t>
        </is>
      </c>
      <c r="K1738" s="46" t="n">
        <v>1737</v>
      </c>
      <c r="L1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9">
      <c r="A1739" s="229" t="n">
        <v>46163</v>
      </c>
      <c r="B1739" s="46" t="inlineStr">
        <is>
          <t>정기검사</t>
        </is>
      </c>
      <c r="C1739" s="46" t="inlineStr">
        <is>
          <t>김포지역</t>
        </is>
      </c>
      <c r="D1739" s="46" t="inlineStr">
        <is>
          <t>중앙</t>
        </is>
      </c>
      <c r="E1739" s="46" t="n">
        <v>900</v>
      </c>
      <c r="F1739" s="46" t="inlineStr">
        <is>
          <t>학운리</t>
        </is>
      </c>
      <c r="G1739" s="50" t="n">
        <v>0.625</v>
      </c>
      <c r="H1739" s="51" t="n">
        <v>872520</v>
      </c>
      <c r="I1739" s="46" t="inlineStr">
        <is>
          <t>송낙명</t>
        </is>
      </c>
      <c r="K1739" s="46" t="n">
        <v>1738</v>
      </c>
      <c r="L1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0">
      <c r="A1740" s="229" t="n">
        <v>46163</v>
      </c>
      <c r="B1740" s="46" t="inlineStr">
        <is>
          <t>정기검사</t>
        </is>
      </c>
      <c r="C1740" s="46" t="inlineStr">
        <is>
          <t>김포지역</t>
        </is>
      </c>
      <c r="D1740" s="46" t="inlineStr">
        <is>
          <t>김포기업</t>
        </is>
      </c>
      <c r="E1740" s="46" t="n">
        <v>120</v>
      </c>
      <c r="F1740" s="46" t="inlineStr">
        <is>
          <t>대명리</t>
        </is>
      </c>
      <c r="G1740" s="50" t="n">
        <v>0.5625</v>
      </c>
      <c r="H1740" s="51" t="n">
        <v>206580</v>
      </c>
      <c r="I1740" s="46" t="inlineStr">
        <is>
          <t>민경수</t>
        </is>
      </c>
      <c r="K1740" s="46" t="n">
        <v>1739</v>
      </c>
      <c r="L1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1">
      <c r="A1741" s="229" t="n">
        <v>46163</v>
      </c>
      <c r="B1741" s="46" t="inlineStr">
        <is>
          <t>사용전검사</t>
        </is>
      </c>
      <c r="C1741" s="46" t="inlineStr">
        <is>
          <t>부천지역</t>
        </is>
      </c>
      <c r="D1741" s="46" t="inlineStr">
        <is>
          <t>퍼시픽</t>
        </is>
      </c>
      <c r="E1741" s="46" t="n">
        <v>12000</v>
      </c>
      <c r="F1741" s="46" t="n"/>
      <c r="G1741" s="50" t="n"/>
      <c r="H1741" s="51" t="n"/>
      <c r="I1741" s="46" t="inlineStr">
        <is>
          <t>정성관</t>
        </is>
      </c>
      <c r="K1741" s="46" t="n">
        <v>1740</v>
      </c>
      <c r="L1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2">
      <c r="A1742" s="229" t="n">
        <v>46163</v>
      </c>
      <c r="B1742" s="46" t="inlineStr">
        <is>
          <t>사용전검사</t>
        </is>
      </c>
      <c r="C1742" s="46" t="inlineStr">
        <is>
          <t>부천지역</t>
        </is>
      </c>
      <c r="D1742" s="46" t="inlineStr">
        <is>
          <t>엠파워</t>
        </is>
      </c>
      <c r="E1742" s="46" t="n">
        <v>200</v>
      </c>
      <c r="F1742" s="46" t="inlineStr">
        <is>
          <t>삼정동</t>
        </is>
      </c>
      <c r="G1742" s="50" t="n"/>
      <c r="H1742" s="51" t="n"/>
      <c r="I1742" s="46" t="inlineStr">
        <is>
          <t>이종석</t>
        </is>
      </c>
      <c r="K1742" s="46" t="n">
        <v>1741</v>
      </c>
      <c r="L1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3">
      <c r="A1743" s="229" t="n">
        <v>46163</v>
      </c>
      <c r="B1743" s="46" t="inlineStr">
        <is>
          <t>메모</t>
        </is>
      </c>
      <c r="C1743" s="46" t="inlineStr">
        <is>
          <t>부천지역</t>
        </is>
      </c>
      <c r="D1743" s="46" t="inlineStr">
        <is>
          <t>우승택휴가</t>
        </is>
      </c>
      <c r="E1743" s="46" t="n"/>
      <c r="F1743" s="46" t="n"/>
      <c r="G1743" s="50" t="n"/>
      <c r="H1743" s="51" t="n"/>
      <c r="I1743" s="46" t="n"/>
      <c r="K1743" s="46" t="n">
        <v>1742</v>
      </c>
      <c r="L1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4">
      <c r="A1744" s="229" t="n">
        <v>46163</v>
      </c>
      <c r="B1744" s="46" t="inlineStr">
        <is>
          <t>사용전검사</t>
        </is>
      </c>
      <c r="C1744" s="46" t="inlineStr">
        <is>
          <t>김포지역</t>
        </is>
      </c>
      <c r="D1744" s="46" t="inlineStr">
        <is>
          <t>이재호</t>
        </is>
      </c>
      <c r="E1744" s="46" t="n">
        <v>5.76</v>
      </c>
      <c r="F1744" s="46" t="inlineStr">
        <is>
          <t>대능리</t>
        </is>
      </c>
      <c r="G1744" s="50" t="n"/>
      <c r="H1744" s="51" t="n"/>
      <c r="I1744" s="46" t="inlineStr">
        <is>
          <t>민재홍</t>
        </is>
      </c>
      <c r="K1744" s="46" t="n">
        <v>1743</v>
      </c>
      <c r="L1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5">
      <c r="A1745" s="229" t="n">
        <v>46163</v>
      </c>
      <c r="B1745" s="46" t="inlineStr">
        <is>
          <t>사용전검사</t>
        </is>
      </c>
      <c r="C1745" s="46" t="inlineStr">
        <is>
          <t>김포지역</t>
        </is>
      </c>
      <c r="D1745" s="46" t="inlineStr">
        <is>
          <t>한은진</t>
        </is>
      </c>
      <c r="E1745" s="46" t="n">
        <v>5</v>
      </c>
      <c r="F1745" s="46" t="inlineStr">
        <is>
          <t>대능리</t>
        </is>
      </c>
      <c r="G1745" s="50" t="n"/>
      <c r="H1745" s="51" t="n"/>
      <c r="I1745" s="46" t="inlineStr">
        <is>
          <t>민재홍</t>
        </is>
      </c>
      <c r="K1745" s="46" t="n">
        <v>1744</v>
      </c>
      <c r="L1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6">
      <c r="A1746" s="229" t="n">
        <v>46164</v>
      </c>
      <c r="B1746" s="46" t="inlineStr">
        <is>
          <t>정기검사</t>
        </is>
      </c>
      <c r="C1746" s="46" t="inlineStr">
        <is>
          <t>부천지역</t>
        </is>
      </c>
      <c r="D1746" s="46" t="inlineStr">
        <is>
          <t>한솔프라자</t>
        </is>
      </c>
      <c r="E1746" s="46" t="inlineStr">
        <is>
          <t>957/235</t>
        </is>
      </c>
      <c r="F1746" s="46" t="inlineStr">
        <is>
          <t>상동</t>
        </is>
      </c>
      <c r="G1746" s="50" t="n">
        <v>0.4375</v>
      </c>
      <c r="H1746" s="51" t="n">
        <v>1159840</v>
      </c>
      <c r="I1746" s="46" t="inlineStr">
        <is>
          <t>민재홍</t>
        </is>
      </c>
      <c r="K1746" s="46" t="n">
        <v>1745</v>
      </c>
      <c r="L1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7">
      <c r="A1747" s="229" t="n">
        <v>46164</v>
      </c>
      <c r="B1747" s="46" t="inlineStr">
        <is>
          <t>정기검사</t>
        </is>
      </c>
      <c r="C1747" s="46" t="inlineStr">
        <is>
          <t>부천지역</t>
        </is>
      </c>
      <c r="D1747" s="46" t="inlineStr">
        <is>
          <t>제이엔엠테크놀러지</t>
        </is>
      </c>
      <c r="E1747" s="46" t="n">
        <v>290</v>
      </c>
      <c r="F1747" s="46" t="inlineStr">
        <is>
          <t>오정동</t>
        </is>
      </c>
      <c r="G1747" s="50" t="n">
        <v>0.5</v>
      </c>
      <c r="H1747" s="51" t="n">
        <v>515130</v>
      </c>
      <c r="I1747" s="46" t="inlineStr">
        <is>
          <t>민경수</t>
        </is>
      </c>
      <c r="K1747" s="46" t="n">
        <v>1746</v>
      </c>
      <c r="L1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8">
      <c r="A1748" s="229" t="n">
        <v>46164</v>
      </c>
      <c r="B1748" s="46" t="inlineStr">
        <is>
          <t>정기검사</t>
        </is>
      </c>
      <c r="C1748" s="46" t="inlineStr">
        <is>
          <t>부천지역</t>
        </is>
      </c>
      <c r="D1748" s="46" t="inlineStr">
        <is>
          <t>경원실업</t>
        </is>
      </c>
      <c r="E1748" s="46" t="n">
        <v>110</v>
      </c>
      <c r="F1748" s="46" t="inlineStr">
        <is>
          <t>원미동</t>
        </is>
      </c>
      <c r="G1748" s="50" t="n">
        <v>0.5208333333333334</v>
      </c>
      <c r="H1748" s="51" t="n">
        <v>398200</v>
      </c>
      <c r="I1748" s="46" t="inlineStr">
        <is>
          <t>한태희</t>
        </is>
      </c>
      <c r="K1748" s="46" t="n">
        <v>1747</v>
      </c>
      <c r="L1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9">
      <c r="A1749" s="229" t="n">
        <v>46164</v>
      </c>
      <c r="B1749" s="46" t="inlineStr">
        <is>
          <t>정기검사</t>
        </is>
      </c>
      <c r="C1749" s="46" t="inlineStr">
        <is>
          <t>부천지역</t>
        </is>
      </c>
      <c r="D1749" s="46" t="inlineStr">
        <is>
          <t>스타펠리움아파트</t>
        </is>
      </c>
      <c r="E1749" s="46" t="inlineStr">
        <is>
          <t>1250/455</t>
        </is>
      </c>
      <c r="F1749" s="46" t="inlineStr">
        <is>
          <t>중동</t>
        </is>
      </c>
      <c r="G1749" s="50" t="n">
        <v>0.4166666666666667</v>
      </c>
      <c r="H1749" s="51" t="n">
        <v>1190420</v>
      </c>
      <c r="I1749" s="46" t="inlineStr">
        <is>
          <t>송낙명</t>
        </is>
      </c>
      <c r="K1749" s="46" t="n">
        <v>1748</v>
      </c>
      <c r="L1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0">
      <c r="A1750" s="229" t="n">
        <v>46164</v>
      </c>
      <c r="B1750" s="46" t="inlineStr">
        <is>
          <t>정기검사</t>
        </is>
      </c>
      <c r="C1750" s="46" t="inlineStr">
        <is>
          <t>부천지역</t>
        </is>
      </c>
      <c r="D1750" s="46" t="inlineStr">
        <is>
          <t>남촌빌딩</t>
        </is>
      </c>
      <c r="E1750" s="46" t="n">
        <v>300</v>
      </c>
      <c r="F1750" s="46" t="inlineStr">
        <is>
          <t>심곡동</t>
        </is>
      </c>
      <c r="G1750" s="50" t="n">
        <v>0.375</v>
      </c>
      <c r="H1750" s="51" t="n">
        <v>521730</v>
      </c>
      <c r="I1750" s="46" t="inlineStr">
        <is>
          <t>송낙명</t>
        </is>
      </c>
      <c r="K1750" s="46" t="n">
        <v>1749</v>
      </c>
      <c r="L1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1">
      <c r="A1751" s="229" t="n">
        <v>46164</v>
      </c>
      <c r="B1751" s="46" t="inlineStr">
        <is>
          <t>정기검사</t>
        </is>
      </c>
      <c r="C1751" s="46" t="inlineStr">
        <is>
          <t>김포지역</t>
        </is>
      </c>
      <c r="D1751" s="46" t="inlineStr">
        <is>
          <t>성원태양광</t>
        </is>
      </c>
      <c r="E1751" s="46" t="n">
        <v>35</v>
      </c>
      <c r="F1751" s="46" t="inlineStr">
        <is>
          <t>개곡리</t>
        </is>
      </c>
      <c r="G1751" s="50" t="n">
        <v>0.5833333333333334</v>
      </c>
      <c r="H1751" s="51" t="n">
        <v>187550</v>
      </c>
      <c r="I1751" s="46" t="inlineStr">
        <is>
          <t>정성관</t>
        </is>
      </c>
      <c r="K1751" s="46" t="n">
        <v>1750</v>
      </c>
      <c r="L1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2">
      <c r="A1752" s="229" t="n">
        <v>46164</v>
      </c>
      <c r="B1752" s="46" t="inlineStr">
        <is>
          <t>정기검사</t>
        </is>
      </c>
      <c r="C1752" s="46" t="inlineStr">
        <is>
          <t>김포지역</t>
        </is>
      </c>
      <c r="D1752" s="46" t="inlineStr">
        <is>
          <t>한아테크</t>
        </is>
      </c>
      <c r="E1752" s="46" t="n">
        <v>250</v>
      </c>
      <c r="F1752" s="46" t="inlineStr">
        <is>
          <t>학운리</t>
        </is>
      </c>
      <c r="G1752" s="50" t="n">
        <v>0.4791666666666667</v>
      </c>
      <c r="H1752" s="51" t="n">
        <v>489170</v>
      </c>
      <c r="I1752" s="46" t="inlineStr">
        <is>
          <t>김영권</t>
        </is>
      </c>
      <c r="K1752" s="46" t="n">
        <v>1751</v>
      </c>
      <c r="L1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3">
      <c r="A1753" s="229" t="n">
        <v>46164</v>
      </c>
      <c r="B1753" s="46" t="inlineStr">
        <is>
          <t>정기검사</t>
        </is>
      </c>
      <c r="C1753" s="46" t="inlineStr">
        <is>
          <t>김포지역</t>
        </is>
      </c>
      <c r="D1753" s="46" t="inlineStr">
        <is>
          <t>다이안월드빌</t>
        </is>
      </c>
      <c r="E1753" s="46" t="n">
        <v>450</v>
      </c>
      <c r="F1753" s="46" t="inlineStr">
        <is>
          <t>사우동</t>
        </is>
      </c>
      <c r="G1753" s="50" t="n">
        <v>0.4166666666666667</v>
      </c>
      <c r="H1753" s="51" t="n">
        <v>895730</v>
      </c>
      <c r="I1753" s="46" t="inlineStr">
        <is>
          <t>송두기</t>
        </is>
      </c>
      <c r="K1753" s="46" t="n">
        <v>1752</v>
      </c>
      <c r="L1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4">
      <c r="A1754" s="229" t="n">
        <v>46164</v>
      </c>
      <c r="B1754" s="46" t="inlineStr">
        <is>
          <t>정기검사</t>
        </is>
      </c>
      <c r="C1754" s="46" t="inlineStr">
        <is>
          <t>김포지역</t>
        </is>
      </c>
      <c r="D1754" s="46" t="inlineStr">
        <is>
          <t>아모그린텍</t>
        </is>
      </c>
      <c r="E1754" s="46" t="n">
        <v>300</v>
      </c>
      <c r="F1754" s="46" t="inlineStr">
        <is>
          <t>수참리</t>
        </is>
      </c>
      <c r="G1754" s="50" t="n">
        <v>0.5208333333333334</v>
      </c>
      <c r="H1754" s="51" t="n">
        <v>521730</v>
      </c>
      <c r="I1754" s="46" t="inlineStr">
        <is>
          <t>정신배</t>
        </is>
      </c>
      <c r="K1754" s="46" t="n">
        <v>1753</v>
      </c>
      <c r="L1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5">
      <c r="A1755" s="229" t="n">
        <v>46164</v>
      </c>
      <c r="B1755" s="46" t="inlineStr">
        <is>
          <t>정기검사</t>
        </is>
      </c>
      <c r="C1755" s="46" t="inlineStr">
        <is>
          <t>김포지역</t>
        </is>
      </c>
      <c r="D1755" s="46" t="inlineStr">
        <is>
          <t>대교리사이이클링</t>
        </is>
      </c>
      <c r="E1755" s="46" t="n">
        <v>500</v>
      </c>
      <c r="F1755" s="46" t="inlineStr">
        <is>
          <t>갈산리</t>
        </is>
      </c>
      <c r="G1755" s="50" t="n">
        <v>0.3958333333333333</v>
      </c>
      <c r="H1755" s="51" t="n">
        <v>737000</v>
      </c>
      <c r="I1755" s="46" t="inlineStr">
        <is>
          <t>이종석</t>
        </is>
      </c>
      <c r="K1755" s="46" t="n">
        <v>1754</v>
      </c>
      <c r="L1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6">
      <c r="A1756" s="229" t="n">
        <v>46164</v>
      </c>
      <c r="B1756" s="46" t="inlineStr">
        <is>
          <t>정기검사</t>
        </is>
      </c>
      <c r="C1756" s="46" t="inlineStr">
        <is>
          <t>김포지역</t>
        </is>
      </c>
      <c r="D1756" s="46" t="inlineStr">
        <is>
          <t>대성산업</t>
        </is>
      </c>
      <c r="E1756" s="46" t="n">
        <v>300</v>
      </c>
      <c r="F1756" s="46" t="inlineStr">
        <is>
          <t>가현리</t>
        </is>
      </c>
      <c r="G1756" s="50" t="n">
        <v>0.4861111111111111</v>
      </c>
      <c r="H1756" s="51" t="n">
        <v>521730</v>
      </c>
      <c r="I1756" s="46" t="inlineStr">
        <is>
          <t>이종석</t>
        </is>
      </c>
      <c r="K1756" s="46" t="n">
        <v>1755</v>
      </c>
      <c r="L1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7">
      <c r="A1757" s="229" t="n">
        <v>46164</v>
      </c>
      <c r="B1757" s="46" t="inlineStr">
        <is>
          <t>사용전검사</t>
        </is>
      </c>
      <c r="C1757" s="46" t="inlineStr">
        <is>
          <t>부천지역</t>
        </is>
      </c>
      <c r="D1757" s="46" t="inlineStr">
        <is>
          <t>엠티엠</t>
        </is>
      </c>
      <c r="E1757" s="46" t="n">
        <v>990</v>
      </c>
      <c r="F1757" s="46" t="inlineStr">
        <is>
          <t>도당동</t>
        </is>
      </c>
      <c r="G1757" s="50" t="n"/>
      <c r="H1757" s="51" t="n"/>
      <c r="I1757" s="46" t="inlineStr">
        <is>
          <t>민경수</t>
        </is>
      </c>
      <c r="K1757" s="46" t="n">
        <v>1756</v>
      </c>
      <c r="L1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8">
      <c r="A1758" s="229" t="n">
        <v>46164</v>
      </c>
      <c r="B1758" s="46" t="inlineStr">
        <is>
          <t>사용전검사</t>
        </is>
      </c>
      <c r="C1758" s="46" t="inlineStr">
        <is>
          <t>부천지역</t>
        </is>
      </c>
      <c r="D1758" s="46" t="inlineStr">
        <is>
          <t>음내점</t>
        </is>
      </c>
      <c r="E1758" s="46" t="n">
        <v>17</v>
      </c>
      <c r="F1758" s="46" t="inlineStr">
        <is>
          <t>심곡동</t>
        </is>
      </c>
      <c r="G1758" s="50" t="n"/>
      <c r="H1758" s="51" t="n"/>
      <c r="I1758" s="46" t="inlineStr">
        <is>
          <t>한태희</t>
        </is>
      </c>
      <c r="K1758" s="46" t="n">
        <v>1757</v>
      </c>
      <c r="L1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9">
      <c r="A1759" s="229" t="n">
        <v>46164</v>
      </c>
      <c r="B1759" s="46" t="inlineStr">
        <is>
          <t>메모</t>
        </is>
      </c>
      <c r="C1759" s="46" t="inlineStr">
        <is>
          <t>부천지역</t>
        </is>
      </c>
      <c r="D1759" s="46" t="inlineStr">
        <is>
          <t>우승택휴가</t>
        </is>
      </c>
      <c r="E1759" s="46" t="n"/>
      <c r="F1759" s="46" t="n"/>
      <c r="G1759" s="50" t="n"/>
      <c r="H1759" s="51" t="n"/>
      <c r="I1759" s="46" t="n"/>
      <c r="K1759" s="46" t="n">
        <v>1758</v>
      </c>
      <c r="L1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0">
      <c r="A1760" s="229" t="n">
        <v>46164</v>
      </c>
      <c r="B1760" s="46" t="inlineStr">
        <is>
          <t>사용전검사</t>
        </is>
      </c>
      <c r="C1760" s="46" t="inlineStr">
        <is>
          <t>김포지역</t>
        </is>
      </c>
      <c r="D1760" s="46" t="inlineStr">
        <is>
          <t>골프존파크</t>
        </is>
      </c>
      <c r="E1760" s="46" t="n">
        <v>56</v>
      </c>
      <c r="F1760" s="46" t="inlineStr">
        <is>
          <t>귀전리</t>
        </is>
      </c>
      <c r="G1760" s="50" t="n"/>
      <c r="H1760" s="51" t="n"/>
      <c r="I1760" s="46" t="inlineStr">
        <is>
          <t>정신배</t>
        </is>
      </c>
      <c r="K1760" s="46" t="n">
        <v>1759</v>
      </c>
      <c r="L1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1">
      <c r="A1761" s="229" t="n">
        <v>46164</v>
      </c>
      <c r="B1761" s="46" t="inlineStr">
        <is>
          <t>사용전검사</t>
        </is>
      </c>
      <c r="C1761" s="46" t="inlineStr">
        <is>
          <t>김포지역</t>
        </is>
      </c>
      <c r="D1761" s="46" t="inlineStr">
        <is>
          <t>세븐위터</t>
        </is>
      </c>
      <c r="E1761" s="46" t="n">
        <v>61</v>
      </c>
      <c r="F1761" s="46" t="inlineStr">
        <is>
          <t>송마리</t>
        </is>
      </c>
      <c r="G1761" s="50" t="n"/>
      <c r="H1761" s="51" t="n"/>
      <c r="I1761" s="46" t="inlineStr">
        <is>
          <t>이덕기</t>
        </is>
      </c>
      <c r="K1761" s="46" t="n">
        <v>1760</v>
      </c>
      <c r="L1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2">
      <c r="A1762" s="229" t="n">
        <v>46164</v>
      </c>
      <c r="B1762" s="46" t="inlineStr">
        <is>
          <t>사용전검사</t>
        </is>
      </c>
      <c r="C1762" s="46" t="inlineStr">
        <is>
          <t>김포지역</t>
        </is>
      </c>
      <c r="D1762" s="46" t="inlineStr">
        <is>
          <t>세븐위터</t>
        </is>
      </c>
      <c r="E1762" s="46" t="n">
        <v>62</v>
      </c>
      <c r="F1762" s="46" t="inlineStr">
        <is>
          <t>송마리</t>
        </is>
      </c>
      <c r="G1762" s="50" t="n"/>
      <c r="H1762" s="51" t="n"/>
      <c r="I1762" s="46" t="inlineStr">
        <is>
          <t>이덕기</t>
        </is>
      </c>
      <c r="K1762" s="46" t="n">
        <v>1761</v>
      </c>
      <c r="L1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3">
      <c r="A1763" s="229" t="n">
        <v>46164</v>
      </c>
      <c r="B1763" s="46" t="inlineStr">
        <is>
          <t>사용전검사</t>
        </is>
      </c>
      <c r="C1763" s="46" t="inlineStr">
        <is>
          <t>김포지역</t>
        </is>
      </c>
      <c r="D1763" s="46" t="inlineStr">
        <is>
          <t>GS</t>
        </is>
      </c>
      <c r="E1763" s="46" t="n">
        <v>17</v>
      </c>
      <c r="F1763" s="46" t="inlineStr">
        <is>
          <t>장기동</t>
        </is>
      </c>
      <c r="G1763" s="50" t="n"/>
      <c r="H1763" s="51" t="n"/>
      <c r="I1763" s="46" t="inlineStr">
        <is>
          <t>허창수</t>
        </is>
      </c>
      <c r="K1763" s="46" t="n">
        <v>1762</v>
      </c>
      <c r="L1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4">
      <c r="A1764" s="229" t="n">
        <v>46164</v>
      </c>
      <c r="B1764" s="46" t="inlineStr">
        <is>
          <t>사용전검사</t>
        </is>
      </c>
      <c r="C1764" s="46" t="inlineStr">
        <is>
          <t>김포지역</t>
        </is>
      </c>
      <c r="D1764" s="46" t="inlineStr">
        <is>
          <t>해병자원</t>
        </is>
      </c>
      <c r="E1764" s="46" t="n">
        <v>19</v>
      </c>
      <c r="F1764" s="46" t="inlineStr">
        <is>
          <t>대능리</t>
        </is>
      </c>
      <c r="G1764" s="50" t="n"/>
      <c r="H1764" s="51" t="n"/>
      <c r="I1764" s="46" t="inlineStr">
        <is>
          <t>송두기</t>
        </is>
      </c>
      <c r="K1764" s="46" t="n">
        <v>1763</v>
      </c>
      <c r="L1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5">
      <c r="A1765" s="229" t="n">
        <v>46165</v>
      </c>
      <c r="B1765" s="46" t="inlineStr">
        <is>
          <t>정기검사</t>
        </is>
      </c>
      <c r="C1765" s="46" t="inlineStr">
        <is>
          <t>부천지역</t>
        </is>
      </c>
      <c r="D1765" s="46" t="inlineStr">
        <is>
          <t>위브더</t>
        </is>
      </c>
      <c r="E1765" s="46" t="inlineStr">
        <is>
          <t>3000/750</t>
        </is>
      </c>
      <c r="F1765" s="46" t="inlineStr">
        <is>
          <t>중동</t>
        </is>
      </c>
      <c r="G1765" s="50" t="n">
        <v>0.2708333333333333</v>
      </c>
      <c r="H1765" s="51" t="n">
        <v>1948540</v>
      </c>
      <c r="I1765" s="46" t="inlineStr">
        <is>
          <t>우승택</t>
        </is>
      </c>
      <c r="K1765" s="46" t="n">
        <v>1764</v>
      </c>
      <c r="L1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6">
      <c r="A1766" s="229" t="n">
        <v>46165</v>
      </c>
      <c r="B1766" s="46" t="inlineStr">
        <is>
          <t>정기검사</t>
        </is>
      </c>
      <c r="C1766" s="46" t="inlineStr">
        <is>
          <t>부천지역</t>
        </is>
      </c>
      <c r="D1766" s="46" t="inlineStr">
        <is>
          <t>대통기획</t>
        </is>
      </c>
      <c r="E1766" s="46" t="inlineStr">
        <is>
          <t>750/200</t>
        </is>
      </c>
      <c r="F1766" s="46" t="inlineStr">
        <is>
          <t>심곡동</t>
        </is>
      </c>
      <c r="G1766" s="50" t="n">
        <v>0.3958333333333333</v>
      </c>
      <c r="H1766" s="51" t="n">
        <v>1322750</v>
      </c>
      <c r="I1766" s="46" t="inlineStr">
        <is>
          <t>한태희</t>
        </is>
      </c>
      <c r="K1766" s="46" t="n">
        <v>1765</v>
      </c>
      <c r="L1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7">
      <c r="A1767" s="229" t="n">
        <v>46165</v>
      </c>
      <c r="B1767" s="46" t="inlineStr">
        <is>
          <t>정기검사</t>
        </is>
      </c>
      <c r="C1767" s="46" t="inlineStr">
        <is>
          <t>부천지역</t>
        </is>
      </c>
      <c r="D1767" s="46" t="inlineStr">
        <is>
          <t>위브더</t>
        </is>
      </c>
      <c r="E1767" s="46" t="inlineStr">
        <is>
          <t>전기차</t>
        </is>
      </c>
      <c r="F1767" s="46" t="inlineStr">
        <is>
          <t>중동</t>
        </is>
      </c>
      <c r="G1767" s="50" t="n">
        <v>0.4166666666666667</v>
      </c>
      <c r="H1767" s="51" t="n">
        <v>215600</v>
      </c>
      <c r="I1767" s="46" t="inlineStr">
        <is>
          <t>한태희</t>
        </is>
      </c>
      <c r="K1767" s="46" t="n">
        <v>1766</v>
      </c>
      <c r="L1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8">
      <c r="A1768" s="229" t="n">
        <v>46165</v>
      </c>
      <c r="B1768" s="46" t="inlineStr">
        <is>
          <t>사용전검사</t>
        </is>
      </c>
      <c r="C1768" s="46" t="inlineStr">
        <is>
          <t>부천지역</t>
        </is>
      </c>
      <c r="D1768" s="46" t="inlineStr">
        <is>
          <t>퀸즈파크</t>
        </is>
      </c>
      <c r="E1768" s="46" t="n">
        <v>240</v>
      </c>
      <c r="F1768" s="46" t="inlineStr">
        <is>
          <t>옥길동</t>
        </is>
      </c>
      <c r="G1768" s="50" t="n"/>
      <c r="H1768" s="51" t="n"/>
      <c r="I1768" s="46" t="inlineStr">
        <is>
          <t>정성관</t>
        </is>
      </c>
      <c r="K1768" s="46" t="n">
        <v>1767</v>
      </c>
      <c r="L1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9">
      <c r="A1769" s="229" t="n">
        <v>46165</v>
      </c>
      <c r="B1769" s="46" t="inlineStr">
        <is>
          <t>메모</t>
        </is>
      </c>
      <c r="C1769" s="46" t="inlineStr">
        <is>
          <t>부천지역</t>
        </is>
      </c>
      <c r="D1769" s="46" t="inlineStr">
        <is>
          <t>서수형휴가</t>
        </is>
      </c>
      <c r="E1769" s="46" t="n"/>
      <c r="F1769" s="46" t="n"/>
      <c r="G1769" s="50" t="n"/>
      <c r="H1769" s="51" t="n"/>
      <c r="I1769" s="46" t="n"/>
      <c r="K1769" s="46" t="n">
        <v>1768</v>
      </c>
      <c r="L1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0">
      <c r="A1770" s="229" t="n">
        <v>46165</v>
      </c>
      <c r="B1770" s="46" t="inlineStr">
        <is>
          <t>메모</t>
        </is>
      </c>
      <c r="C1770" s="46" t="inlineStr">
        <is>
          <t>부천지역</t>
        </is>
      </c>
      <c r="D1770" s="46" t="inlineStr">
        <is>
          <t>민재홍휴가</t>
        </is>
      </c>
      <c r="E1770" s="46" t="n"/>
      <c r="F1770" s="46" t="n"/>
      <c r="G1770" s="50" t="n"/>
      <c r="H1770" s="51" t="n"/>
      <c r="I1770" s="46" t="n"/>
      <c r="K1770" s="46" t="n">
        <v>1769</v>
      </c>
      <c r="L1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1">
      <c r="A1771" s="229" t="n">
        <v>46165</v>
      </c>
      <c r="B1771" s="46" t="inlineStr">
        <is>
          <t>사용전검사</t>
        </is>
      </c>
      <c r="C1771" s="46" t="inlineStr">
        <is>
          <t>김포지역</t>
        </is>
      </c>
      <c r="D1771" s="46" t="inlineStr">
        <is>
          <t>삼광사</t>
        </is>
      </c>
      <c r="E1771" s="46" t="n">
        <v>650</v>
      </c>
      <c r="F1771" s="46" t="inlineStr">
        <is>
          <t>전류리</t>
        </is>
      </c>
      <c r="G1771" s="50" t="n"/>
      <c r="H1771" s="51" t="n"/>
      <c r="I1771" s="46" t="inlineStr">
        <is>
          <t>정신배</t>
        </is>
      </c>
      <c r="K1771" s="46" t="n">
        <v>1770</v>
      </c>
      <c r="L1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2">
      <c r="A1772" s="229" t="n">
        <v>46166</v>
      </c>
      <c r="B1772" s="46" t="inlineStr">
        <is>
          <t>메모</t>
        </is>
      </c>
      <c r="C1772" s="46" t="inlineStr">
        <is>
          <t>부천지역</t>
        </is>
      </c>
      <c r="D1772" s="46" t="inlineStr">
        <is>
          <t>임마트</t>
        </is>
      </c>
      <c r="E1772" s="46" t="n"/>
      <c r="F1772" s="46" t="n"/>
      <c r="G1772" s="50" t="n"/>
      <c r="H1772" s="51" t="n"/>
      <c r="I1772" s="46" t="n"/>
      <c r="K1772" s="46" t="n">
        <v>1771</v>
      </c>
      <c r="L1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3">
      <c r="A1773" s="229" t="n">
        <v>46166</v>
      </c>
      <c r="B1773" s="46" t="inlineStr">
        <is>
          <t>메모</t>
        </is>
      </c>
      <c r="C1773" s="46" t="inlineStr">
        <is>
          <t>부천지역</t>
        </is>
      </c>
      <c r="D1773" s="46" t="inlineStr">
        <is>
          <t>서수형휴가</t>
        </is>
      </c>
      <c r="E1773" s="46" t="n"/>
      <c r="F1773" s="46" t="n"/>
      <c r="G1773" s="50" t="n"/>
      <c r="H1773" s="51" t="n"/>
      <c r="I1773" s="46" t="n"/>
      <c r="K1773" s="46" t="n">
        <v>1772</v>
      </c>
      <c r="L1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4">
      <c r="A1774" s="229" t="n">
        <v>46166</v>
      </c>
      <c r="B1774" s="46" t="inlineStr">
        <is>
          <t>메모</t>
        </is>
      </c>
      <c r="C1774" s="46" t="inlineStr">
        <is>
          <t>부천지역</t>
        </is>
      </c>
      <c r="D1774" s="46" t="inlineStr">
        <is>
          <t>민재홍휴가</t>
        </is>
      </c>
      <c r="E1774" s="46" t="n"/>
      <c r="F1774" s="46" t="n"/>
      <c r="G1774" s="50" t="n"/>
      <c r="H1774" s="51" t="n"/>
      <c r="I1774" s="46" t="n"/>
      <c r="K1774" s="46" t="n">
        <v>1773</v>
      </c>
      <c r="L1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5">
      <c r="A1775" s="229" t="n">
        <v>46167</v>
      </c>
      <c r="B1775" s="46" t="inlineStr">
        <is>
          <t>메모</t>
        </is>
      </c>
      <c r="C1775" s="46" t="inlineStr">
        <is>
          <t>부천지역</t>
        </is>
      </c>
      <c r="D1775" s="46" t="inlineStr">
        <is>
          <t>서수형휴가</t>
        </is>
      </c>
      <c r="E1775" s="46" t="n"/>
      <c r="F1775" s="46" t="n"/>
      <c r="G1775" s="50" t="n"/>
      <c r="H1775" s="51" t="n"/>
      <c r="I1775" s="46" t="n"/>
      <c r="K1775" s="46" t="n">
        <v>1774</v>
      </c>
      <c r="L1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6">
      <c r="A1776" s="229" t="n">
        <v>46167</v>
      </c>
      <c r="B1776" s="46" t="inlineStr">
        <is>
          <t>메모</t>
        </is>
      </c>
      <c r="C1776" s="46" t="inlineStr">
        <is>
          <t>부천지역</t>
        </is>
      </c>
      <c r="D1776" s="46" t="inlineStr">
        <is>
          <t>휴일</t>
        </is>
      </c>
      <c r="E1776" s="46" t="n"/>
      <c r="F1776" s="46" t="n"/>
      <c r="G1776" s="50" t="n"/>
      <c r="H1776" s="51" t="n"/>
      <c r="I1776" s="46" t="n"/>
      <c r="K1776" s="46" t="n">
        <v>1775</v>
      </c>
      <c r="L1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7">
      <c r="A1777" s="229" t="n">
        <v>46167</v>
      </c>
      <c r="B1777" s="46" t="inlineStr">
        <is>
          <t>메모</t>
        </is>
      </c>
      <c r="C1777" s="46" t="inlineStr">
        <is>
          <t>부천지역</t>
        </is>
      </c>
      <c r="D1777" s="46" t="inlineStr">
        <is>
          <t>민재홍휴가</t>
        </is>
      </c>
      <c r="E1777" s="46" t="n"/>
      <c r="F1777" s="46" t="n"/>
      <c r="G1777" s="50" t="n"/>
      <c r="H1777" s="51" t="n"/>
      <c r="I1777" s="46" t="n"/>
      <c r="K1777" s="46" t="n">
        <v>1776</v>
      </c>
      <c r="L1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8">
      <c r="A1778" s="229" t="n">
        <v>46168</v>
      </c>
      <c r="B1778" s="46" t="inlineStr">
        <is>
          <t>정기검사</t>
        </is>
      </c>
      <c r="C1778" s="46" t="inlineStr">
        <is>
          <t>부천지역</t>
        </is>
      </c>
      <c r="D1778" s="46" t="inlineStr">
        <is>
          <t>하이베라스빌딩</t>
        </is>
      </c>
      <c r="E1778" s="46" t="inlineStr">
        <is>
          <t>950/164</t>
        </is>
      </c>
      <c r="F1778" s="46" t="inlineStr">
        <is>
          <t>중동</t>
        </is>
      </c>
      <c r="G1778" s="50" t="n">
        <v>0.3958333333333333</v>
      </c>
      <c r="H1778" s="51" t="n">
        <v>1074590</v>
      </c>
      <c r="I1778" s="46" t="inlineStr">
        <is>
          <t>정신배</t>
        </is>
      </c>
      <c r="K1778" s="46" t="n">
        <v>1777</v>
      </c>
      <c r="L1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9">
      <c r="A1779" s="229" t="n">
        <v>46168</v>
      </c>
      <c r="B1779" s="46" t="inlineStr">
        <is>
          <t>정기검사</t>
        </is>
      </c>
      <c r="C1779" s="46" t="inlineStr">
        <is>
          <t>부천지역</t>
        </is>
      </c>
      <c r="D1779" s="46" t="inlineStr">
        <is>
          <t>여월늘해랑</t>
        </is>
      </c>
      <c r="E1779" s="46" t="inlineStr">
        <is>
          <t>전기차</t>
        </is>
      </c>
      <c r="F1779" s="46" t="inlineStr">
        <is>
          <t>여월</t>
        </is>
      </c>
      <c r="G1779" s="50" t="n"/>
      <c r="H1779" s="51" t="n">
        <v>254540</v>
      </c>
      <c r="I1779" s="46" t="inlineStr">
        <is>
          <t>정신배</t>
        </is>
      </c>
      <c r="K1779" s="46" t="n">
        <v>1778</v>
      </c>
      <c r="L1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0">
      <c r="A1780" s="229" t="n">
        <v>46168</v>
      </c>
      <c r="B1780" s="46" t="inlineStr">
        <is>
          <t>정기검사</t>
        </is>
      </c>
      <c r="C1780" s="46" t="inlineStr">
        <is>
          <t>부천지역</t>
        </is>
      </c>
      <c r="D1780" s="46" t="inlineStr">
        <is>
          <t>광백오피스텔</t>
        </is>
      </c>
      <c r="E1780" s="46" t="n">
        <v>300</v>
      </c>
      <c r="F1780" s="46" t="inlineStr">
        <is>
          <t>송내동</t>
        </is>
      </c>
      <c r="G1780" s="50" t="n">
        <v>0.4166666666666667</v>
      </c>
      <c r="H1780" s="51" t="n">
        <v>521730</v>
      </c>
      <c r="I1780" s="46" t="inlineStr">
        <is>
          <t>당효진</t>
        </is>
      </c>
      <c r="K1780" s="46" t="n">
        <v>1779</v>
      </c>
      <c r="L1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1">
      <c r="A1781" s="229" t="n">
        <v>46168</v>
      </c>
      <c r="B1781" s="46" t="inlineStr">
        <is>
          <t>정기검사</t>
        </is>
      </c>
      <c r="C1781" s="46" t="inlineStr">
        <is>
          <t>부천지역</t>
        </is>
      </c>
      <c r="D1781" s="46" t="inlineStr">
        <is>
          <t>경원테크원</t>
        </is>
      </c>
      <c r="E1781" s="46" t="n">
        <v>290</v>
      </c>
      <c r="F1781" s="46" t="inlineStr">
        <is>
          <t>내동</t>
        </is>
      </c>
      <c r="G1781" s="50" t="n">
        <v>0.5416666666666666</v>
      </c>
      <c r="H1781" s="51" t="n">
        <v>515130</v>
      </c>
      <c r="I1781" s="46" t="inlineStr">
        <is>
          <t>송낙명</t>
        </is>
      </c>
      <c r="K1781" s="46" t="n">
        <v>1780</v>
      </c>
      <c r="L1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2">
      <c r="A1782" s="229" t="n">
        <v>46168</v>
      </c>
      <c r="B1782" s="46" t="inlineStr">
        <is>
          <t>정기검사</t>
        </is>
      </c>
      <c r="C1782" s="46" t="inlineStr">
        <is>
          <t>부천지역</t>
        </is>
      </c>
      <c r="D1782" s="46" t="inlineStr">
        <is>
          <t>대경테크</t>
        </is>
      </c>
      <c r="E1782" s="46" t="n">
        <v>250</v>
      </c>
      <c r="F1782" s="46" t="inlineStr">
        <is>
          <t>삼정동</t>
        </is>
      </c>
      <c r="G1782" s="50" t="n">
        <v>0.375</v>
      </c>
      <c r="H1782" s="51" t="n">
        <v>489170</v>
      </c>
      <c r="I1782" s="46" t="inlineStr">
        <is>
          <t>송낙명</t>
        </is>
      </c>
      <c r="K1782" s="46" t="n">
        <v>1781</v>
      </c>
      <c r="L1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3">
      <c r="A1783" s="229" t="n">
        <v>46168</v>
      </c>
      <c r="B1783" s="46" t="inlineStr">
        <is>
          <t>정기검사</t>
        </is>
      </c>
      <c r="C1783" s="46" t="inlineStr">
        <is>
          <t>김포지역</t>
        </is>
      </c>
      <c r="D1783" s="46" t="inlineStr">
        <is>
          <t>신도주유소</t>
        </is>
      </c>
      <c r="E1783" s="46" t="n">
        <v>21.3</v>
      </c>
      <c r="F1783" s="46" t="inlineStr">
        <is>
          <t>대포리</t>
        </is>
      </c>
      <c r="G1783" s="50" t="n">
        <v>0.4791666666666667</v>
      </c>
      <c r="H1783" s="51" t="n">
        <v>173140</v>
      </c>
      <c r="I1783" s="46" t="inlineStr">
        <is>
          <t>한태희</t>
        </is>
      </c>
      <c r="K1783" s="46" t="n">
        <v>1782</v>
      </c>
      <c r="L1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4">
      <c r="A1784" s="229" t="n">
        <v>46168</v>
      </c>
      <c r="B1784" s="46" t="inlineStr">
        <is>
          <t>정기검사</t>
        </is>
      </c>
      <c r="C1784" s="46" t="inlineStr">
        <is>
          <t>김포지역</t>
        </is>
      </c>
      <c r="D1784" s="46" t="inlineStr">
        <is>
          <t>우석레이져</t>
        </is>
      </c>
      <c r="E1784" s="46" t="n">
        <v>290</v>
      </c>
      <c r="F1784" s="46" t="inlineStr">
        <is>
          <t>서암리</t>
        </is>
      </c>
      <c r="G1784" s="50" t="n">
        <v>0.4166666666666667</v>
      </c>
      <c r="H1784" s="51" t="n">
        <v>515130</v>
      </c>
      <c r="I1784" s="46" t="inlineStr">
        <is>
          <t>송두기</t>
        </is>
      </c>
      <c r="K1784" s="46" t="n">
        <v>1783</v>
      </c>
      <c r="L1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5">
      <c r="A1785" s="229" t="n">
        <v>46168</v>
      </c>
      <c r="B1785" s="46" t="inlineStr">
        <is>
          <t>정기검사</t>
        </is>
      </c>
      <c r="C1785" s="46" t="inlineStr">
        <is>
          <t>김포지역</t>
        </is>
      </c>
      <c r="D1785" s="46" t="inlineStr">
        <is>
          <t>풍무국민체육센터</t>
        </is>
      </c>
      <c r="E1785" s="46" t="n">
        <v>333</v>
      </c>
      <c r="F1785" s="46" t="inlineStr">
        <is>
          <t>풍무동</t>
        </is>
      </c>
      <c r="G1785" s="50" t="n">
        <v>0.4583333333333333</v>
      </c>
      <c r="H1785" s="51" t="n">
        <v>186230</v>
      </c>
      <c r="I1785" s="46" t="inlineStr">
        <is>
          <t>민경수</t>
        </is>
      </c>
      <c r="K1785" s="46" t="n">
        <v>1784</v>
      </c>
      <c r="L1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6">
      <c r="A1786" s="229" t="n">
        <v>46168</v>
      </c>
      <c r="B1786" s="46" t="inlineStr">
        <is>
          <t>정기검사</t>
        </is>
      </c>
      <c r="C1786" s="46" t="inlineStr">
        <is>
          <t>김포지역</t>
        </is>
      </c>
      <c r="D1786" s="46" t="inlineStr">
        <is>
          <t>씨엔티코리아</t>
        </is>
      </c>
      <c r="E1786" s="46" t="n">
        <v>290</v>
      </c>
      <c r="F1786" s="46" t="inlineStr">
        <is>
          <t>가현리</t>
        </is>
      </c>
      <c r="G1786" s="50" t="n">
        <v>0.5416666666666666</v>
      </c>
      <c r="H1786" s="51" t="n">
        <v>515130</v>
      </c>
      <c r="I1786" s="46" t="inlineStr">
        <is>
          <t>김영권</t>
        </is>
      </c>
      <c r="K1786" s="46" t="n">
        <v>1785</v>
      </c>
      <c r="L1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7">
      <c r="A1787" s="229" t="n">
        <v>46168</v>
      </c>
      <c r="B1787" s="46" t="inlineStr">
        <is>
          <t>정기검사</t>
        </is>
      </c>
      <c r="C1787" s="46" t="inlineStr">
        <is>
          <t>김포지역</t>
        </is>
      </c>
      <c r="D1787" s="46" t="inlineStr">
        <is>
          <t>힐스테이트리버</t>
        </is>
      </c>
      <c r="E1787" s="46" t="n">
        <v>118</v>
      </c>
      <c r="F1787" s="46" t="inlineStr">
        <is>
          <t>고촌</t>
        </is>
      </c>
      <c r="G1787" s="50" t="n">
        <v>0.4375</v>
      </c>
      <c r="H1787" s="51" t="n">
        <v>171490</v>
      </c>
      <c r="I1787" s="46" t="inlineStr">
        <is>
          <t>민경수</t>
        </is>
      </c>
      <c r="K1787" s="46" t="n">
        <v>1786</v>
      </c>
      <c r="L1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8">
      <c r="A1788" s="229" t="n">
        <v>46168</v>
      </c>
      <c r="B1788" s="46" t="inlineStr">
        <is>
          <t>정기검사</t>
        </is>
      </c>
      <c r="C1788" s="46" t="inlineStr">
        <is>
          <t>김포지역</t>
        </is>
      </c>
      <c r="D1788" s="46" t="inlineStr">
        <is>
          <t>더럭스</t>
        </is>
      </c>
      <c r="E1788" s="46" t="inlineStr">
        <is>
          <t>전기차</t>
        </is>
      </c>
      <c r="F1788" s="46" t="inlineStr">
        <is>
          <t>구래동</t>
        </is>
      </c>
      <c r="G1788" s="50" t="n">
        <v>0.4166666666666667</v>
      </c>
      <c r="H1788" s="51" t="n">
        <v>106590</v>
      </c>
      <c r="I1788" s="46" t="inlineStr">
        <is>
          <t>민재홍</t>
        </is>
      </c>
      <c r="K1788" s="46" t="n">
        <v>1787</v>
      </c>
      <c r="L1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9">
      <c r="A1789" s="229" t="n">
        <v>46168</v>
      </c>
      <c r="B1789" s="46" t="inlineStr">
        <is>
          <t>정기검사</t>
        </is>
      </c>
      <c r="C1789" s="46" t="inlineStr">
        <is>
          <t>김포지역</t>
        </is>
      </c>
      <c r="D1789" s="46" t="inlineStr">
        <is>
          <t>제일샤링레이져</t>
        </is>
      </c>
      <c r="E1789" s="46" t="n">
        <v>150</v>
      </c>
      <c r="F1789" s="46" t="inlineStr">
        <is>
          <t>학운리</t>
        </is>
      </c>
      <c r="G1789" s="50" t="n">
        <v>0.5833333333333334</v>
      </c>
      <c r="H1789" s="51" t="n">
        <v>424160</v>
      </c>
      <c r="I1789" s="46" t="inlineStr">
        <is>
          <t>이덕기</t>
        </is>
      </c>
      <c r="K1789" s="46" t="n">
        <v>1788</v>
      </c>
      <c r="L1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0">
      <c r="A1790" s="229" t="n">
        <v>46168</v>
      </c>
      <c r="B1790" s="46" t="inlineStr">
        <is>
          <t>정기검사</t>
        </is>
      </c>
      <c r="C1790" s="46" t="inlineStr">
        <is>
          <t>김포지역</t>
        </is>
      </c>
      <c r="D1790" s="46" t="inlineStr">
        <is>
          <t>지영빌딩</t>
        </is>
      </c>
      <c r="E1790" s="46" t="inlineStr">
        <is>
          <t>600/130</t>
        </is>
      </c>
      <c r="F1790" s="46" t="inlineStr">
        <is>
          <t>고촌</t>
        </is>
      </c>
      <c r="G1790" s="50" t="n">
        <v>0.625</v>
      </c>
      <c r="H1790" s="51" t="n">
        <v>945890</v>
      </c>
      <c r="I1790" s="46" t="inlineStr">
        <is>
          <t>우승택</t>
        </is>
      </c>
      <c r="K1790" s="46" t="n">
        <v>1789</v>
      </c>
      <c r="L1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1">
      <c r="A1791" s="229" t="n">
        <v>46168</v>
      </c>
      <c r="B1791" s="46" t="inlineStr">
        <is>
          <t>정기검사</t>
        </is>
      </c>
      <c r="C1791" s="46" t="inlineStr">
        <is>
          <t>김포지역</t>
        </is>
      </c>
      <c r="D1791" s="46" t="inlineStr">
        <is>
          <t>사랑하는교회</t>
        </is>
      </c>
      <c r="E1791" s="46" t="inlineStr">
        <is>
          <t>400/182</t>
        </is>
      </c>
      <c r="F1791" s="46" t="inlineStr">
        <is>
          <t>장기동</t>
        </is>
      </c>
      <c r="G1791" s="50" t="n">
        <v>0.4166666666666667</v>
      </c>
      <c r="H1791" s="51" t="n">
        <v>893530</v>
      </c>
      <c r="I1791" s="46" t="inlineStr">
        <is>
          <t>서수형</t>
        </is>
      </c>
      <c r="K1791" s="46" t="n">
        <v>1790</v>
      </c>
      <c r="L1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2">
      <c r="A1792" s="229" t="n">
        <v>46168</v>
      </c>
      <c r="B1792" s="46" t="inlineStr">
        <is>
          <t>정기검사</t>
        </is>
      </c>
      <c r="C1792" s="46" t="inlineStr">
        <is>
          <t>김포지역</t>
        </is>
      </c>
      <c r="D1792" s="46" t="inlineStr">
        <is>
          <t>한국전력공사</t>
        </is>
      </c>
      <c r="E1792" s="46" t="n">
        <v>200</v>
      </c>
      <c r="F1792" s="46" t="inlineStr">
        <is>
          <t>사우동</t>
        </is>
      </c>
      <c r="G1792" s="50" t="n">
        <v>0.4166666666666667</v>
      </c>
      <c r="H1792" s="51" t="n">
        <v>288200</v>
      </c>
      <c r="I1792" s="46" t="inlineStr">
        <is>
          <t>허창수</t>
        </is>
      </c>
      <c r="K1792" s="46" t="n">
        <v>1791</v>
      </c>
      <c r="L1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3">
      <c r="A1793" s="229" t="n">
        <v>46168</v>
      </c>
      <c r="B1793" s="46" t="inlineStr">
        <is>
          <t>사용전검사</t>
        </is>
      </c>
      <c r="C1793" s="46" t="inlineStr">
        <is>
          <t>부천지역</t>
        </is>
      </c>
      <c r="D1793" s="46" t="inlineStr">
        <is>
          <t>ca이앤씨</t>
        </is>
      </c>
      <c r="E1793" s="46" t="n">
        <v>200</v>
      </c>
      <c r="F1793" s="46" t="n"/>
      <c r="G1793" s="50" t="n"/>
      <c r="H1793" s="51" t="n"/>
      <c r="I1793" s="46" t="inlineStr">
        <is>
          <t>정성관</t>
        </is>
      </c>
      <c r="K1793" s="46" t="n">
        <v>1792</v>
      </c>
      <c r="L1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4">
      <c r="A1794" s="229" t="n">
        <v>46168</v>
      </c>
      <c r="B1794" s="46" t="inlineStr">
        <is>
          <t>사용전검사</t>
        </is>
      </c>
      <c r="C1794" s="46" t="inlineStr">
        <is>
          <t>부천지역</t>
        </is>
      </c>
      <c r="D1794" s="46" t="inlineStr">
        <is>
          <t>점핑배틀</t>
        </is>
      </c>
      <c r="E1794" s="46" t="n">
        <v>25</v>
      </c>
      <c r="F1794" s="46" t="inlineStr">
        <is>
          <t>중동</t>
        </is>
      </c>
      <c r="G1794" s="50" t="n">
        <v>0.4791666666666667</v>
      </c>
      <c r="H1794" s="51" t="n"/>
      <c r="I1794" s="46" t="inlineStr">
        <is>
          <t>당효진</t>
        </is>
      </c>
      <c r="K1794" s="46" t="n">
        <v>1793</v>
      </c>
      <c r="L1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5">
      <c r="A1795" s="229" t="n">
        <v>46168</v>
      </c>
      <c r="B1795" s="46" t="inlineStr">
        <is>
          <t>사용전검사</t>
        </is>
      </c>
      <c r="C1795" s="46" t="inlineStr">
        <is>
          <t>부천지역</t>
        </is>
      </c>
      <c r="D1795" s="46" t="inlineStr">
        <is>
          <t>데이터센터</t>
        </is>
      </c>
      <c r="E1795" s="46" t="n"/>
      <c r="F1795" s="46" t="n"/>
      <c r="G1795" s="50" t="n"/>
      <c r="H1795" s="51" t="n"/>
      <c r="I1795" s="46" t="inlineStr">
        <is>
          <t>정성관</t>
        </is>
      </c>
      <c r="K1795" s="46" t="n">
        <v>1794</v>
      </c>
      <c r="L1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6">
      <c r="A1796" s="229" t="n">
        <v>46168</v>
      </c>
      <c r="B1796" s="46" t="inlineStr">
        <is>
          <t>사용전검사</t>
        </is>
      </c>
      <c r="C1796" s="46" t="inlineStr">
        <is>
          <t>부천지역</t>
        </is>
      </c>
      <c r="D1796" s="46" t="n"/>
      <c r="E1796" s="46" t="inlineStr">
        <is>
          <t>송낙명-당효진</t>
        </is>
      </c>
      <c r="F1796" s="46" t="n"/>
      <c r="G1796" s="50" t="n"/>
      <c r="H1796" s="51" t="n"/>
      <c r="I1796" s="46" t="n"/>
      <c r="K1796" s="46" t="n">
        <v>1795</v>
      </c>
      <c r="L1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7">
      <c r="A1797" s="229" t="n">
        <v>46168</v>
      </c>
      <c r="B1797" s="46" t="inlineStr">
        <is>
          <t>메모</t>
        </is>
      </c>
      <c r="C1797" s="46" t="inlineStr">
        <is>
          <t>부천지역</t>
        </is>
      </c>
      <c r="D1797" s="46" t="inlineStr">
        <is>
          <t>이종석휴가</t>
        </is>
      </c>
      <c r="E1797" s="46" t="n"/>
      <c r="F1797" s="46" t="n"/>
      <c r="G1797" s="50" t="n"/>
      <c r="H1797" s="51" t="n"/>
      <c r="I1797" s="46" t="n"/>
      <c r="K1797" s="46" t="n">
        <v>1796</v>
      </c>
      <c r="L1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8">
      <c r="A1798" s="229" t="n">
        <v>46168</v>
      </c>
      <c r="B1798" s="46" t="inlineStr">
        <is>
          <t>사용전검사</t>
        </is>
      </c>
      <c r="C1798" s="46" t="inlineStr">
        <is>
          <t>김포지역</t>
        </is>
      </c>
      <c r="D1798" s="46" t="inlineStr">
        <is>
          <t>우주자원</t>
        </is>
      </c>
      <c r="E1798" s="46" t="n">
        <v>600</v>
      </c>
      <c r="F1798" s="46" t="inlineStr">
        <is>
          <t>율생리</t>
        </is>
      </c>
      <c r="G1798" s="50" t="n"/>
      <c r="H1798" s="51" t="n"/>
      <c r="I1798" s="46" t="inlineStr">
        <is>
          <t>서수형</t>
        </is>
      </c>
      <c r="K1798" s="46" t="n">
        <v>1797</v>
      </c>
      <c r="L1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9">
      <c r="A1799" s="229" t="n">
        <v>46168</v>
      </c>
      <c r="B1799" s="46" t="inlineStr">
        <is>
          <t>사용전검사</t>
        </is>
      </c>
      <c r="C1799" s="46" t="inlineStr">
        <is>
          <t>김포지역</t>
        </is>
      </c>
      <c r="D1799" s="46" t="inlineStr">
        <is>
          <t>우디스위드</t>
        </is>
      </c>
      <c r="E1799" s="46" t="n">
        <v>256</v>
      </c>
      <c r="F1799" s="46" t="inlineStr">
        <is>
          <t>학운리</t>
        </is>
      </c>
      <c r="G1799" s="50" t="n"/>
      <c r="H1799" s="51" t="n"/>
      <c r="I1799" s="46" t="inlineStr">
        <is>
          <t>허창수</t>
        </is>
      </c>
      <c r="K1799" s="46" t="n">
        <v>1798</v>
      </c>
      <c r="L1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0">
      <c r="A1800" s="229" t="n">
        <v>46168</v>
      </c>
      <c r="B1800" s="46" t="inlineStr">
        <is>
          <t>사용전검사</t>
        </is>
      </c>
      <c r="C1800" s="46" t="inlineStr">
        <is>
          <t>김포지역</t>
        </is>
      </c>
      <c r="D1800" s="46" t="inlineStr">
        <is>
          <t>엘디자인</t>
        </is>
      </c>
      <c r="E1800" s="46" t="inlineStr">
        <is>
          <t>변변</t>
        </is>
      </c>
      <c r="F1800" s="46" t="inlineStr">
        <is>
          <t>학운리</t>
        </is>
      </c>
      <c r="G1800" s="50" t="n"/>
      <c r="H1800" s="51" t="n"/>
      <c r="I1800" s="46" t="inlineStr">
        <is>
          <t>서수형</t>
        </is>
      </c>
      <c r="K1800" s="46" t="n">
        <v>1799</v>
      </c>
      <c r="L1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1">
      <c r="A1801" s="229" t="n">
        <v>46169</v>
      </c>
      <c r="B1801" s="46" t="inlineStr">
        <is>
          <t>정기검사</t>
        </is>
      </c>
      <c r="C1801" s="46" t="inlineStr">
        <is>
          <t>부천지역</t>
        </is>
      </c>
      <c r="D1801" s="46" t="inlineStr">
        <is>
          <t>태우</t>
        </is>
      </c>
      <c r="E1801" s="46" t="n">
        <v>290</v>
      </c>
      <c r="F1801" s="46" t="inlineStr">
        <is>
          <t>도당동</t>
        </is>
      </c>
      <c r="G1801" s="50" t="n">
        <v>0.4791666666666667</v>
      </c>
      <c r="H1801" s="51" t="n">
        <v>515130</v>
      </c>
      <c r="I1801" s="46" t="inlineStr">
        <is>
          <t>한태희</t>
        </is>
      </c>
      <c r="K1801" s="46" t="n">
        <v>1800</v>
      </c>
      <c r="L1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2">
      <c r="A1802" s="229" t="n">
        <v>46169</v>
      </c>
      <c r="B1802" s="46" t="inlineStr">
        <is>
          <t>정기검사</t>
        </is>
      </c>
      <c r="C1802" s="46" t="inlineStr">
        <is>
          <t>부천지역</t>
        </is>
      </c>
      <c r="D1802" s="46" t="inlineStr">
        <is>
          <t>한양하이타운로즈빌</t>
        </is>
      </c>
      <c r="E1802" s="46" t="inlineStr">
        <is>
          <t>1700/360</t>
        </is>
      </c>
      <c r="F1802" s="46" t="inlineStr">
        <is>
          <t>상동</t>
        </is>
      </c>
      <c r="G1802" s="50" t="n">
        <v>0.3958333333333333</v>
      </c>
      <c r="H1802" s="51" t="n">
        <v>1235960</v>
      </c>
      <c r="I1802" s="46" t="inlineStr">
        <is>
          <t>송두기</t>
        </is>
      </c>
      <c r="K1802" s="46" t="n">
        <v>1801</v>
      </c>
      <c r="L1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3">
      <c r="A1803" s="229" t="n">
        <v>46169</v>
      </c>
      <c r="B1803" s="46" t="inlineStr">
        <is>
          <t>정기검사</t>
        </is>
      </c>
      <c r="C1803" s="46" t="inlineStr">
        <is>
          <t>부천지역</t>
        </is>
      </c>
      <c r="D1803" s="46" t="inlineStr">
        <is>
          <t>한양하이타운로즈빌</t>
        </is>
      </c>
      <c r="E1803" s="46" t="inlineStr">
        <is>
          <t>전기차</t>
        </is>
      </c>
      <c r="F1803" s="46" t="n"/>
      <c r="G1803" s="50" t="n"/>
      <c r="H1803" s="51" t="n">
        <v>140470</v>
      </c>
      <c r="I1803" s="46" t="inlineStr">
        <is>
          <t>송두기</t>
        </is>
      </c>
      <c r="K1803" s="46" t="n">
        <v>1802</v>
      </c>
      <c r="L1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4">
      <c r="A1804" s="229" t="n">
        <v>46169</v>
      </c>
      <c r="B1804" s="46" t="inlineStr">
        <is>
          <t>정기검사</t>
        </is>
      </c>
      <c r="C1804" s="46" t="inlineStr">
        <is>
          <t>부천지역</t>
        </is>
      </c>
      <c r="D1804" s="46" t="inlineStr">
        <is>
          <t>상인초</t>
        </is>
      </c>
      <c r="E1804" s="46" t="inlineStr">
        <is>
          <t>750/236</t>
        </is>
      </c>
      <c r="F1804" s="46" t="inlineStr">
        <is>
          <t>상동</t>
        </is>
      </c>
      <c r="G1804" s="50" t="n">
        <v>0.6875</v>
      </c>
      <c r="H1804" s="51" t="n">
        <v>1028060</v>
      </c>
      <c r="I1804" s="46" t="inlineStr">
        <is>
          <t>우승택</t>
        </is>
      </c>
      <c r="K1804" s="46" t="n">
        <v>1803</v>
      </c>
      <c r="L1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5">
      <c r="A1805" s="229" t="n">
        <v>46169</v>
      </c>
      <c r="B1805" s="46" t="inlineStr">
        <is>
          <t>정기검사</t>
        </is>
      </c>
      <c r="C1805" s="46" t="inlineStr">
        <is>
          <t>부천지역</t>
        </is>
      </c>
      <c r="D1805" s="46" t="inlineStr">
        <is>
          <t>경륜경정총괄</t>
        </is>
      </c>
      <c r="E1805" s="46" t="inlineStr">
        <is>
          <t>UPS</t>
        </is>
      </c>
      <c r="F1805" s="46" t="inlineStr">
        <is>
          <t>부천역</t>
        </is>
      </c>
      <c r="G1805" s="50" t="n">
        <v>0.4166666666666667</v>
      </c>
      <c r="H1805" s="51" t="n">
        <v>272030</v>
      </c>
      <c r="I1805" s="46" t="inlineStr">
        <is>
          <t>김영권</t>
        </is>
      </c>
      <c r="K1805" s="46" t="n">
        <v>1804</v>
      </c>
      <c r="L1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6">
      <c r="A1806" s="229" t="n">
        <v>46169</v>
      </c>
      <c r="B1806" s="46" t="inlineStr">
        <is>
          <t>정기검사</t>
        </is>
      </c>
      <c r="C1806" s="46" t="inlineStr">
        <is>
          <t>부천지역</t>
        </is>
      </c>
      <c r="D1806" s="46" t="inlineStr">
        <is>
          <t>크린존</t>
        </is>
      </c>
      <c r="E1806" s="46" t="n">
        <v>300</v>
      </c>
      <c r="F1806" s="46" t="inlineStr">
        <is>
          <t>범박동</t>
        </is>
      </c>
      <c r="G1806" s="50" t="n">
        <v>0.3958333333333333</v>
      </c>
      <c r="H1806" s="51" t="n">
        <v>521730</v>
      </c>
      <c r="I1806" s="46" t="inlineStr">
        <is>
          <t>민재홍</t>
        </is>
      </c>
      <c r="K1806" s="46" t="n">
        <v>1805</v>
      </c>
      <c r="L1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7">
      <c r="A1807" s="229" t="n">
        <v>46169</v>
      </c>
      <c r="B1807" s="46" t="inlineStr">
        <is>
          <t>정기검사</t>
        </is>
      </c>
      <c r="C1807" s="46" t="inlineStr">
        <is>
          <t>부천지역</t>
        </is>
      </c>
      <c r="D1807" s="46" t="inlineStr">
        <is>
          <t>부천시청</t>
        </is>
      </c>
      <c r="E1807" s="46" t="n">
        <v>13.5</v>
      </c>
      <c r="F1807" s="46" t="inlineStr">
        <is>
          <t>고강동</t>
        </is>
      </c>
      <c r="G1807" s="50" t="n">
        <v>0.4166666666666667</v>
      </c>
      <c r="H1807" s="51" t="n">
        <v>92510</v>
      </c>
      <c r="I1807" s="46" t="inlineStr">
        <is>
          <t>민재홍</t>
        </is>
      </c>
      <c r="K1807" s="46" t="n">
        <v>1806</v>
      </c>
      <c r="L1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8">
      <c r="A1808" s="229" t="n">
        <v>46169</v>
      </c>
      <c r="B1808" s="46" t="inlineStr">
        <is>
          <t>정기검사</t>
        </is>
      </c>
      <c r="C1808" s="46" t="inlineStr">
        <is>
          <t>부천지역</t>
        </is>
      </c>
      <c r="D1808" s="46" t="inlineStr">
        <is>
          <t>부천아트센터</t>
        </is>
      </c>
      <c r="E1808" s="46" t="inlineStr">
        <is>
          <t>ESSUPS태양</t>
        </is>
      </c>
      <c r="F1808" s="46" t="inlineStr">
        <is>
          <t>중동</t>
        </is>
      </c>
      <c r="G1808" s="50" t="n"/>
      <c r="H1808" s="51" t="n">
        <v>1476640</v>
      </c>
      <c r="I1808" s="46" t="inlineStr">
        <is>
          <t>민경수</t>
        </is>
      </c>
      <c r="K1808" s="46" t="n">
        <v>1807</v>
      </c>
      <c r="L1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9">
      <c r="A1809" s="229" t="n">
        <v>46169</v>
      </c>
      <c r="B1809" s="46" t="inlineStr">
        <is>
          <t>정기검사</t>
        </is>
      </c>
      <c r="C1809" s="46" t="inlineStr">
        <is>
          <t>부천지역</t>
        </is>
      </c>
      <c r="D1809" s="46" t="inlineStr">
        <is>
          <t>세원빌딩</t>
        </is>
      </c>
      <c r="E1809" s="46" t="inlineStr">
        <is>
          <t>450/105</t>
        </is>
      </c>
      <c r="F1809" s="46" t="n">
        <v>0.3958333333333333</v>
      </c>
      <c r="G1809" s="50" t="n">
        <v>0.3958333333333333</v>
      </c>
      <c r="H1809" s="51" t="n">
        <v>887700</v>
      </c>
      <c r="I1809" s="46" t="inlineStr">
        <is>
          <t>우승택</t>
        </is>
      </c>
      <c r="K1809" s="46" t="n">
        <v>1808</v>
      </c>
      <c r="L1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0">
      <c r="A1810" s="229" t="n">
        <v>46169</v>
      </c>
      <c r="B1810" s="46" t="inlineStr">
        <is>
          <t>정기검사</t>
        </is>
      </c>
      <c r="C1810" s="46" t="inlineStr">
        <is>
          <t>김포지역</t>
        </is>
      </c>
      <c r="D1810" s="46" t="inlineStr">
        <is>
          <t>한강센트럴블루</t>
        </is>
      </c>
      <c r="E1810" s="46" t="inlineStr">
        <is>
          <t>전기차</t>
        </is>
      </c>
      <c r="F1810" s="46" t="inlineStr">
        <is>
          <t>마산동</t>
        </is>
      </c>
      <c r="G1810" s="50" t="n">
        <v>0.4166666666666667</v>
      </c>
      <c r="H1810" s="51" t="n">
        <v>428450</v>
      </c>
      <c r="I1810" s="46" t="inlineStr">
        <is>
          <t>서수형</t>
        </is>
      </c>
      <c r="K1810" s="46" t="n">
        <v>1809</v>
      </c>
      <c r="L1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1">
      <c r="A1811" s="229" t="n">
        <v>46169</v>
      </c>
      <c r="B1811" s="46" t="inlineStr">
        <is>
          <t>정기검사</t>
        </is>
      </c>
      <c r="C1811" s="46" t="inlineStr">
        <is>
          <t>김포지역</t>
        </is>
      </c>
      <c r="D1811" s="46" t="inlineStr">
        <is>
          <t>한강센트럴블루</t>
        </is>
      </c>
      <c r="E1811" s="46" t="inlineStr">
        <is>
          <t>6300/1750</t>
        </is>
      </c>
      <c r="F1811" s="46" t="inlineStr">
        <is>
          <t>마산동</t>
        </is>
      </c>
      <c r="G1811" s="50" t="n">
        <v>0.4166666666666667</v>
      </c>
      <c r="H1811" s="51" t="n">
        <v>2055680</v>
      </c>
      <c r="I1811" s="46" t="inlineStr">
        <is>
          <t>서수형</t>
        </is>
      </c>
      <c r="K1811" s="46" t="n">
        <v>1810</v>
      </c>
      <c r="L1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2">
      <c r="A1812" s="229" t="n">
        <v>46169</v>
      </c>
      <c r="B1812" s="46" t="inlineStr">
        <is>
          <t>정기검사</t>
        </is>
      </c>
      <c r="C1812" s="46" t="inlineStr">
        <is>
          <t>김포지역</t>
        </is>
      </c>
      <c r="D1812" s="46" t="inlineStr">
        <is>
          <t>브이아이피1호</t>
        </is>
      </c>
      <c r="E1812" s="46" t="n">
        <v>99</v>
      </c>
      <c r="F1812" s="46" t="inlineStr">
        <is>
          <t>마곡리</t>
        </is>
      </c>
      <c r="G1812" s="50" t="n"/>
      <c r="H1812" s="51" t="n">
        <v>255420</v>
      </c>
      <c r="I1812" s="46" t="inlineStr">
        <is>
          <t>당효진</t>
        </is>
      </c>
      <c r="K1812" s="46" t="n">
        <v>1811</v>
      </c>
      <c r="L1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3">
      <c r="A1813" s="229" t="n">
        <v>46169</v>
      </c>
      <c r="B1813" s="46" t="inlineStr">
        <is>
          <t>정기검사</t>
        </is>
      </c>
      <c r="C1813" s="46" t="inlineStr">
        <is>
          <t>김포지역</t>
        </is>
      </c>
      <c r="D1813" s="46" t="inlineStr">
        <is>
          <t>한일엔브이</t>
        </is>
      </c>
      <c r="E1813" s="46" t="n">
        <v>300</v>
      </c>
      <c r="F1813" s="46" t="inlineStr">
        <is>
          <t>송마리</t>
        </is>
      </c>
      <c r="G1813" s="50" t="n">
        <v>0.5</v>
      </c>
      <c r="H1813" s="51" t="n">
        <v>521730</v>
      </c>
      <c r="I1813" s="46" t="inlineStr">
        <is>
          <t>이덕기</t>
        </is>
      </c>
      <c r="K1813" s="46" t="n">
        <v>1812</v>
      </c>
      <c r="L1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4">
      <c r="A1814" s="229" t="n">
        <v>46169</v>
      </c>
      <c r="B1814" s="46" t="inlineStr">
        <is>
          <t>정기검사</t>
        </is>
      </c>
      <c r="C1814" s="46" t="inlineStr">
        <is>
          <t>김포지역</t>
        </is>
      </c>
      <c r="D1814" s="46" t="inlineStr">
        <is>
          <t>경산금속</t>
        </is>
      </c>
      <c r="E1814" s="46" t="n">
        <v>800</v>
      </c>
      <c r="F1814" s="46" t="inlineStr">
        <is>
          <t>고양리</t>
        </is>
      </c>
      <c r="G1814" s="50" t="n">
        <v>0.625</v>
      </c>
      <c r="H1814" s="51" t="n">
        <v>838640</v>
      </c>
      <c r="I1814" s="46" t="inlineStr">
        <is>
          <t>김영권</t>
        </is>
      </c>
      <c r="K1814" s="46" t="n">
        <v>1813</v>
      </c>
      <c r="L1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5">
      <c r="A1815" s="229" t="n">
        <v>46169</v>
      </c>
      <c r="B1815" s="46" t="inlineStr">
        <is>
          <t>정기검사</t>
        </is>
      </c>
      <c r="C1815" s="46" t="inlineStr">
        <is>
          <t>김포지역</t>
        </is>
      </c>
      <c r="D1815" s="46" t="inlineStr">
        <is>
          <t>이건그린텍</t>
        </is>
      </c>
      <c r="E1815" s="46" t="n">
        <v>900</v>
      </c>
      <c r="F1815" s="46" t="inlineStr">
        <is>
          <t>율생리</t>
        </is>
      </c>
      <c r="G1815" s="50" t="n">
        <v>0.4791666666666667</v>
      </c>
      <c r="H1815" s="51" t="n">
        <v>883850</v>
      </c>
      <c r="I1815" s="46" t="inlineStr">
        <is>
          <t>정신배</t>
        </is>
      </c>
      <c r="K1815" s="46" t="n">
        <v>1814</v>
      </c>
      <c r="L1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6">
      <c r="A1816" s="229" t="n">
        <v>46169</v>
      </c>
      <c r="B1816" s="46" t="inlineStr">
        <is>
          <t>정기검사</t>
        </is>
      </c>
      <c r="C1816" s="46" t="inlineStr">
        <is>
          <t>김포지역</t>
        </is>
      </c>
      <c r="D1816" s="46" t="inlineStr">
        <is>
          <t>효성아파트</t>
        </is>
      </c>
      <c r="E1816" s="46" t="inlineStr">
        <is>
          <t>811/190</t>
        </is>
      </c>
      <c r="F1816" s="46" t="inlineStr">
        <is>
          <t>감정동</t>
        </is>
      </c>
      <c r="G1816" s="50" t="n">
        <v>0.4166666666666667</v>
      </c>
      <c r="H1816" s="51" t="n">
        <v>1031470</v>
      </c>
      <c r="I1816" s="46" t="inlineStr">
        <is>
          <t>정성관</t>
        </is>
      </c>
      <c r="K1816" s="46" t="n">
        <v>1815</v>
      </c>
      <c r="L1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7">
      <c r="A1817" s="229" t="n">
        <v>46169</v>
      </c>
      <c r="B1817" s="46" t="inlineStr">
        <is>
          <t>정기검사</t>
        </is>
      </c>
      <c r="C1817" s="46" t="inlineStr">
        <is>
          <t>김포지역</t>
        </is>
      </c>
      <c r="D1817" s="46" t="inlineStr">
        <is>
          <t>디씨원</t>
        </is>
      </c>
      <c r="E1817" s="46" t="n">
        <v>250</v>
      </c>
      <c r="F1817" s="46" t="inlineStr">
        <is>
          <t>상마리</t>
        </is>
      </c>
      <c r="G1817" s="50" t="n">
        <v>0.4791666666666667</v>
      </c>
      <c r="H1817" s="51" t="n">
        <v>489170</v>
      </c>
      <c r="I1817" s="46" t="inlineStr">
        <is>
          <t>송낙명</t>
        </is>
      </c>
      <c r="K1817" s="46" t="n">
        <v>1816</v>
      </c>
      <c r="L1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8">
      <c r="A1818" s="229" t="n">
        <v>46169</v>
      </c>
      <c r="B1818" s="46" t="inlineStr">
        <is>
          <t>정기검사</t>
        </is>
      </c>
      <c r="C1818" s="46" t="inlineStr">
        <is>
          <t>김포지역</t>
        </is>
      </c>
      <c r="D1818" s="46" t="inlineStr">
        <is>
          <t>케이티</t>
        </is>
      </c>
      <c r="E1818" s="46" t="n">
        <v>50</v>
      </c>
      <c r="F1818" s="46" t="inlineStr">
        <is>
          <t>장기동</t>
        </is>
      </c>
      <c r="G1818" s="50" t="n">
        <v>0.2708333333333333</v>
      </c>
      <c r="H1818" s="51" t="n">
        <v>196770</v>
      </c>
      <c r="I1818" s="46" t="inlineStr">
        <is>
          <t>당효진</t>
        </is>
      </c>
      <c r="K1818" s="46" t="n">
        <v>1817</v>
      </c>
      <c r="L1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9">
      <c r="A1819" s="229" t="n">
        <v>46169</v>
      </c>
      <c r="B1819" s="46" t="inlineStr">
        <is>
          <t>사용전검사</t>
        </is>
      </c>
      <c r="C1819" s="46" t="inlineStr">
        <is>
          <t>부천지역</t>
        </is>
      </c>
      <c r="D1819" s="46" t="inlineStr">
        <is>
          <t>영동주택</t>
        </is>
      </c>
      <c r="E1819" s="46" t="inlineStr">
        <is>
          <t>990/409</t>
        </is>
      </c>
      <c r="F1819" s="46" t="inlineStr">
        <is>
          <t>원종동</t>
        </is>
      </c>
      <c r="G1819" s="50" t="n">
        <v>0.25</v>
      </c>
      <c r="H1819" s="51" t="n"/>
      <c r="I1819" s="46" t="inlineStr">
        <is>
          <t>민재홍</t>
        </is>
      </c>
      <c r="K1819" s="46" t="n">
        <v>1818</v>
      </c>
      <c r="L1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0">
      <c r="A1820" s="229" t="n">
        <v>46169</v>
      </c>
      <c r="B1820" s="46" t="inlineStr">
        <is>
          <t>사용전검사</t>
        </is>
      </c>
      <c r="C1820" s="46" t="inlineStr">
        <is>
          <t>부천지역</t>
        </is>
      </c>
      <c r="D1820" s="46" t="inlineStr">
        <is>
          <t>부천건우</t>
        </is>
      </c>
      <c r="E1820" s="46" t="inlineStr">
        <is>
          <t>부분</t>
        </is>
      </c>
      <c r="F1820" s="46" t="n"/>
      <c r="G1820" s="50" t="n"/>
      <c r="H1820" s="51" t="n"/>
      <c r="I1820" s="46" t="inlineStr">
        <is>
          <t>한태희</t>
        </is>
      </c>
      <c r="K1820" s="46" t="n">
        <v>1819</v>
      </c>
      <c r="L1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1">
      <c r="A1821" s="229" t="n">
        <v>46169</v>
      </c>
      <c r="B1821" s="46" t="inlineStr">
        <is>
          <t>메모</t>
        </is>
      </c>
      <c r="C1821" s="46" t="inlineStr">
        <is>
          <t>부천지역</t>
        </is>
      </c>
      <c r="D1821" s="46" t="inlineStr">
        <is>
          <t>이종석휴가</t>
        </is>
      </c>
      <c r="E1821" s="46" t="inlineStr">
        <is>
          <t>송낙명-허창수</t>
        </is>
      </c>
      <c r="F1821" s="46" t="n"/>
      <c r="G1821" s="50" t="n"/>
      <c r="H1821" s="51" t="n"/>
      <c r="I1821" s="46" t="n"/>
      <c r="K1821" s="46" t="n">
        <v>1820</v>
      </c>
      <c r="L1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2">
      <c r="A1822" s="229" t="n">
        <v>46169</v>
      </c>
      <c r="B1822" s="46" t="inlineStr">
        <is>
          <t>사용전검사</t>
        </is>
      </c>
      <c r="C1822" s="46" t="inlineStr">
        <is>
          <t>김포지역</t>
        </is>
      </c>
      <c r="D1822" s="46" t="inlineStr">
        <is>
          <t>한양</t>
        </is>
      </c>
      <c r="E1822" s="46" t="inlineStr">
        <is>
          <t>부분</t>
        </is>
      </c>
      <c r="F1822" s="46" t="inlineStr">
        <is>
          <t>사우동</t>
        </is>
      </c>
      <c r="G1822" s="50" t="n"/>
      <c r="H1822" s="51" t="n"/>
      <c r="I1822" s="46" t="inlineStr">
        <is>
          <t>이덕기</t>
        </is>
      </c>
      <c r="K1822" s="46" t="n">
        <v>1821</v>
      </c>
      <c r="L1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3">
      <c r="A1823" s="229" t="n">
        <v>46169</v>
      </c>
      <c r="B1823" s="46" t="inlineStr">
        <is>
          <t>사용전검사</t>
        </is>
      </c>
      <c r="C1823" s="46" t="inlineStr">
        <is>
          <t>김포지역</t>
        </is>
      </c>
      <c r="D1823" s="46" t="inlineStr">
        <is>
          <t>한양</t>
        </is>
      </c>
      <c r="E1823" s="46" t="inlineStr">
        <is>
          <t>부분</t>
        </is>
      </c>
      <c r="F1823" s="46" t="inlineStr">
        <is>
          <t>사우동</t>
        </is>
      </c>
      <c r="G1823" s="50" t="n"/>
      <c r="H1823" s="51" t="n"/>
      <c r="I1823" s="46" t="inlineStr">
        <is>
          <t>송두기</t>
        </is>
      </c>
      <c r="K1823" s="46" t="n">
        <v>1822</v>
      </c>
      <c r="L1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4">
      <c r="A1824" s="229" t="n">
        <v>46169</v>
      </c>
      <c r="B1824" s="46" t="inlineStr">
        <is>
          <t>사용전검사</t>
        </is>
      </c>
      <c r="C1824" s="46" t="inlineStr">
        <is>
          <t>김포지역</t>
        </is>
      </c>
      <c r="D1824" s="46" t="inlineStr">
        <is>
          <t>태양태양광</t>
        </is>
      </c>
      <c r="E1824" s="46" t="n">
        <v>19</v>
      </c>
      <c r="F1824" s="46" t="inlineStr">
        <is>
          <t>후평리</t>
        </is>
      </c>
      <c r="G1824" s="50" t="n"/>
      <c r="H1824" s="51" t="n"/>
      <c r="I1824" s="46" t="inlineStr">
        <is>
          <t>당효진</t>
        </is>
      </c>
      <c r="K1824" s="46" t="n">
        <v>1823</v>
      </c>
      <c r="L1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5">
      <c r="A1825" s="229" t="n">
        <v>46170</v>
      </c>
      <c r="B1825" s="46" t="inlineStr">
        <is>
          <t>정기검사</t>
        </is>
      </c>
      <c r="C1825" s="46" t="inlineStr">
        <is>
          <t>부천지역</t>
        </is>
      </c>
      <c r="D1825" s="46" t="inlineStr">
        <is>
          <t>프라움시티</t>
        </is>
      </c>
      <c r="E1825" s="46" t="inlineStr">
        <is>
          <t>957/327</t>
        </is>
      </c>
      <c r="F1825" s="46" t="inlineStr">
        <is>
          <t>중동</t>
        </is>
      </c>
      <c r="G1825" s="50" t="n">
        <v>0.3958333333333333</v>
      </c>
      <c r="H1825" s="51" t="n">
        <v>1182170</v>
      </c>
      <c r="I1825" s="46" t="inlineStr">
        <is>
          <t>한태희</t>
        </is>
      </c>
      <c r="K1825" s="46" t="n">
        <v>1824</v>
      </c>
      <c r="L1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6">
      <c r="A1826" s="229" t="n">
        <v>46170</v>
      </c>
      <c r="B1826" s="46" t="inlineStr">
        <is>
          <t>정기검사</t>
        </is>
      </c>
      <c r="C1826" s="46" t="inlineStr">
        <is>
          <t>부천지역</t>
        </is>
      </c>
      <c r="D1826" s="46" t="inlineStr">
        <is>
          <t>블로공업</t>
        </is>
      </c>
      <c r="E1826" s="46" t="n">
        <v>225</v>
      </c>
      <c r="F1826" s="46" t="inlineStr">
        <is>
          <t>원미동</t>
        </is>
      </c>
      <c r="G1826" s="50" t="n">
        <v>0.4791666666666667</v>
      </c>
      <c r="H1826" s="51" t="n">
        <v>472890</v>
      </c>
      <c r="I1826" s="46" t="inlineStr">
        <is>
          <t>한태희</t>
        </is>
      </c>
      <c r="K1826" s="46" t="n">
        <v>1825</v>
      </c>
      <c r="L1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7">
      <c r="A1827" s="229" t="n">
        <v>46170</v>
      </c>
      <c r="B1827" s="46" t="inlineStr">
        <is>
          <t>정기검사</t>
        </is>
      </c>
      <c r="C1827" s="46" t="inlineStr">
        <is>
          <t>부천지역</t>
        </is>
      </c>
      <c r="D1827" s="46" t="inlineStr">
        <is>
          <t>디비테크</t>
        </is>
      </c>
      <c r="E1827" s="46" t="n">
        <v>290</v>
      </c>
      <c r="F1827" s="46" t="inlineStr">
        <is>
          <t>도당동</t>
        </is>
      </c>
      <c r="G1827" s="50" t="n">
        <v>0.5</v>
      </c>
      <c r="H1827" s="51" t="n">
        <v>515130</v>
      </c>
      <c r="I1827" s="46" t="inlineStr">
        <is>
          <t>우승택</t>
        </is>
      </c>
      <c r="K1827" s="46" t="n">
        <v>1826</v>
      </c>
      <c r="L1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8">
      <c r="A1828" s="229" t="n">
        <v>46170</v>
      </c>
      <c r="B1828" s="46" t="inlineStr">
        <is>
          <t>정기검사</t>
        </is>
      </c>
      <c r="C1828" s="46" t="inlineStr">
        <is>
          <t>부천지역</t>
        </is>
      </c>
      <c r="D1828" s="46" t="inlineStr">
        <is>
          <t>강서모터스</t>
        </is>
      </c>
      <c r="E1828" s="46" t="n">
        <v>400</v>
      </c>
      <c r="F1828" s="46" t="inlineStr">
        <is>
          <t>고강동</t>
        </is>
      </c>
      <c r="G1828" s="50" t="n">
        <v>0.5</v>
      </c>
      <c r="H1828" s="51" t="n">
        <v>703120</v>
      </c>
      <c r="I1828" s="46" t="inlineStr">
        <is>
          <t>민경수</t>
        </is>
      </c>
      <c r="K1828" s="46" t="n">
        <v>1827</v>
      </c>
      <c r="L1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9">
      <c r="A1829" s="229" t="n">
        <v>46170</v>
      </c>
      <c r="B1829" s="46" t="inlineStr">
        <is>
          <t>정기검사</t>
        </is>
      </c>
      <c r="C1829" s="46" t="inlineStr">
        <is>
          <t>부천지역</t>
        </is>
      </c>
      <c r="D1829" s="46" t="inlineStr">
        <is>
          <t>대화아파트</t>
        </is>
      </c>
      <c r="E1829" s="46" t="inlineStr">
        <is>
          <t>300/115</t>
        </is>
      </c>
      <c r="F1829" s="46" t="inlineStr">
        <is>
          <t>원미동</t>
        </is>
      </c>
      <c r="G1829" s="50" t="n">
        <v>0.4166666666666667</v>
      </c>
      <c r="H1829" s="51" t="n">
        <v>692340</v>
      </c>
      <c r="I1829" s="46" t="inlineStr">
        <is>
          <t>허창수</t>
        </is>
      </c>
      <c r="K1829" s="46" t="n">
        <v>1828</v>
      </c>
      <c r="L1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0">
      <c r="A1830" s="229" t="n">
        <v>46170</v>
      </c>
      <c r="B1830" s="46" t="inlineStr">
        <is>
          <t>정기검사</t>
        </is>
      </c>
      <c r="C1830" s="46" t="inlineStr">
        <is>
          <t>부천지역</t>
        </is>
      </c>
      <c r="D1830" s="46" t="inlineStr">
        <is>
          <t>GS파워</t>
        </is>
      </c>
      <c r="E1830" s="46" t="n">
        <v>25</v>
      </c>
      <c r="F1830" s="46" t="inlineStr">
        <is>
          <t>내동</t>
        </is>
      </c>
      <c r="G1830" s="50" t="n">
        <v>0.6041666666666666</v>
      </c>
      <c r="H1830" s="51" t="n">
        <v>256960</v>
      </c>
      <c r="I1830" s="46" t="inlineStr">
        <is>
          <t>민경수</t>
        </is>
      </c>
      <c r="K1830" s="46" t="n">
        <v>1829</v>
      </c>
      <c r="L1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1">
      <c r="A1831" s="229" t="n">
        <v>46170</v>
      </c>
      <c r="B1831" s="46" t="inlineStr">
        <is>
          <t>정기검사</t>
        </is>
      </c>
      <c r="C1831" s="46" t="inlineStr">
        <is>
          <t>부천지역</t>
        </is>
      </c>
      <c r="D1831" s="46" t="inlineStr">
        <is>
          <t>부인중</t>
        </is>
      </c>
      <c r="E1831" s="46" t="n">
        <v>50</v>
      </c>
      <c r="F1831" s="46" t="inlineStr">
        <is>
          <t>상동</t>
        </is>
      </c>
      <c r="G1831" s="50" t="n">
        <v>0.4166666666666667</v>
      </c>
      <c r="H1831" s="51" t="n">
        <v>203280</v>
      </c>
      <c r="I1831" s="46" t="inlineStr">
        <is>
          <t>민재홍</t>
        </is>
      </c>
      <c r="K1831" s="46" t="n">
        <v>1830</v>
      </c>
      <c r="L1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2">
      <c r="A1832" s="229" t="n">
        <v>46170</v>
      </c>
      <c r="B1832" s="46" t="inlineStr">
        <is>
          <t>정기검사</t>
        </is>
      </c>
      <c r="C1832" s="46" t="inlineStr">
        <is>
          <t>부천지역</t>
        </is>
      </c>
      <c r="D1832" s="46" t="inlineStr">
        <is>
          <t>우신프라자</t>
        </is>
      </c>
      <c r="E1832" s="46" t="inlineStr">
        <is>
          <t>300/69</t>
        </is>
      </c>
      <c r="F1832" s="46" t="inlineStr">
        <is>
          <t>중동</t>
        </is>
      </c>
      <c r="G1832" s="50" t="n">
        <v>0.3958333333333333</v>
      </c>
      <c r="H1832" s="51" t="n">
        <v>678700</v>
      </c>
      <c r="I1832" s="46" t="inlineStr">
        <is>
          <t>송낙명</t>
        </is>
      </c>
      <c r="K1832" s="46" t="n">
        <v>1831</v>
      </c>
      <c r="L1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3">
      <c r="A1833" s="229" t="n">
        <v>46170</v>
      </c>
      <c r="B1833" s="46" t="inlineStr">
        <is>
          <t>정기검사</t>
        </is>
      </c>
      <c r="C1833" s="46" t="inlineStr">
        <is>
          <t>부천지역</t>
        </is>
      </c>
      <c r="D1833" s="46" t="inlineStr">
        <is>
          <t>재우</t>
        </is>
      </c>
      <c r="E1833" s="46" t="n">
        <v>290</v>
      </c>
      <c r="F1833" s="46" t="inlineStr">
        <is>
          <t>삼정동</t>
        </is>
      </c>
      <c r="G1833" s="50" t="n">
        <v>0.5</v>
      </c>
      <c r="H1833" s="51" t="n">
        <v>513130</v>
      </c>
      <c r="I1833" s="46" t="inlineStr">
        <is>
          <t>허창수</t>
        </is>
      </c>
      <c r="K1833" s="46" t="n">
        <v>1832</v>
      </c>
      <c r="L1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4">
      <c r="A1834" s="229" t="n">
        <v>46170</v>
      </c>
      <c r="B1834" s="46" t="inlineStr">
        <is>
          <t>정기검사</t>
        </is>
      </c>
      <c r="C1834" s="46" t="inlineStr">
        <is>
          <t>부천지역</t>
        </is>
      </c>
      <c r="D1834" s="46" t="inlineStr">
        <is>
          <t>우성전기</t>
        </is>
      </c>
      <c r="E1834" s="46" t="n">
        <v>250</v>
      </c>
      <c r="F1834" s="46" t="inlineStr">
        <is>
          <t>원미동</t>
        </is>
      </c>
      <c r="G1834" s="50" t="n">
        <v>0.5208333333333334</v>
      </c>
      <c r="H1834" s="51" t="n">
        <v>489170</v>
      </c>
      <c r="I1834" s="46" t="inlineStr">
        <is>
          <t>송낙명</t>
        </is>
      </c>
      <c r="K1834" s="46" t="n">
        <v>1833</v>
      </c>
      <c r="L1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5">
      <c r="A1835" s="229" t="n">
        <v>46170</v>
      </c>
      <c r="B1835" s="46" t="inlineStr">
        <is>
          <t>정기검사</t>
        </is>
      </c>
      <c r="C1835" s="46" t="inlineStr">
        <is>
          <t>김포지역</t>
        </is>
      </c>
      <c r="D1835" s="46" t="inlineStr">
        <is>
          <t>하나리아벨아파트</t>
        </is>
      </c>
      <c r="E1835" s="46" t="inlineStr">
        <is>
          <t>250/100</t>
        </is>
      </c>
      <c r="F1835" s="46" t="inlineStr">
        <is>
          <t>춘의동</t>
        </is>
      </c>
      <c r="G1835" s="50" t="n">
        <v>0.3958333333333333</v>
      </c>
      <c r="H1835" s="51" t="n">
        <v>652740</v>
      </c>
      <c r="I1835" s="46" t="inlineStr">
        <is>
          <t>민재홍</t>
        </is>
      </c>
      <c r="K1835" s="46" t="n">
        <v>1834</v>
      </c>
      <c r="L1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6">
      <c r="A1836" s="229" t="n">
        <v>46170</v>
      </c>
      <c r="B1836" s="46" t="inlineStr">
        <is>
          <t>정기검사</t>
        </is>
      </c>
      <c r="C1836" s="46" t="inlineStr">
        <is>
          <t>김포지역</t>
        </is>
      </c>
      <c r="D1836" s="46" t="inlineStr">
        <is>
          <t>광진피앤디</t>
        </is>
      </c>
      <c r="E1836" s="46" t="n">
        <v>290</v>
      </c>
      <c r="F1836" s="46" t="inlineStr">
        <is>
          <t>귀전리</t>
        </is>
      </c>
      <c r="G1836" s="50" t="n">
        <v>0.4791666666666667</v>
      </c>
      <c r="H1836" s="51" t="n">
        <v>515130</v>
      </c>
      <c r="I1836" s="46" t="inlineStr">
        <is>
          <t>정성관</t>
        </is>
      </c>
      <c r="K1836" s="46" t="n">
        <v>1835</v>
      </c>
      <c r="L1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7">
      <c r="A1837" s="229" t="n">
        <v>46170</v>
      </c>
      <c r="B1837" s="46" t="inlineStr">
        <is>
          <t>정기검사</t>
        </is>
      </c>
      <c r="C1837" s="46" t="inlineStr">
        <is>
          <t>김포지역</t>
        </is>
      </c>
      <c r="D1837" s="46" t="inlineStr">
        <is>
          <t>행복한교회</t>
        </is>
      </c>
      <c r="E1837" s="46" t="inlineStr">
        <is>
          <t>400/155</t>
        </is>
      </c>
      <c r="F1837" s="46" t="inlineStr">
        <is>
          <t>운양동</t>
        </is>
      </c>
      <c r="G1837" s="50" t="n">
        <v>0.5833333333333334</v>
      </c>
      <c r="H1837" s="51" t="n">
        <v>885500</v>
      </c>
      <c r="I1837" s="46" t="inlineStr">
        <is>
          <t>김영권</t>
        </is>
      </c>
      <c r="K1837" s="46" t="n">
        <v>1836</v>
      </c>
      <c r="L1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8">
      <c r="A1838" s="229" t="n">
        <v>46170</v>
      </c>
      <c r="B1838" s="46" t="inlineStr">
        <is>
          <t>정기검사</t>
        </is>
      </c>
      <c r="C1838" s="46" t="inlineStr">
        <is>
          <t>김포지역</t>
        </is>
      </c>
      <c r="D1838" s="46" t="inlineStr">
        <is>
          <t>아트프라자</t>
        </is>
      </c>
      <c r="E1838" s="46" t="inlineStr">
        <is>
          <t>950/327</t>
        </is>
      </c>
      <c r="F1838" s="46" t="inlineStr">
        <is>
          <t>사우동</t>
        </is>
      </c>
      <c r="G1838" s="50" t="n">
        <v>0.3958333333333333</v>
      </c>
      <c r="H1838" s="51" t="n">
        <v>1109460</v>
      </c>
      <c r="I1838" s="46" t="inlineStr">
        <is>
          <t>송두기</t>
        </is>
      </c>
      <c r="K1838" s="46" t="n">
        <v>1837</v>
      </c>
      <c r="L1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9">
      <c r="A1839" s="229" t="n">
        <v>46170</v>
      </c>
      <c r="B1839" s="46" t="inlineStr">
        <is>
          <t>정기검사</t>
        </is>
      </c>
      <c r="C1839" s="46" t="inlineStr">
        <is>
          <t>김포지역</t>
        </is>
      </c>
      <c r="D1839" s="46" t="inlineStr">
        <is>
          <t>아이제이케미칼</t>
        </is>
      </c>
      <c r="E1839" s="46" t="n">
        <v>250</v>
      </c>
      <c r="F1839" s="46" t="inlineStr">
        <is>
          <t>귀전리</t>
        </is>
      </c>
      <c r="G1839" s="50" t="n">
        <v>0.5</v>
      </c>
      <c r="H1839" s="51" t="n">
        <v>489170</v>
      </c>
      <c r="I1839" s="46" t="inlineStr">
        <is>
          <t>서수형</t>
        </is>
      </c>
      <c r="K1839" s="46" t="n">
        <v>1838</v>
      </c>
      <c r="L1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0">
      <c r="A1840" s="229" t="n">
        <v>46170</v>
      </c>
      <c r="B1840" s="46" t="inlineStr">
        <is>
          <t>정기검사</t>
        </is>
      </c>
      <c r="C1840" s="46" t="inlineStr">
        <is>
          <t>김포지역</t>
        </is>
      </c>
      <c r="D1840" s="46" t="inlineStr">
        <is>
          <t>유경산업지대</t>
        </is>
      </c>
      <c r="E1840" s="46" t="n">
        <v>200</v>
      </c>
      <c r="F1840" s="46" t="inlineStr">
        <is>
          <t>옹정리</t>
        </is>
      </c>
      <c r="G1840" s="50" t="n">
        <v>0.5416666666666666</v>
      </c>
      <c r="H1840" s="51" t="n">
        <v>456720</v>
      </c>
      <c r="I1840" s="46" t="inlineStr">
        <is>
          <t>정신배</t>
        </is>
      </c>
      <c r="K1840" s="46" t="n">
        <v>1839</v>
      </c>
      <c r="L1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1">
      <c r="A1841" s="229" t="n">
        <v>46170</v>
      </c>
      <c r="B1841" s="46" t="inlineStr">
        <is>
          <t>정기검사</t>
        </is>
      </c>
      <c r="C1841" s="46" t="inlineStr">
        <is>
          <t>김포지역</t>
        </is>
      </c>
      <c r="D1841" s="46" t="inlineStr">
        <is>
          <t>범양우스</t>
        </is>
      </c>
      <c r="E1841" s="46" t="n">
        <v>36</v>
      </c>
      <c r="F1841" s="46" t="inlineStr">
        <is>
          <t>장기동</t>
        </is>
      </c>
      <c r="G1841" s="50" t="n"/>
      <c r="H1841" s="51" t="n">
        <v>188540</v>
      </c>
      <c r="I1841" s="46" t="inlineStr">
        <is>
          <t>당효진</t>
        </is>
      </c>
      <c r="K1841" s="46" t="n">
        <v>1840</v>
      </c>
      <c r="L1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2">
      <c r="A1842" s="229" t="n">
        <v>46170</v>
      </c>
      <c r="B1842" s="46" t="inlineStr">
        <is>
          <t>정기검사</t>
        </is>
      </c>
      <c r="C1842" s="46" t="inlineStr">
        <is>
          <t>김포지역</t>
        </is>
      </c>
      <c r="D1842" s="46" t="inlineStr">
        <is>
          <t>세진테크</t>
        </is>
      </c>
      <c r="E1842" s="46" t="n">
        <v>290</v>
      </c>
      <c r="F1842" s="46" t="inlineStr">
        <is>
          <t>흥신리</t>
        </is>
      </c>
      <c r="G1842" s="50" t="n">
        <v>0.5416666666666666</v>
      </c>
      <c r="H1842" s="51" t="n">
        <v>515130</v>
      </c>
      <c r="I1842" s="46" t="inlineStr">
        <is>
          <t>이덕기</t>
        </is>
      </c>
      <c r="K1842" s="46" t="n">
        <v>1841</v>
      </c>
      <c r="L1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3">
      <c r="A1843" s="229" t="n">
        <v>46170</v>
      </c>
      <c r="B1843" s="46" t="inlineStr">
        <is>
          <t>정기검사</t>
        </is>
      </c>
      <c r="C1843" s="46" t="inlineStr">
        <is>
          <t>김포지역</t>
        </is>
      </c>
      <c r="D1843" s="46" t="inlineStr">
        <is>
          <t>인스비에이</t>
        </is>
      </c>
      <c r="E1843" s="46" t="n">
        <v>600</v>
      </c>
      <c r="F1843" s="46" t="inlineStr">
        <is>
          <t>신안리</t>
        </is>
      </c>
      <c r="G1843" s="50" t="n">
        <v>0.375</v>
      </c>
      <c r="H1843" s="51" t="n">
        <v>770880</v>
      </c>
      <c r="I1843" s="46" t="inlineStr">
        <is>
          <t>서수형</t>
        </is>
      </c>
      <c r="K1843" s="46" t="n">
        <v>1842</v>
      </c>
      <c r="L1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4">
      <c r="A1844" s="229" t="n">
        <v>46170</v>
      </c>
      <c r="B1844" s="46" t="inlineStr">
        <is>
          <t>사용전검사</t>
        </is>
      </c>
      <c r="C1844" s="46" t="inlineStr">
        <is>
          <t>부천지역</t>
        </is>
      </c>
      <c r="D1844" s="46" t="inlineStr">
        <is>
          <t>장차건설</t>
        </is>
      </c>
      <c r="E1844" s="46" t="n">
        <v>250</v>
      </c>
      <c r="F1844" s="46" t="inlineStr">
        <is>
          <t>춘의동</t>
        </is>
      </c>
      <c r="G1844" s="50" t="n"/>
      <c r="H1844" s="51" t="n"/>
      <c r="I1844" s="46" t="n"/>
      <c r="K1844" s="46" t="n">
        <v>1843</v>
      </c>
      <c r="L1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5">
      <c r="A1845" s="229" t="n">
        <v>46170</v>
      </c>
      <c r="B1845" s="46" t="inlineStr">
        <is>
          <t>사용전검사</t>
        </is>
      </c>
      <c r="C1845" s="46" t="inlineStr">
        <is>
          <t>부천지역</t>
        </is>
      </c>
      <c r="D1845" s="46" t="n"/>
      <c r="E1845" s="46" t="inlineStr">
        <is>
          <t>허창수 -송낙명</t>
        </is>
      </c>
      <c r="F1845" s="46" t="n"/>
      <c r="G1845" s="50" t="n"/>
      <c r="H1845" s="51" t="n"/>
      <c r="I1845" s="46" t="n"/>
      <c r="K1845" s="46" t="n">
        <v>1844</v>
      </c>
      <c r="L1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6">
      <c r="A1846" s="229" t="n">
        <v>46170</v>
      </c>
      <c r="B1846" s="46" t="inlineStr">
        <is>
          <t>메모</t>
        </is>
      </c>
      <c r="C1846" s="46" t="inlineStr">
        <is>
          <t>부천지역</t>
        </is>
      </c>
      <c r="D1846" s="46" t="inlineStr">
        <is>
          <t>이종석휴가</t>
        </is>
      </c>
      <c r="E1846" s="46" t="n"/>
      <c r="F1846" s="46" t="n"/>
      <c r="G1846" s="50" t="n"/>
      <c r="H1846" s="51" t="n"/>
      <c r="I1846" s="46" t="n"/>
      <c r="K1846" s="46" t="n">
        <v>1845</v>
      </c>
      <c r="L1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7">
      <c r="A1847" s="229" t="n">
        <v>46170</v>
      </c>
      <c r="B1847" s="46" t="inlineStr">
        <is>
          <t>사용전검사</t>
        </is>
      </c>
      <c r="C1847" s="46" t="inlineStr">
        <is>
          <t>김포지역</t>
        </is>
      </c>
      <c r="D1847" s="46" t="inlineStr">
        <is>
          <t>유진유체</t>
        </is>
      </c>
      <c r="E1847" s="46" t="n">
        <v>235</v>
      </c>
      <c r="F1847" s="46" t="inlineStr">
        <is>
          <t>학운리</t>
        </is>
      </c>
      <c r="G1847" s="50" t="n"/>
      <c r="H1847" s="51" t="n"/>
      <c r="I1847" s="46" t="inlineStr">
        <is>
          <t>송두기</t>
        </is>
      </c>
      <c r="K1847" s="46" t="n">
        <v>1846</v>
      </c>
      <c r="L1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8">
      <c r="A1848" s="229" t="n">
        <v>46170</v>
      </c>
      <c r="B1848" s="46" t="inlineStr">
        <is>
          <t>사용전검사</t>
        </is>
      </c>
      <c r="C1848" s="46" t="inlineStr">
        <is>
          <t>김포지역</t>
        </is>
      </c>
      <c r="D1848" s="46" t="inlineStr">
        <is>
          <t>누리파인켐</t>
        </is>
      </c>
      <c r="E1848" s="46" t="inlineStr">
        <is>
          <t>하사리</t>
        </is>
      </c>
      <c r="F1848" s="46" t="n"/>
      <c r="G1848" s="50" t="n"/>
      <c r="H1848" s="51" t="n"/>
      <c r="I1848" s="46" t="inlineStr">
        <is>
          <t>서수형</t>
        </is>
      </c>
      <c r="K1848" s="46" t="n">
        <v>1847</v>
      </c>
      <c r="L1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9">
      <c r="A1849" s="229" t="n">
        <v>46170</v>
      </c>
      <c r="B1849" s="46" t="inlineStr">
        <is>
          <t>사용전검사</t>
        </is>
      </c>
      <c r="C1849" s="46" t="inlineStr">
        <is>
          <t>김포지역</t>
        </is>
      </c>
      <c r="D1849" s="46" t="inlineStr">
        <is>
          <t>마디미</t>
        </is>
      </c>
      <c r="E1849" s="46" t="n">
        <v>165</v>
      </c>
      <c r="F1849" s="46" t="inlineStr">
        <is>
          <t>학운리</t>
        </is>
      </c>
      <c r="G1849" s="50" t="n"/>
      <c r="H1849" s="51" t="n"/>
      <c r="I1849" s="46" t="inlineStr">
        <is>
          <t>당효진</t>
        </is>
      </c>
      <c r="K1849" s="46" t="n">
        <v>1848</v>
      </c>
      <c r="L1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0">
      <c r="A1850" s="229" t="n">
        <v>46170</v>
      </c>
      <c r="B1850" s="46" t="inlineStr">
        <is>
          <t>사용전검사</t>
        </is>
      </c>
      <c r="C1850" s="46" t="inlineStr">
        <is>
          <t>김포지역</t>
        </is>
      </c>
      <c r="D1850" s="46" t="inlineStr">
        <is>
          <t>에스더블유</t>
        </is>
      </c>
      <c r="E1850" s="46" t="n">
        <v>41</v>
      </c>
      <c r="F1850" s="46" t="n"/>
      <c r="G1850" s="50" t="n"/>
      <c r="H1850" s="51" t="n"/>
      <c r="I1850" s="46" t="inlineStr">
        <is>
          <t>당효진</t>
        </is>
      </c>
      <c r="K1850" s="46" t="n">
        <v>1849</v>
      </c>
      <c r="L1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1">
      <c r="A1851" s="229" t="n">
        <v>46171</v>
      </c>
      <c r="B1851" s="46" t="inlineStr">
        <is>
          <t>정기검사</t>
        </is>
      </c>
      <c r="C1851" s="46" t="inlineStr">
        <is>
          <t>부천지역</t>
        </is>
      </c>
      <c r="D1851" s="46" t="inlineStr">
        <is>
          <t>씨케이덴탈산업</t>
        </is>
      </c>
      <c r="E1851" s="46" t="n">
        <v>500</v>
      </c>
      <c r="F1851" s="46" t="inlineStr">
        <is>
          <t>도당동</t>
        </is>
      </c>
      <c r="G1851" s="50" t="n">
        <v>0.5416666666666666</v>
      </c>
      <c r="H1851" s="51" t="n">
        <v>737000</v>
      </c>
      <c r="I1851" s="46" t="inlineStr">
        <is>
          <t>허창수</t>
        </is>
      </c>
      <c r="K1851" s="46" t="n">
        <v>1850</v>
      </c>
      <c r="L1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2">
      <c r="A1852" s="229" t="n">
        <v>46171</v>
      </c>
      <c r="B1852" s="46" t="inlineStr">
        <is>
          <t>정기검사</t>
        </is>
      </c>
      <c r="C1852" s="46" t="inlineStr">
        <is>
          <t>부천지역</t>
        </is>
      </c>
      <c r="D1852" s="46" t="inlineStr">
        <is>
          <t>대신프라자</t>
        </is>
      </c>
      <c r="E1852" s="46" t="inlineStr">
        <is>
          <t>807/155</t>
        </is>
      </c>
      <c r="F1852" s="46" t="inlineStr">
        <is>
          <t>송내동</t>
        </is>
      </c>
      <c r="G1852" s="50" t="n">
        <v>0.2916666666666667</v>
      </c>
      <c r="H1852" s="51" t="n">
        <v>1410970</v>
      </c>
      <c r="I1852" s="46" t="inlineStr">
        <is>
          <t>정성관</t>
        </is>
      </c>
      <c r="K1852" s="46" t="n">
        <v>1851</v>
      </c>
      <c r="L1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3">
      <c r="A1853" s="229" t="n">
        <v>46171</v>
      </c>
      <c r="B1853" s="46" t="inlineStr">
        <is>
          <t>정기검사</t>
        </is>
      </c>
      <c r="C1853" s="46" t="inlineStr">
        <is>
          <t>부천지역</t>
        </is>
      </c>
      <c r="D1853" s="46" t="inlineStr">
        <is>
          <t>옥길호반베르디움</t>
        </is>
      </c>
      <c r="E1853" s="46" t="inlineStr">
        <is>
          <t>5000/800</t>
        </is>
      </c>
      <c r="F1853" s="46" t="inlineStr">
        <is>
          <t>옥길동</t>
        </is>
      </c>
      <c r="G1853" s="50" t="n">
        <v>0.4375</v>
      </c>
      <c r="H1853" s="51" t="n">
        <v>1814890</v>
      </c>
      <c r="I1853" s="46" t="inlineStr">
        <is>
          <t>정신배</t>
        </is>
      </c>
      <c r="K1853" s="46" t="n">
        <v>1852</v>
      </c>
      <c r="L1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4">
      <c r="A1854" s="229" t="n">
        <v>46171</v>
      </c>
      <c r="B1854" s="46" t="inlineStr">
        <is>
          <t>정기검사</t>
        </is>
      </c>
      <c r="C1854" s="46" t="inlineStr">
        <is>
          <t>부천지역</t>
        </is>
      </c>
      <c r="D1854" s="46" t="inlineStr">
        <is>
          <t>kcc엠파이어</t>
        </is>
      </c>
      <c r="E1854" s="46" t="inlineStr">
        <is>
          <t>1750/509</t>
        </is>
      </c>
      <c r="F1854" s="46" t="inlineStr">
        <is>
          <t>심곡본동</t>
        </is>
      </c>
      <c r="G1854" s="50" t="n">
        <v>0.3958333333333333</v>
      </c>
      <c r="H1854" s="51" t="n">
        <v>1284910</v>
      </c>
      <c r="I1854" s="46" t="inlineStr">
        <is>
          <t>이종석</t>
        </is>
      </c>
      <c r="K1854" s="46" t="n">
        <v>1853</v>
      </c>
      <c r="L1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5">
      <c r="A1855" s="229" t="n">
        <v>46171</v>
      </c>
      <c r="B1855" s="46" t="inlineStr">
        <is>
          <t>정기검사</t>
        </is>
      </c>
      <c r="C1855" s="46" t="inlineStr">
        <is>
          <t>부천지역</t>
        </is>
      </c>
      <c r="D1855" s="46" t="inlineStr">
        <is>
          <t>송내1번질프라자</t>
        </is>
      </c>
      <c r="E1855" s="46" t="inlineStr">
        <is>
          <t>250/69</t>
        </is>
      </c>
      <c r="F1855" s="46" t="inlineStr">
        <is>
          <t>상동</t>
        </is>
      </c>
      <c r="G1855" s="50" t="n">
        <v>0.3958333333333333</v>
      </c>
      <c r="H1855" s="51" t="n">
        <v>646250</v>
      </c>
      <c r="I1855" s="46" t="inlineStr">
        <is>
          <t>송낙명</t>
        </is>
      </c>
      <c r="K1855" s="46" t="n">
        <v>1854</v>
      </c>
      <c r="L1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6">
      <c r="A1856" s="229" t="n">
        <v>46171</v>
      </c>
      <c r="B1856" s="46" t="inlineStr">
        <is>
          <t>정기검사</t>
        </is>
      </c>
      <c r="C1856" s="46" t="inlineStr">
        <is>
          <t>부천지역</t>
        </is>
      </c>
      <c r="D1856" s="46" t="inlineStr">
        <is>
          <t>대명산업</t>
        </is>
      </c>
      <c r="E1856" s="46" t="n">
        <v>250</v>
      </c>
      <c r="F1856" s="46" t="inlineStr">
        <is>
          <t>삼정동</t>
        </is>
      </c>
      <c r="G1856" s="50" t="n">
        <v>0.6041666666666666</v>
      </c>
      <c r="H1856" s="51" t="n">
        <v>489170</v>
      </c>
      <c r="I1856" s="46" t="inlineStr">
        <is>
          <t>송낙명</t>
        </is>
      </c>
      <c r="K1856" s="46" t="n">
        <v>1855</v>
      </c>
      <c r="L1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7">
      <c r="A1857" s="229" t="n">
        <v>46171</v>
      </c>
      <c r="B1857" s="46" t="inlineStr">
        <is>
          <t>정기검사</t>
        </is>
      </c>
      <c r="C1857" s="46" t="inlineStr">
        <is>
          <t>부천지역</t>
        </is>
      </c>
      <c r="D1857" s="46" t="inlineStr">
        <is>
          <t>대명</t>
        </is>
      </c>
      <c r="E1857" s="46" t="n">
        <v>290</v>
      </c>
      <c r="F1857" s="46" t="inlineStr">
        <is>
          <t>삼정동</t>
        </is>
      </c>
      <c r="G1857" s="50" t="n">
        <v>0.5416666666666666</v>
      </c>
      <c r="H1857" s="51" t="n">
        <v>515130</v>
      </c>
      <c r="I1857" s="46" t="inlineStr">
        <is>
          <t>송낙명</t>
        </is>
      </c>
      <c r="K1857" s="46" t="n">
        <v>1856</v>
      </c>
      <c r="L1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8">
      <c r="A1858" s="229" t="n">
        <v>46171</v>
      </c>
      <c r="B1858" s="46" t="inlineStr">
        <is>
          <t>정기검사</t>
        </is>
      </c>
      <c r="C1858" s="46" t="inlineStr">
        <is>
          <t>부천지역</t>
        </is>
      </c>
      <c r="D1858" s="46" t="inlineStr">
        <is>
          <t>정방엔지니어링</t>
        </is>
      </c>
      <c r="E1858" s="46" t="n">
        <v>980</v>
      </c>
      <c r="F1858" s="46" t="inlineStr">
        <is>
          <t>약암리</t>
        </is>
      </c>
      <c r="G1858" s="50" t="n">
        <v>0.4791666666666667</v>
      </c>
      <c r="H1858" s="51" t="n">
        <v>898580</v>
      </c>
      <c r="I1858" s="46" t="inlineStr">
        <is>
          <t>서수형</t>
        </is>
      </c>
      <c r="K1858" s="46" t="n">
        <v>1857</v>
      </c>
      <c r="L1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9">
      <c r="A1859" s="229" t="n">
        <v>46171</v>
      </c>
      <c r="B1859" s="46" t="inlineStr">
        <is>
          <t>정기검사</t>
        </is>
      </c>
      <c r="C1859" s="46" t="inlineStr">
        <is>
          <t>김포지역</t>
        </is>
      </c>
      <c r="D1859" s="46" t="inlineStr">
        <is>
          <t>풍무역프라자</t>
        </is>
      </c>
      <c r="E1859" s="46" t="inlineStr">
        <is>
          <t>300/159</t>
        </is>
      </c>
      <c r="F1859" s="46" t="inlineStr">
        <is>
          <t>풍무동</t>
        </is>
      </c>
      <c r="G1859" s="50" t="n">
        <v>0.5416666666666666</v>
      </c>
      <c r="H1859" s="51" t="n">
        <v>705320</v>
      </c>
      <c r="I1859" s="46" t="inlineStr">
        <is>
          <t>당효진</t>
        </is>
      </c>
      <c r="K1859" s="46" t="n">
        <v>1858</v>
      </c>
      <c r="L1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0">
      <c r="A1860" s="229" t="n">
        <v>46171</v>
      </c>
      <c r="B1860" s="46" t="inlineStr">
        <is>
          <t>정기검사</t>
        </is>
      </c>
      <c r="C1860" s="46" t="inlineStr">
        <is>
          <t>김포지역</t>
        </is>
      </c>
      <c r="D1860" s="46" t="inlineStr">
        <is>
          <t>대명금속</t>
        </is>
      </c>
      <c r="E1860" s="46" t="n">
        <v>2300</v>
      </c>
      <c r="F1860" s="46" t="inlineStr">
        <is>
          <t>상마리</t>
        </is>
      </c>
      <c r="G1860" s="50" t="n">
        <v>0.4791666666666667</v>
      </c>
      <c r="H1860" s="51" t="n">
        <v>1096590</v>
      </c>
      <c r="I1860" s="46" t="inlineStr">
        <is>
          <t>민경수</t>
        </is>
      </c>
      <c r="K1860" s="46" t="n">
        <v>1859</v>
      </c>
      <c r="L1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1">
      <c r="A1861" s="229" t="n">
        <v>46171</v>
      </c>
      <c r="B1861" s="46" t="inlineStr">
        <is>
          <t>정기검사</t>
        </is>
      </c>
      <c r="C1861" s="46" t="inlineStr">
        <is>
          <t>김포지역</t>
        </is>
      </c>
      <c r="D1861" s="46" t="inlineStr">
        <is>
          <t>김포가스합자</t>
        </is>
      </c>
      <c r="E1861" s="46" t="n">
        <v>40</v>
      </c>
      <c r="F1861" s="46" t="inlineStr">
        <is>
          <t>운양동</t>
        </is>
      </c>
      <c r="G1861" s="50" t="n">
        <v>0.3958333333333333</v>
      </c>
      <c r="H1861" s="51" t="n">
        <v>148390</v>
      </c>
      <c r="I1861" s="46" t="inlineStr">
        <is>
          <t>당효진</t>
        </is>
      </c>
      <c r="K1861" s="46" t="n">
        <v>1860</v>
      </c>
      <c r="L1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2">
      <c r="A1862" s="229" t="n">
        <v>46171</v>
      </c>
      <c r="B1862" s="46" t="inlineStr">
        <is>
          <t>정기검사</t>
        </is>
      </c>
      <c r="C1862" s="46" t="inlineStr">
        <is>
          <t>김포지역</t>
        </is>
      </c>
      <c r="D1862" s="46" t="inlineStr">
        <is>
          <t>대양특수산업</t>
        </is>
      </c>
      <c r="E1862" s="46" t="n">
        <v>400</v>
      </c>
      <c r="F1862" s="46" t="inlineStr">
        <is>
          <t>율생리</t>
        </is>
      </c>
      <c r="G1862" s="50" t="n">
        <v>0.3958333333333333</v>
      </c>
      <c r="H1862" s="51" t="n">
        <v>703120</v>
      </c>
      <c r="I1862" s="46" t="inlineStr">
        <is>
          <t>우승택</t>
        </is>
      </c>
      <c r="K1862" s="46" t="n">
        <v>1861</v>
      </c>
      <c r="L1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3">
      <c r="A1863" s="229" t="n">
        <v>46171</v>
      </c>
      <c r="B1863" s="46" t="inlineStr">
        <is>
          <t>정기검사</t>
        </is>
      </c>
      <c r="C1863" s="46" t="inlineStr">
        <is>
          <t>김포지역</t>
        </is>
      </c>
      <c r="D1863" s="46" t="inlineStr">
        <is>
          <t>sm홀딩스</t>
        </is>
      </c>
      <c r="E1863" s="46" t="n">
        <v>750</v>
      </c>
      <c r="F1863" s="46" t="inlineStr">
        <is>
          <t>송마리</t>
        </is>
      </c>
      <c r="G1863" s="50" t="n">
        <v>0.5833333333333334</v>
      </c>
      <c r="H1863" s="51" t="n">
        <v>821700</v>
      </c>
      <c r="I1863" s="46" t="inlineStr">
        <is>
          <t>이덕기</t>
        </is>
      </c>
      <c r="K1863" s="46" t="n">
        <v>1862</v>
      </c>
      <c r="L1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4">
      <c r="A1864" s="229" t="n">
        <v>46171</v>
      </c>
      <c r="B1864" s="46" t="inlineStr">
        <is>
          <t>정기검사</t>
        </is>
      </c>
      <c r="C1864" s="46" t="inlineStr">
        <is>
          <t>김포지역</t>
        </is>
      </c>
      <c r="D1864" s="46" t="inlineStr">
        <is>
          <t>태흥특수목재</t>
        </is>
      </c>
      <c r="E1864" s="46" t="n">
        <v>290</v>
      </c>
      <c r="F1864" s="46" t="inlineStr">
        <is>
          <t>상마리</t>
        </is>
      </c>
      <c r="G1864" s="50" t="n">
        <v>0.5</v>
      </c>
      <c r="H1864" s="51" t="n">
        <v>515130</v>
      </c>
      <c r="I1864" s="46" t="inlineStr">
        <is>
          <t>한태희</t>
        </is>
      </c>
      <c r="K1864" s="46" t="n">
        <v>1863</v>
      </c>
      <c r="L1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5">
      <c r="A1865" s="229" t="n">
        <v>46171</v>
      </c>
      <c r="B1865" s="46" t="inlineStr">
        <is>
          <t>정기검사</t>
        </is>
      </c>
      <c r="C1865" s="46" t="inlineStr">
        <is>
          <t>김포지역</t>
        </is>
      </c>
      <c r="D1865" s="46" t="inlineStr">
        <is>
          <t>윤가네</t>
        </is>
      </c>
      <c r="E1865" s="46" t="n">
        <v>98</v>
      </c>
      <c r="F1865" s="46" t="inlineStr">
        <is>
          <t>개곡리</t>
        </is>
      </c>
      <c r="G1865" s="50" t="n"/>
      <c r="H1865" s="51" t="n">
        <v>339350</v>
      </c>
      <c r="I1865" s="46" t="n"/>
      <c r="J1865" t="inlineStr">
        <is>
          <t>실시</t>
        </is>
      </c>
      <c r="K1865" s="46" t="n">
        <v>1864</v>
      </c>
      <c r="L1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6">
      <c r="A1866" s="229" t="n">
        <v>46171</v>
      </c>
      <c r="B1866" s="46" t="inlineStr">
        <is>
          <t>정기검사</t>
        </is>
      </c>
      <c r="C1866" s="46" t="inlineStr">
        <is>
          <t>김포지역</t>
        </is>
      </c>
      <c r="D1866" s="46" t="inlineStr">
        <is>
          <t>윤가네</t>
        </is>
      </c>
      <c r="E1866" s="46" t="n">
        <v>99</v>
      </c>
      <c r="F1866" s="46" t="inlineStr">
        <is>
          <t>개곡리</t>
        </is>
      </c>
      <c r="G1866" s="50" t="n"/>
      <c r="H1866" s="51" t="n">
        <v>308000</v>
      </c>
      <c r="I1866" s="46" t="n"/>
      <c r="J1866" t="inlineStr">
        <is>
          <t>실시</t>
        </is>
      </c>
      <c r="K1866" s="46" t="n">
        <v>1865</v>
      </c>
      <c r="L1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7">
      <c r="A1867" s="229" t="n">
        <v>46171</v>
      </c>
      <c r="B1867" s="46" t="inlineStr">
        <is>
          <t>정기검사</t>
        </is>
      </c>
      <c r="C1867" s="46" t="inlineStr">
        <is>
          <t>김포지역</t>
        </is>
      </c>
      <c r="D1867" s="46" t="inlineStr">
        <is>
          <t>명성산업</t>
        </is>
      </c>
      <c r="E1867" s="46" t="n">
        <v>200</v>
      </c>
      <c r="F1867" s="46" t="inlineStr">
        <is>
          <t>쇄암리</t>
        </is>
      </c>
      <c r="G1867" s="50" t="n">
        <v>0.6458333333333334</v>
      </c>
      <c r="H1867" s="51" t="n">
        <v>456720</v>
      </c>
      <c r="I1867" s="46" t="inlineStr">
        <is>
          <t>서수형</t>
        </is>
      </c>
      <c r="K1867" s="46" t="n">
        <v>1866</v>
      </c>
      <c r="L1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8">
      <c r="A1868" s="229" t="n">
        <v>46171</v>
      </c>
      <c r="B1868" s="46" t="inlineStr">
        <is>
          <t>사용전검사</t>
        </is>
      </c>
      <c r="C1868" s="46" t="inlineStr">
        <is>
          <t>부천지역</t>
        </is>
      </c>
      <c r="D1868" s="46" t="inlineStr">
        <is>
          <t>은진주택</t>
        </is>
      </c>
      <c r="E1868" s="46" t="inlineStr">
        <is>
          <t>부분</t>
        </is>
      </c>
      <c r="F1868" s="46" t="inlineStr">
        <is>
          <t>심곡동</t>
        </is>
      </c>
      <c r="G1868" s="50" t="n"/>
      <c r="H1868" s="51" t="n"/>
      <c r="I1868" s="46" t="inlineStr">
        <is>
          <t>이종석</t>
        </is>
      </c>
      <c r="K1868" s="46" t="n">
        <v>1867</v>
      </c>
      <c r="L1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9">
      <c r="A1869" s="229" t="n">
        <v>46171</v>
      </c>
      <c r="B1869" s="46" t="inlineStr">
        <is>
          <t>사용전검사</t>
        </is>
      </c>
      <c r="C1869" s="46" t="inlineStr">
        <is>
          <t>부천지역</t>
        </is>
      </c>
      <c r="D1869" s="46" t="inlineStr">
        <is>
          <t>데이터센터</t>
        </is>
      </c>
      <c r="E1869" s="46" t="n"/>
      <c r="F1869" s="46" t="n"/>
      <c r="G1869" s="50" t="n"/>
      <c r="H1869" s="51" t="n"/>
      <c r="I1869" s="46" t="inlineStr">
        <is>
          <t>정성관</t>
        </is>
      </c>
      <c r="K1869" s="46" t="n">
        <v>1868</v>
      </c>
      <c r="L1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0">
      <c r="A1870" s="229" t="n">
        <v>46171</v>
      </c>
      <c r="B1870" s="46" t="inlineStr">
        <is>
          <t>메모</t>
        </is>
      </c>
      <c r="C1870" s="46" t="inlineStr">
        <is>
          <t>부천지역</t>
        </is>
      </c>
      <c r="D1870" s="46" t="inlineStr">
        <is>
          <t>김영권휴가</t>
        </is>
      </c>
      <c r="E1870" s="46" t="inlineStr">
        <is>
          <t>송두기-당효진</t>
        </is>
      </c>
      <c r="F1870" s="46" t="n"/>
      <c r="G1870" s="50" t="n"/>
      <c r="H1870" s="51" t="n"/>
      <c r="I1870" s="46" t="n"/>
      <c r="K1870" s="46" t="n">
        <v>1869</v>
      </c>
      <c r="L1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1">
      <c r="A1871" s="229" t="n">
        <v>46171</v>
      </c>
      <c r="B1871" s="46" t="inlineStr">
        <is>
          <t>사용전검사</t>
        </is>
      </c>
      <c r="C1871" s="46" t="inlineStr">
        <is>
          <t>김포지역</t>
        </is>
      </c>
      <c r="D1871" s="46" t="inlineStr">
        <is>
          <t>영광기업</t>
        </is>
      </c>
      <c r="E1871" s="46" t="n">
        <v>81</v>
      </c>
      <c r="F1871" s="46" t="inlineStr">
        <is>
          <t>송마리</t>
        </is>
      </c>
      <c r="G1871" s="50" t="n"/>
      <c r="H1871" s="51" t="n"/>
      <c r="I1871" s="46" t="inlineStr">
        <is>
          <t>민재홍</t>
        </is>
      </c>
      <c r="K1871" s="46" t="n">
        <v>1870</v>
      </c>
      <c r="L1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2">
      <c r="A1872" s="229" t="n">
        <v>46171</v>
      </c>
      <c r="B1872" s="46" t="inlineStr">
        <is>
          <t>사용전검사</t>
        </is>
      </c>
      <c r="C1872" s="46" t="inlineStr">
        <is>
          <t>김포지역</t>
        </is>
      </c>
      <c r="D1872" s="46" t="inlineStr">
        <is>
          <t>영진종합물류</t>
        </is>
      </c>
      <c r="E1872" s="46" t="n">
        <v>39</v>
      </c>
      <c r="F1872" s="46" t="inlineStr">
        <is>
          <t>구래리</t>
        </is>
      </c>
      <c r="G1872" s="50" t="n"/>
      <c r="H1872" s="51" t="n"/>
      <c r="I1872" s="46" t="inlineStr">
        <is>
          <t>이덕기</t>
        </is>
      </c>
      <c r="K1872" s="46" t="n">
        <v>1871</v>
      </c>
      <c r="L1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3">
      <c r="A1873" s="229" t="n">
        <v>46171</v>
      </c>
      <c r="B1873" s="46" t="inlineStr">
        <is>
          <t>사용전검사</t>
        </is>
      </c>
      <c r="C1873" s="46" t="inlineStr">
        <is>
          <t>김포지역</t>
        </is>
      </c>
      <c r="D1873" s="46" t="inlineStr">
        <is>
          <t>우성</t>
        </is>
      </c>
      <c r="E1873" s="46" t="n">
        <v>81</v>
      </c>
      <c r="F1873" s="46" t="inlineStr">
        <is>
          <t>대능리</t>
        </is>
      </c>
      <c r="G1873" s="50" t="n"/>
      <c r="H1873" s="51" t="n"/>
      <c r="I1873" s="46" t="inlineStr">
        <is>
          <t>송두기</t>
        </is>
      </c>
      <c r="K1873" s="46" t="n">
        <v>1872</v>
      </c>
      <c r="L1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4">
      <c r="A1874" s="229" t="n">
        <v>46171</v>
      </c>
      <c r="B1874" s="46" t="inlineStr">
        <is>
          <t>사용전검사</t>
        </is>
      </c>
      <c r="C1874" s="46" t="inlineStr">
        <is>
          <t>김포지역</t>
        </is>
      </c>
      <c r="D1874" s="46" t="inlineStr">
        <is>
          <t>황제</t>
        </is>
      </c>
      <c r="E1874" s="46" t="n">
        <v>31</v>
      </c>
      <c r="F1874" s="46" t="inlineStr">
        <is>
          <t>동을산리</t>
        </is>
      </c>
      <c r="G1874" s="50" t="n"/>
      <c r="H1874" s="51" t="n"/>
      <c r="I1874" s="46" t="inlineStr">
        <is>
          <t>한태희</t>
        </is>
      </c>
      <c r="K1874" s="46" t="n">
        <v>1873</v>
      </c>
      <c r="L1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5">
      <c r="A1875" s="229" t="n">
        <v>46172</v>
      </c>
      <c r="B1875" s="46" t="inlineStr">
        <is>
          <t>정기검사</t>
        </is>
      </c>
      <c r="C1875" s="46" t="inlineStr">
        <is>
          <t>부천지역</t>
        </is>
      </c>
      <c r="D1875" s="46" t="inlineStr">
        <is>
          <t>월곡빌딩</t>
        </is>
      </c>
      <c r="E1875" s="46" t="inlineStr">
        <is>
          <t>500/136</t>
        </is>
      </c>
      <c r="F1875" s="46" t="inlineStr">
        <is>
          <t>송내동</t>
        </is>
      </c>
      <c r="G1875" s="50" t="n">
        <v>0.6041666666666666</v>
      </c>
      <c r="H1875" s="51" t="n">
        <v>1188000</v>
      </c>
      <c r="I1875" s="46" t="inlineStr">
        <is>
          <t>민경수</t>
        </is>
      </c>
      <c r="K1875" s="46" t="n">
        <v>1874</v>
      </c>
      <c r="L1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6">
      <c r="A1876" s="229" t="n">
        <v>46172</v>
      </c>
      <c r="B1876" s="46" t="inlineStr">
        <is>
          <t>정기검사</t>
        </is>
      </c>
      <c r="C1876" s="46" t="inlineStr">
        <is>
          <t>부천지역</t>
        </is>
      </c>
      <c r="D1876" s="46" t="inlineStr">
        <is>
          <t>위브더</t>
        </is>
      </c>
      <c r="E1876" s="46" t="inlineStr">
        <is>
          <t>4500/900</t>
        </is>
      </c>
      <c r="F1876" s="46" t="inlineStr">
        <is>
          <t>중동</t>
        </is>
      </c>
      <c r="G1876" s="50" t="n">
        <v>0.2708333333333333</v>
      </c>
      <c r="H1876" s="51" t="n">
        <v>2266660</v>
      </c>
      <c r="I1876" s="46" t="inlineStr">
        <is>
          <t>우승택</t>
        </is>
      </c>
      <c r="K1876" s="46" t="n">
        <v>1875</v>
      </c>
      <c r="L1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7">
      <c r="A1877" s="229" t="n">
        <v>46172</v>
      </c>
      <c r="B1877" s="46" t="inlineStr">
        <is>
          <t>정기검사</t>
        </is>
      </c>
      <c r="C1877" s="46" t="inlineStr">
        <is>
          <t>부천지역</t>
        </is>
      </c>
      <c r="D1877" s="46" t="inlineStr">
        <is>
          <t>위브전기차</t>
        </is>
      </c>
      <c r="E1877" s="46" t="inlineStr">
        <is>
          <t>전기차</t>
        </is>
      </c>
      <c r="F1877" s="46" t="inlineStr">
        <is>
          <t>중동</t>
        </is>
      </c>
      <c r="G1877" s="50" t="n">
        <v>0.2708333333333333</v>
      </c>
      <c r="H1877" s="51" t="n">
        <v>204600</v>
      </c>
      <c r="I1877" s="46" t="inlineStr">
        <is>
          <t>당효진</t>
        </is>
      </c>
      <c r="K1877" s="46" t="n">
        <v>1876</v>
      </c>
      <c r="L1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8">
      <c r="A1878" s="229" t="n">
        <v>46172</v>
      </c>
      <c r="B1878" s="46" t="inlineStr">
        <is>
          <t>정기검사</t>
        </is>
      </c>
      <c r="C1878" s="46" t="inlineStr">
        <is>
          <t>부천지역</t>
        </is>
      </c>
      <c r="D1878" s="46" t="inlineStr">
        <is>
          <t>뉴코아중동</t>
        </is>
      </c>
      <c r="E1878" s="46" t="inlineStr">
        <is>
          <t>7000/2970</t>
        </is>
      </c>
      <c r="F1878" s="46" t="inlineStr">
        <is>
          <t>중동</t>
        </is>
      </c>
      <c r="G1878" s="50" t="n">
        <v>0.25</v>
      </c>
      <c r="H1878" s="51" t="n">
        <v>3472810</v>
      </c>
      <c r="I1878" s="46" t="inlineStr">
        <is>
          <t>서수형</t>
        </is>
      </c>
      <c r="K1878" s="46" t="n">
        <v>1877</v>
      </c>
      <c r="L1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9">
      <c r="A1879" s="229" t="n">
        <v>46172</v>
      </c>
      <c r="B1879" s="46" t="inlineStr">
        <is>
          <t>정기검사</t>
        </is>
      </c>
      <c r="C1879" s="46" t="inlineStr">
        <is>
          <t>부천지역</t>
        </is>
      </c>
      <c r="D1879" s="46" t="n"/>
      <c r="E1879" s="46" t="n"/>
      <c r="F1879" s="46" t="n"/>
      <c r="G1879" s="50" t="n"/>
      <c r="H1879" s="51" t="n"/>
      <c r="I1879" s="46" t="inlineStr">
        <is>
          <t>송두기</t>
        </is>
      </c>
      <c r="K1879" s="46" t="n">
        <v>1878</v>
      </c>
      <c r="L1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0">
      <c r="A1880" s="229" t="n">
        <v>46172</v>
      </c>
      <c r="B1880" s="46" t="inlineStr">
        <is>
          <t>정기검사</t>
        </is>
      </c>
      <c r="C1880" s="46" t="inlineStr">
        <is>
          <t>부천지역</t>
        </is>
      </c>
      <c r="D1880" s="46" t="inlineStr">
        <is>
          <t>투나</t>
        </is>
      </c>
      <c r="E1880" s="46" t="inlineStr">
        <is>
          <t>UPS</t>
        </is>
      </c>
      <c r="F1880" s="46" t="inlineStr">
        <is>
          <t>상동</t>
        </is>
      </c>
      <c r="G1880" s="50" t="n">
        <v>0.25</v>
      </c>
      <c r="H1880" s="51" t="n">
        <v>2625700</v>
      </c>
      <c r="I1880" s="46" t="inlineStr">
        <is>
          <t>이덕기</t>
        </is>
      </c>
      <c r="K1880" s="46" t="n">
        <v>1879</v>
      </c>
      <c r="L1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1">
      <c r="A1881" s="229" t="n">
        <v>46172</v>
      </c>
      <c r="B1881" s="46" t="inlineStr">
        <is>
          <t>정기검사</t>
        </is>
      </c>
      <c r="C1881" s="46" t="inlineStr">
        <is>
          <t>김포지역</t>
        </is>
      </c>
      <c r="D1881" s="46" t="inlineStr">
        <is>
          <t>정희화학</t>
        </is>
      </c>
      <c r="E1881" s="46" t="n">
        <v>800</v>
      </c>
      <c r="F1881" s="46" t="inlineStr">
        <is>
          <t>가현리</t>
        </is>
      </c>
      <c r="G1881" s="50" t="n">
        <v>0.3958333333333333</v>
      </c>
      <c r="H1881" s="51" t="n">
        <v>1090210</v>
      </c>
      <c r="I1881" s="46" t="inlineStr">
        <is>
          <t>정성관</t>
        </is>
      </c>
      <c r="K1881" s="46" t="n">
        <v>1880</v>
      </c>
      <c r="L1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2">
      <c r="A1882" s="229" t="n">
        <v>46172</v>
      </c>
      <c r="B1882" s="46" t="inlineStr">
        <is>
          <t>정기검사</t>
        </is>
      </c>
      <c r="C1882" s="46" t="inlineStr">
        <is>
          <t>김포지역</t>
        </is>
      </c>
      <c r="D1882" s="46" t="inlineStr">
        <is>
          <t>이수씨엔피</t>
        </is>
      </c>
      <c r="E1882" s="46" t="n">
        <v>950</v>
      </c>
      <c r="F1882" s="46" t="inlineStr">
        <is>
          <t>가현리</t>
        </is>
      </c>
      <c r="G1882" s="50" t="n">
        <v>0.3958333333333333</v>
      </c>
      <c r="H1882" s="51" t="n">
        <v>1156210</v>
      </c>
      <c r="I1882" s="46" t="inlineStr">
        <is>
          <t>정신배</t>
        </is>
      </c>
      <c r="K1882" s="46" t="n">
        <v>1881</v>
      </c>
      <c r="L1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3">
      <c r="A1883" s="229" t="n">
        <v>46172</v>
      </c>
      <c r="B1883" s="46" t="inlineStr">
        <is>
          <t>정기검사</t>
        </is>
      </c>
      <c r="C1883" s="46" t="inlineStr">
        <is>
          <t>김포지역</t>
        </is>
      </c>
      <c r="D1883" s="46" t="inlineStr">
        <is>
          <t>성진금속</t>
        </is>
      </c>
      <c r="E1883" s="46" t="n">
        <v>980</v>
      </c>
      <c r="F1883" s="46" t="inlineStr">
        <is>
          <t>대명리</t>
        </is>
      </c>
      <c r="G1883" s="50" t="n">
        <v>0.4166666666666667</v>
      </c>
      <c r="H1883" s="51" t="n">
        <v>1169410</v>
      </c>
      <c r="I1883" s="46" t="inlineStr">
        <is>
          <t>정성관</t>
        </is>
      </c>
      <c r="K1883" s="46" t="n">
        <v>1882</v>
      </c>
      <c r="L1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4">
      <c r="A1884" s="229" t="n">
        <v>46172</v>
      </c>
      <c r="B1884" s="46" t="inlineStr">
        <is>
          <t>정기검사</t>
        </is>
      </c>
      <c r="C1884" s="46" t="inlineStr">
        <is>
          <t>김포지역</t>
        </is>
      </c>
      <c r="D1884" s="46" t="inlineStr">
        <is>
          <t>일우산업</t>
        </is>
      </c>
      <c r="E1884" s="46" t="n">
        <v>900</v>
      </c>
      <c r="F1884" s="46" t="inlineStr">
        <is>
          <t>옹정리</t>
        </is>
      </c>
      <c r="G1884" s="50" t="n">
        <v>0.3125</v>
      </c>
      <c r="H1884" s="51" t="n">
        <v>1134210</v>
      </c>
      <c r="I1884" s="46" t="inlineStr">
        <is>
          <t>허창수</t>
        </is>
      </c>
      <c r="K1884" s="46" t="n">
        <v>1883</v>
      </c>
      <c r="L1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5">
      <c r="A1885" s="229" t="n">
        <v>46172</v>
      </c>
      <c r="B1885" s="46" t="inlineStr">
        <is>
          <t>정기검사</t>
        </is>
      </c>
      <c r="C1885" s="46" t="inlineStr">
        <is>
          <t>김포지역</t>
        </is>
      </c>
      <c r="D1885" s="46" t="inlineStr">
        <is>
          <t>신일식품</t>
        </is>
      </c>
      <c r="E1885" s="46" t="n">
        <v>290</v>
      </c>
      <c r="F1885" s="46" t="inlineStr">
        <is>
          <t>봉성리</t>
        </is>
      </c>
      <c r="G1885" s="50" t="n">
        <v>0.4166666666666667</v>
      </c>
      <c r="H1885" s="51" t="n">
        <v>669790</v>
      </c>
      <c r="I1885" s="46" t="inlineStr">
        <is>
          <t>이종석</t>
        </is>
      </c>
      <c r="K1885" s="46" t="n">
        <v>1884</v>
      </c>
      <c r="L1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6">
      <c r="A1886" s="229" t="n">
        <v>46172</v>
      </c>
      <c r="B1886" s="46" t="inlineStr">
        <is>
          <t>정기검사</t>
        </is>
      </c>
      <c r="C1886" s="46" t="inlineStr">
        <is>
          <t>김포지역</t>
        </is>
      </c>
      <c r="D1886" s="46" t="inlineStr">
        <is>
          <t>에이앤피</t>
        </is>
      </c>
      <c r="E1886" s="46" t="n">
        <v>600</v>
      </c>
      <c r="F1886" s="46" t="inlineStr">
        <is>
          <t>학운리</t>
        </is>
      </c>
      <c r="G1886" s="50" t="n">
        <v>0.4791666666666667</v>
      </c>
      <c r="H1886" s="51" t="n">
        <v>1002100</v>
      </c>
      <c r="I1886" s="46" t="inlineStr">
        <is>
          <t>이종석</t>
        </is>
      </c>
      <c r="K1886" s="46" t="n">
        <v>1885</v>
      </c>
      <c r="L1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7">
      <c r="A1887" s="229" t="n">
        <v>46172</v>
      </c>
      <c r="B1887" s="46" t="inlineStr">
        <is>
          <t>메모</t>
        </is>
      </c>
      <c r="C1887" s="46" t="inlineStr">
        <is>
          <t>부천지역</t>
        </is>
      </c>
      <c r="D1887" s="46" t="inlineStr">
        <is>
          <t>서수형오후휴가</t>
        </is>
      </c>
      <c r="E1887" s="46" t="n"/>
      <c r="F1887" s="46" t="n"/>
      <c r="G1887" s="50" t="n"/>
      <c r="H1887" s="51" t="n"/>
      <c r="I1887" s="46" t="n"/>
      <c r="K1887" s="46" t="n">
        <v>1886</v>
      </c>
      <c r="L1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8">
      <c r="A1888" s="229" t="n">
        <v>46172</v>
      </c>
      <c r="B1888" s="46" t="inlineStr">
        <is>
          <t>메모</t>
        </is>
      </c>
      <c r="C1888" s="46" t="inlineStr">
        <is>
          <t>부천지역</t>
        </is>
      </c>
      <c r="D1888" s="46" t="inlineStr">
        <is>
          <t>김영권휴가</t>
        </is>
      </c>
      <c r="E1888" s="46" t="n"/>
      <c r="F1888" s="46" t="n"/>
      <c r="G1888" s="50" t="n"/>
      <c r="H1888" s="51" t="n"/>
      <c r="I1888" s="46" t="n"/>
      <c r="K1888" s="46" t="n">
        <v>1887</v>
      </c>
      <c r="L1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9">
      <c r="A1889" s="229" t="n">
        <v>46172</v>
      </c>
      <c r="B1889" s="46" t="inlineStr">
        <is>
          <t>메모</t>
        </is>
      </c>
      <c r="C1889" s="46" t="inlineStr">
        <is>
          <t>부천지역</t>
        </is>
      </c>
      <c r="D1889" s="46" t="inlineStr">
        <is>
          <t>이덕기휴가</t>
        </is>
      </c>
      <c r="E1889" s="46" t="n"/>
      <c r="F1889" s="46" t="n"/>
      <c r="G1889" s="50" t="n"/>
      <c r="H1889" s="51" t="n"/>
      <c r="I1889" s="46" t="n"/>
      <c r="K1889" s="46" t="n">
        <v>1888</v>
      </c>
      <c r="L1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0">
      <c r="A1890" s="229" t="n">
        <v>46173</v>
      </c>
      <c r="B1890" s="46" t="inlineStr">
        <is>
          <t>정기검사</t>
        </is>
      </c>
      <c r="C1890" s="46" t="inlineStr">
        <is>
          <t>김포지역</t>
        </is>
      </c>
      <c r="D1890" s="46" t="inlineStr">
        <is>
          <t>김포양곡복합</t>
        </is>
      </c>
      <c r="E1890" s="46" t="n">
        <v>407</v>
      </c>
      <c r="F1890" s="46" t="inlineStr">
        <is>
          <t>양곡리</t>
        </is>
      </c>
      <c r="G1890" s="50" t="inlineStr">
        <is>
          <t>09:000</t>
        </is>
      </c>
      <c r="H1890" s="51" t="n">
        <v>1234090</v>
      </c>
      <c r="I1890" s="46" t="n"/>
      <c r="K1890" s="46" t="n">
        <v>1889</v>
      </c>
      <c r="L1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1">
      <c r="A1891" s="229" t="n">
        <v>46174</v>
      </c>
      <c r="B1891" s="46" t="inlineStr">
        <is>
          <t>정기검사</t>
        </is>
      </c>
      <c r="C1891" s="46" t="inlineStr">
        <is>
          <t>부천지역</t>
        </is>
      </c>
      <c r="D1891" s="46" t="inlineStr">
        <is>
          <t>로데오빌</t>
        </is>
      </c>
      <c r="E1891" s="46" t="inlineStr">
        <is>
          <t>750/227</t>
        </is>
      </c>
      <c r="F1891" s="46" t="inlineStr">
        <is>
          <t>중동</t>
        </is>
      </c>
      <c r="G1891" s="50" t="n">
        <v>0.2708333333333333</v>
      </c>
      <c r="H1891" s="51" t="n">
        <v>1333090</v>
      </c>
      <c r="I1891" s="46" t="inlineStr">
        <is>
          <t>민재홍</t>
        </is>
      </c>
      <c r="K1891" s="46" t="n">
        <v>1890</v>
      </c>
      <c r="L1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2">
      <c r="A1892" s="229" t="n">
        <v>46174</v>
      </c>
      <c r="B1892" s="46" t="inlineStr">
        <is>
          <t>정기검사</t>
        </is>
      </c>
      <c r="C1892" s="46" t="inlineStr">
        <is>
          <t>부천지역</t>
        </is>
      </c>
      <c r="D1892" s="46" t="inlineStr">
        <is>
          <t>꿈빛도서관</t>
        </is>
      </c>
      <c r="E1892" s="46" t="inlineStr">
        <is>
          <t>350/136</t>
        </is>
      </c>
      <c r="F1892" s="46" t="inlineStr">
        <is>
          <t>중동</t>
        </is>
      </c>
      <c r="G1892" s="50" t="n">
        <v>0.4166666666666667</v>
      </c>
      <c r="H1892" s="51" t="n">
        <v>862950</v>
      </c>
      <c r="I1892" s="46" t="inlineStr">
        <is>
          <t>정신배</t>
        </is>
      </c>
      <c r="K1892" s="46" t="n">
        <v>1891</v>
      </c>
      <c r="L1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3">
      <c r="A1893" s="229" t="n">
        <v>46174</v>
      </c>
      <c r="B1893" s="46" t="inlineStr">
        <is>
          <t>정기검사</t>
        </is>
      </c>
      <c r="C1893" s="46" t="inlineStr">
        <is>
          <t>김포지역</t>
        </is>
      </c>
      <c r="D1893" s="46" t="inlineStr">
        <is>
          <t>인오</t>
        </is>
      </c>
      <c r="E1893" s="46" t="n">
        <v>250</v>
      </c>
      <c r="F1893" s="46" t="inlineStr">
        <is>
          <t>대능리</t>
        </is>
      </c>
      <c r="G1893" s="50" t="n">
        <v>0.3958333333333333</v>
      </c>
      <c r="H1893" s="51" t="n">
        <v>489170</v>
      </c>
      <c r="I1893" s="46" t="inlineStr">
        <is>
          <t>허창수</t>
        </is>
      </c>
      <c r="K1893" s="46" t="n">
        <v>1892</v>
      </c>
      <c r="L1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4">
      <c r="A1894" s="229" t="n">
        <v>46174</v>
      </c>
      <c r="B1894" s="46" t="inlineStr">
        <is>
          <t>정기검사</t>
        </is>
      </c>
      <c r="C1894" s="46" t="inlineStr">
        <is>
          <t>김포지역</t>
        </is>
      </c>
      <c r="D1894" s="46" t="inlineStr">
        <is>
          <t>대천볼트</t>
        </is>
      </c>
      <c r="E1894" s="46" t="n">
        <v>580</v>
      </c>
      <c r="F1894" s="46" t="inlineStr">
        <is>
          <t>상마리</t>
        </is>
      </c>
      <c r="G1894" s="50" t="n">
        <v>0.4375</v>
      </c>
      <c r="H1894" s="51" t="n">
        <v>764060</v>
      </c>
      <c r="I1894" s="46" t="inlineStr">
        <is>
          <t>김영권</t>
        </is>
      </c>
      <c r="K1894" s="46" t="n">
        <v>1893</v>
      </c>
      <c r="L1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5">
      <c r="A1895" s="229" t="n">
        <v>46174</v>
      </c>
      <c r="B1895" s="46" t="inlineStr">
        <is>
          <t>정기검사</t>
        </is>
      </c>
      <c r="C1895" s="46" t="inlineStr">
        <is>
          <t>김포지역</t>
        </is>
      </c>
      <c r="D1895" s="46" t="inlineStr">
        <is>
          <t>한국피엘에이</t>
        </is>
      </c>
      <c r="E1895" s="46" t="n">
        <v>990</v>
      </c>
      <c r="F1895" s="46" t="inlineStr">
        <is>
          <t>대벽리</t>
        </is>
      </c>
      <c r="G1895" s="50" t="n">
        <v>0.5</v>
      </c>
      <c r="H1895" s="51" t="n">
        <v>902990</v>
      </c>
      <c r="I1895" s="46" t="inlineStr">
        <is>
          <t>서수형</t>
        </is>
      </c>
      <c r="K1895" s="46" t="n">
        <v>1894</v>
      </c>
      <c r="L1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6">
      <c r="A1896" s="229" t="n">
        <v>46174</v>
      </c>
      <c r="B1896" s="46" t="inlineStr">
        <is>
          <t>정기검사</t>
        </is>
      </c>
      <c r="C1896" s="46" t="inlineStr">
        <is>
          <t>김포지역</t>
        </is>
      </c>
      <c r="D1896" s="46" t="inlineStr">
        <is>
          <t>폴리프라자</t>
        </is>
      </c>
      <c r="E1896" s="46" t="inlineStr">
        <is>
          <t>750/273</t>
        </is>
      </c>
      <c r="F1896" s="46" t="inlineStr">
        <is>
          <t>구래동</t>
        </is>
      </c>
      <c r="G1896" s="50" t="n">
        <v>0.25</v>
      </c>
      <c r="H1896" s="51" t="n">
        <v>1350800</v>
      </c>
      <c r="I1896" s="46" t="inlineStr">
        <is>
          <t>이종석</t>
        </is>
      </c>
      <c r="K1896" s="46" t="n">
        <v>1895</v>
      </c>
      <c r="L1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7">
      <c r="A1897" s="229" t="n">
        <v>46174</v>
      </c>
      <c r="B1897" s="46" t="inlineStr">
        <is>
          <t>사용전검사</t>
        </is>
      </c>
      <c r="C1897" s="46" t="inlineStr">
        <is>
          <t>부천지역</t>
        </is>
      </c>
      <c r="D1897" s="46" t="inlineStr">
        <is>
          <t>에이치제이</t>
        </is>
      </c>
      <c r="E1897" s="46" t="n">
        <v>110</v>
      </c>
      <c r="F1897" s="46" t="inlineStr">
        <is>
          <t>소사동</t>
        </is>
      </c>
      <c r="G1897" s="50" t="n"/>
      <c r="H1897" s="51" t="n"/>
      <c r="I1897" s="46" t="inlineStr">
        <is>
          <t>송낙명</t>
        </is>
      </c>
      <c r="K1897" s="46" t="n">
        <v>1896</v>
      </c>
      <c r="L1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8">
      <c r="A1898" s="229" t="n">
        <v>46174</v>
      </c>
      <c r="B1898" s="46" t="inlineStr">
        <is>
          <t>사용전검사</t>
        </is>
      </c>
      <c r="C1898" s="46" t="inlineStr">
        <is>
          <t>부천지역</t>
        </is>
      </c>
      <c r="D1898" s="46" t="inlineStr">
        <is>
          <t>오정농협</t>
        </is>
      </c>
      <c r="E1898" s="46" t="n">
        <v>149</v>
      </c>
      <c r="F1898" s="46" t="inlineStr">
        <is>
          <t>오정동</t>
        </is>
      </c>
      <c r="G1898" s="50" t="n">
        <v>0.4166666666666667</v>
      </c>
      <c r="H1898" s="51" t="n"/>
      <c r="I1898" s="46" t="inlineStr">
        <is>
          <t>민경수</t>
        </is>
      </c>
      <c r="K1898" s="46" t="n">
        <v>1897</v>
      </c>
      <c r="L1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9">
      <c r="A1899" s="229" t="n">
        <v>46174</v>
      </c>
      <c r="B1899" s="46" t="inlineStr">
        <is>
          <t>사용전검사</t>
        </is>
      </c>
      <c r="C1899" s="46" t="inlineStr">
        <is>
          <t>부천지역</t>
        </is>
      </c>
      <c r="D1899" s="46" t="inlineStr">
        <is>
          <t>김승호</t>
        </is>
      </c>
      <c r="E1899" s="46" t="inlineStr">
        <is>
          <t>재검</t>
        </is>
      </c>
      <c r="F1899" s="46" t="n"/>
      <c r="G1899" s="50" t="n"/>
      <c r="H1899" s="51" t="n"/>
      <c r="I1899" s="46" t="inlineStr">
        <is>
          <t>정신배</t>
        </is>
      </c>
      <c r="K1899" s="46" t="n">
        <v>1898</v>
      </c>
      <c r="L1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0">
      <c r="A1900" s="229" t="n">
        <v>46174</v>
      </c>
      <c r="B1900" s="46" t="inlineStr">
        <is>
          <t>사용전검사</t>
        </is>
      </c>
      <c r="C1900" s="46" t="inlineStr">
        <is>
          <t>부천지역</t>
        </is>
      </c>
      <c r="D1900" s="46" t="inlineStr">
        <is>
          <t>한종산업개발</t>
        </is>
      </c>
      <c r="E1900" s="46" t="n">
        <v>300</v>
      </c>
      <c r="F1900" s="46" t="inlineStr">
        <is>
          <t>소사동</t>
        </is>
      </c>
      <c r="G1900" s="50" t="n"/>
      <c r="H1900" s="51" t="n"/>
      <c r="I1900" s="46" t="inlineStr">
        <is>
          <t>민경수</t>
        </is>
      </c>
      <c r="K1900" s="46" t="n">
        <v>1899</v>
      </c>
      <c r="L1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1">
      <c r="A1901" s="229" t="n">
        <v>46174</v>
      </c>
      <c r="B1901" s="46" t="inlineStr">
        <is>
          <t>사용전검사</t>
        </is>
      </c>
      <c r="C1901" s="46" t="inlineStr">
        <is>
          <t>부천지역</t>
        </is>
      </c>
      <c r="D1901" s="46" t="inlineStr">
        <is>
          <t>퍼시픽</t>
        </is>
      </c>
      <c r="E1901" s="46" t="inlineStr">
        <is>
          <t>부분</t>
        </is>
      </c>
      <c r="F1901" s="46" t="n"/>
      <c r="G1901" s="50" t="n"/>
      <c r="H1901" s="51" t="n"/>
      <c r="I1901" s="46" t="inlineStr">
        <is>
          <t>정성관</t>
        </is>
      </c>
      <c r="K1901" s="46" t="n">
        <v>1900</v>
      </c>
      <c r="L1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2">
      <c r="A1902" s="229" t="n">
        <v>46174</v>
      </c>
      <c r="B1902" s="46" t="inlineStr">
        <is>
          <t>사용전검사</t>
        </is>
      </c>
      <c r="C1902" s="46" t="inlineStr">
        <is>
          <t>부천지역</t>
        </is>
      </c>
      <c r="D1902" s="46" t="inlineStr">
        <is>
          <t>피영남</t>
        </is>
      </c>
      <c r="E1902" s="46" t="n">
        <v>8</v>
      </c>
      <c r="F1902" s="46" t="inlineStr">
        <is>
          <t>오정동</t>
        </is>
      </c>
      <c r="G1902" s="50" t="n"/>
      <c r="H1902" s="51" t="n"/>
      <c r="I1902" s="46" t="inlineStr">
        <is>
          <t>송낙명</t>
        </is>
      </c>
      <c r="K1902" s="46" t="n">
        <v>1901</v>
      </c>
      <c r="L1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3">
      <c r="A1903" s="229" t="n">
        <v>46174</v>
      </c>
      <c r="B1903" s="46" t="inlineStr">
        <is>
          <t>사용전검사</t>
        </is>
      </c>
      <c r="C1903" s="46" t="inlineStr">
        <is>
          <t>김포지역</t>
        </is>
      </c>
      <c r="D1903" s="46" t="inlineStr">
        <is>
          <t>오페론</t>
        </is>
      </c>
      <c r="E1903" s="46" t="inlineStr">
        <is>
          <t>부분</t>
        </is>
      </c>
      <c r="F1903" s="46" t="inlineStr">
        <is>
          <t>학운리</t>
        </is>
      </c>
      <c r="G1903" s="50" t="n"/>
      <c r="H1903" s="51" t="n"/>
      <c r="I1903" s="46" t="inlineStr">
        <is>
          <t>이종석</t>
        </is>
      </c>
      <c r="K1903" s="46" t="n">
        <v>1902</v>
      </c>
      <c r="L1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4">
      <c r="A1904" s="229" t="n">
        <v>46174</v>
      </c>
      <c r="B1904" s="46" t="inlineStr">
        <is>
          <t>사용전검사</t>
        </is>
      </c>
      <c r="C1904" s="46" t="inlineStr">
        <is>
          <t>김포지역</t>
        </is>
      </c>
      <c r="D1904" s="46" t="inlineStr">
        <is>
          <t>우지커피</t>
        </is>
      </c>
      <c r="E1904" s="46" t="n">
        <v>18</v>
      </c>
      <c r="F1904" s="46" t="inlineStr">
        <is>
          <t>풍무동</t>
        </is>
      </c>
      <c r="G1904" s="50" t="n"/>
      <c r="H1904" s="51" t="n"/>
      <c r="I1904" s="46" t="inlineStr">
        <is>
          <t>당효진</t>
        </is>
      </c>
      <c r="K1904" s="46" t="n">
        <v>1903</v>
      </c>
      <c r="L1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5">
      <c r="A1905" s="229" t="n">
        <v>46174</v>
      </c>
      <c r="B1905" s="46" t="inlineStr">
        <is>
          <t>사용전검사</t>
        </is>
      </c>
      <c r="C1905" s="46" t="inlineStr">
        <is>
          <t>김포지역</t>
        </is>
      </c>
      <c r="D1905" s="46" t="inlineStr">
        <is>
          <t>이엠토터</t>
        </is>
      </c>
      <c r="E1905" s="46" t="n">
        <v>209.28</v>
      </c>
      <c r="F1905" s="46" t="inlineStr">
        <is>
          <t>학운리</t>
        </is>
      </c>
      <c r="G1905" s="50" t="n"/>
      <c r="H1905" s="51" t="n"/>
      <c r="I1905" s="46" t="inlineStr">
        <is>
          <t>이덕기</t>
        </is>
      </c>
      <c r="K1905" s="46" t="n">
        <v>1904</v>
      </c>
      <c r="L1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6">
      <c r="A1906" s="229" t="n">
        <v>46174</v>
      </c>
      <c r="B1906" s="46" t="inlineStr">
        <is>
          <t>사용전검사</t>
        </is>
      </c>
      <c r="C1906" s="46" t="inlineStr">
        <is>
          <t>김포지역</t>
        </is>
      </c>
      <c r="D1906" s="46" t="inlineStr">
        <is>
          <t>무인아이스크림</t>
        </is>
      </c>
      <c r="E1906" s="46" t="n">
        <v>8</v>
      </c>
      <c r="F1906" s="46" t="inlineStr">
        <is>
          <t>풍무동</t>
        </is>
      </c>
      <c r="G1906" s="50" t="n"/>
      <c r="H1906" s="51" t="n"/>
      <c r="I1906" s="46" t="inlineStr">
        <is>
          <t>당효진</t>
        </is>
      </c>
      <c r="K1906" s="46" t="n">
        <v>1905</v>
      </c>
      <c r="L1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7">
      <c r="A1907" s="229" t="n">
        <v>46174</v>
      </c>
      <c r="B1907" s="46" t="inlineStr">
        <is>
          <t>사용전검사</t>
        </is>
      </c>
      <c r="C1907" s="46" t="inlineStr">
        <is>
          <t>김포지역</t>
        </is>
      </c>
      <c r="D1907" s="46" t="inlineStr">
        <is>
          <t>예다원</t>
        </is>
      </c>
      <c r="E1907" s="46" t="inlineStr">
        <is>
          <t>피뢰</t>
        </is>
      </c>
      <c r="F1907" s="46" t="inlineStr">
        <is>
          <t>운양동</t>
        </is>
      </c>
      <c r="G1907" s="50" t="n"/>
      <c r="H1907" s="51" t="n"/>
      <c r="I1907" s="46" t="inlineStr">
        <is>
          <t>송두기</t>
        </is>
      </c>
      <c r="K1907" s="46" t="n">
        <v>1906</v>
      </c>
      <c r="L1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8">
      <c r="A1908" s="229" t="n">
        <v>46174</v>
      </c>
      <c r="B1908" s="46" t="inlineStr">
        <is>
          <t>사용전검사</t>
        </is>
      </c>
      <c r="C1908" s="46" t="inlineStr">
        <is>
          <t>김포지역</t>
        </is>
      </c>
      <c r="D1908" s="46" t="inlineStr">
        <is>
          <t>내쇼날경인플라스틱</t>
        </is>
      </c>
      <c r="E1908" s="46" t="n">
        <v>196</v>
      </c>
      <c r="F1908" s="46" t="inlineStr">
        <is>
          <t>학운리</t>
        </is>
      </c>
      <c r="G1908" s="50" t="n"/>
      <c r="H1908" s="51" t="n"/>
      <c r="I1908" s="46" t="inlineStr">
        <is>
          <t>한태희</t>
        </is>
      </c>
      <c r="K1908" s="46" t="n">
        <v>1907</v>
      </c>
      <c r="L1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9">
      <c r="A1909" s="229" t="n">
        <v>46175</v>
      </c>
      <c r="B1909" s="46" t="inlineStr">
        <is>
          <t>정기검사</t>
        </is>
      </c>
      <c r="C1909" s="46" t="inlineStr">
        <is>
          <t>부천지역</t>
        </is>
      </c>
      <c r="D1909" s="46" t="inlineStr">
        <is>
          <t>부산성베네딕도수녀원</t>
        </is>
      </c>
      <c r="E1909" s="46" t="n">
        <v>45</v>
      </c>
      <c r="F1909" s="46" t="inlineStr">
        <is>
          <t>소사동</t>
        </is>
      </c>
      <c r="G1909" s="50" t="n">
        <v>0.4791666666666667</v>
      </c>
      <c r="H1909" s="51" t="n">
        <v>149930</v>
      </c>
      <c r="I1909" s="46" t="inlineStr">
        <is>
          <t>민재홍</t>
        </is>
      </c>
      <c r="K1909" s="46" t="n">
        <v>1908</v>
      </c>
      <c r="L1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0">
      <c r="A1910" s="229" t="n">
        <v>46175</v>
      </c>
      <c r="B1910" s="46" t="inlineStr">
        <is>
          <t>정기검사</t>
        </is>
      </c>
      <c r="C1910" s="46" t="inlineStr">
        <is>
          <t>부천지역</t>
        </is>
      </c>
      <c r="D1910" s="46" t="inlineStr">
        <is>
          <t>리더스테크</t>
        </is>
      </c>
      <c r="E1910" s="46" t="n">
        <v>400</v>
      </c>
      <c r="F1910" s="46" t="inlineStr">
        <is>
          <t>도당동</t>
        </is>
      </c>
      <c r="G1910" s="50" t="n">
        <v>0.5416666666666666</v>
      </c>
      <c r="H1910" s="51" t="n">
        <v>703120</v>
      </c>
      <c r="I1910" s="46" t="inlineStr">
        <is>
          <t>민경수</t>
        </is>
      </c>
      <c r="K1910" s="46" t="n">
        <v>1909</v>
      </c>
      <c r="L1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1">
      <c r="A1911" s="229" t="n">
        <v>46175</v>
      </c>
      <c r="B1911" s="46" t="inlineStr">
        <is>
          <t>정기검사</t>
        </is>
      </c>
      <c r="C1911" s="46" t="inlineStr">
        <is>
          <t>부천지역</t>
        </is>
      </c>
      <c r="D1911" s="46" t="inlineStr">
        <is>
          <t>화진포에버</t>
        </is>
      </c>
      <c r="E1911" s="46" t="n">
        <v>290</v>
      </c>
      <c r="F1911" s="46" t="inlineStr">
        <is>
          <t>도당동</t>
        </is>
      </c>
      <c r="G1911" s="50" t="n">
        <v>0.5833333333333334</v>
      </c>
      <c r="H1911" s="51" t="n">
        <v>515130</v>
      </c>
      <c r="I1911" s="46" t="inlineStr">
        <is>
          <t>이종석</t>
        </is>
      </c>
      <c r="K1911" s="46" t="n">
        <v>1910</v>
      </c>
      <c r="L1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2">
      <c r="A1912" s="229" t="n">
        <v>46175</v>
      </c>
      <c r="B1912" s="46" t="inlineStr">
        <is>
          <t>정기검사</t>
        </is>
      </c>
      <c r="C1912" s="46" t="inlineStr">
        <is>
          <t>부천지역</t>
        </is>
      </c>
      <c r="D1912" s="46" t="inlineStr">
        <is>
          <t>신성테크닉스</t>
        </is>
      </c>
      <c r="E1912" s="46" t="n">
        <v>200</v>
      </c>
      <c r="F1912" s="46" t="inlineStr">
        <is>
          <t>도당동</t>
        </is>
      </c>
      <c r="G1912" s="50" t="n">
        <v>0.5</v>
      </c>
      <c r="H1912" s="51" t="n">
        <v>456720</v>
      </c>
      <c r="I1912" s="46" t="inlineStr">
        <is>
          <t>허창수</t>
        </is>
      </c>
      <c r="K1912" s="46" t="n">
        <v>1911</v>
      </c>
      <c r="L1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3">
      <c r="A1913" s="229" t="n">
        <v>46175</v>
      </c>
      <c r="B1913" s="46" t="inlineStr">
        <is>
          <t>정기검사</t>
        </is>
      </c>
      <c r="C1913" s="46" t="inlineStr">
        <is>
          <t>부천지역</t>
        </is>
      </c>
      <c r="D1913" s="46" t="inlineStr">
        <is>
          <t>새롬프라자</t>
        </is>
      </c>
      <c r="E1913" s="46" t="inlineStr">
        <is>
          <t>전기차</t>
        </is>
      </c>
      <c r="F1913" s="46" t="inlineStr">
        <is>
          <t>상동</t>
        </is>
      </c>
      <c r="G1913" s="50" t="n">
        <v>0.4166666666666667</v>
      </c>
      <c r="H1913" s="51" t="n">
        <v>64240</v>
      </c>
      <c r="I1913" s="46" t="inlineStr">
        <is>
          <t>송낙명</t>
        </is>
      </c>
      <c r="K1913" s="46" t="n">
        <v>1912</v>
      </c>
      <c r="L1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4">
      <c r="A1914" s="229" t="n">
        <v>46175</v>
      </c>
      <c r="B1914" s="46" t="inlineStr">
        <is>
          <t>정기검사</t>
        </is>
      </c>
      <c r="C1914" s="46" t="inlineStr">
        <is>
          <t>김포지역</t>
        </is>
      </c>
      <c r="D1914" s="46" t="inlineStr">
        <is>
          <t>나노엠엣스이</t>
        </is>
      </c>
      <c r="E1914" s="46" t="n">
        <v>300</v>
      </c>
      <c r="F1914" s="46" t="inlineStr">
        <is>
          <t>고양리</t>
        </is>
      </c>
      <c r="G1914" s="50" t="n">
        <v>0.5</v>
      </c>
      <c r="H1914" s="51" t="n">
        <v>521730</v>
      </c>
      <c r="I1914" s="46" t="inlineStr">
        <is>
          <t>정성관</t>
        </is>
      </c>
      <c r="K1914" s="46" t="n">
        <v>1913</v>
      </c>
      <c r="L1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5">
      <c r="A1915" s="229" t="n">
        <v>46175</v>
      </c>
      <c r="B1915" s="46" t="inlineStr">
        <is>
          <t>정기검사</t>
        </is>
      </c>
      <c r="C1915" s="46" t="inlineStr">
        <is>
          <t>김포지역</t>
        </is>
      </c>
      <c r="D1915" s="46" t="inlineStr">
        <is>
          <t>송산피엔이</t>
        </is>
      </c>
      <c r="E1915" s="46" t="n">
        <v>290</v>
      </c>
      <c r="F1915" s="46" t="inlineStr">
        <is>
          <t>원산리</t>
        </is>
      </c>
      <c r="G1915" s="50" t="n">
        <v>0.5</v>
      </c>
      <c r="H1915" s="51" t="n">
        <v>515130</v>
      </c>
      <c r="I1915" s="46" t="inlineStr">
        <is>
          <t>김영권</t>
        </is>
      </c>
      <c r="K1915" s="46" t="n">
        <v>1914</v>
      </c>
      <c r="L1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6">
      <c r="A1916" s="229" t="n">
        <v>46175</v>
      </c>
      <c r="B1916" s="46" t="inlineStr">
        <is>
          <t>정기검사</t>
        </is>
      </c>
      <c r="C1916" s="46" t="inlineStr">
        <is>
          <t>김포지역</t>
        </is>
      </c>
      <c r="D1916" s="46" t="inlineStr">
        <is>
          <t>일레븐건설</t>
        </is>
      </c>
      <c r="E1916" s="46" t="n">
        <v>400</v>
      </c>
      <c r="F1916" s="46" t="inlineStr">
        <is>
          <t>고촌</t>
        </is>
      </c>
      <c r="G1916" s="50" t="n">
        <v>0.4166666666666667</v>
      </c>
      <c r="H1916" s="51" t="n">
        <v>703120</v>
      </c>
      <c r="I1916" s="46" t="inlineStr">
        <is>
          <t>서수형</t>
        </is>
      </c>
      <c r="K1916" s="46" t="n">
        <v>1915</v>
      </c>
      <c r="L1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7">
      <c r="A1917" s="229" t="n">
        <v>46175</v>
      </c>
      <c r="B1917" s="46" t="inlineStr">
        <is>
          <t>사용전검사</t>
        </is>
      </c>
      <c r="C1917" s="46" t="inlineStr">
        <is>
          <t>부천지역</t>
        </is>
      </c>
      <c r="D1917" s="46" t="inlineStr">
        <is>
          <t>남광토건</t>
        </is>
      </c>
      <c r="E1917" s="46" t="n">
        <v>450</v>
      </c>
      <c r="F1917" s="46" t="inlineStr">
        <is>
          <t>대장동</t>
        </is>
      </c>
      <c r="G1917" s="50" t="n"/>
      <c r="H1917" s="51" t="n"/>
      <c r="I1917" s="46" t="inlineStr">
        <is>
          <t>이종석</t>
        </is>
      </c>
      <c r="K1917" s="46" t="n">
        <v>1916</v>
      </c>
      <c r="L1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8">
      <c r="A1918" s="229" t="n">
        <v>46175</v>
      </c>
      <c r="B1918" s="46" t="inlineStr">
        <is>
          <t>사용전검사</t>
        </is>
      </c>
      <c r="C1918" s="46" t="inlineStr">
        <is>
          <t>부천지역</t>
        </is>
      </c>
      <c r="D1918" s="46" t="inlineStr">
        <is>
          <t>켐토피아</t>
        </is>
      </c>
      <c r="E1918" s="46" t="n">
        <v>7</v>
      </c>
      <c r="F1918" s="46" t="inlineStr">
        <is>
          <t>상동</t>
        </is>
      </c>
      <c r="G1918" s="50" t="n"/>
      <c r="H1918" s="51" t="n"/>
      <c r="I1918" s="46" t="inlineStr">
        <is>
          <t>송낙명</t>
        </is>
      </c>
      <c r="K1918" s="46" t="n">
        <v>1917</v>
      </c>
      <c r="L1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9">
      <c r="A1919" s="229" t="n">
        <v>46175</v>
      </c>
      <c r="B1919" s="46" t="inlineStr">
        <is>
          <t>사용전검사</t>
        </is>
      </c>
      <c r="C1919" s="46" t="inlineStr">
        <is>
          <t>부천지역</t>
        </is>
      </c>
      <c r="D1919" s="46" t="inlineStr">
        <is>
          <t>동영</t>
        </is>
      </c>
      <c r="E1919" s="46" t="n">
        <v>299</v>
      </c>
      <c r="F1919" s="46" t="inlineStr">
        <is>
          <t>오정동</t>
        </is>
      </c>
      <c r="G1919" s="50" t="n"/>
      <c r="H1919" s="51" t="n"/>
      <c r="I1919" s="46" t="inlineStr">
        <is>
          <t>민재홍</t>
        </is>
      </c>
      <c r="K1919" s="46" t="n">
        <v>1918</v>
      </c>
      <c r="L1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0">
      <c r="A1920" s="229" t="n">
        <v>46175</v>
      </c>
      <c r="B1920" s="46" t="inlineStr">
        <is>
          <t>사용전검사</t>
        </is>
      </c>
      <c r="C1920" s="46" t="inlineStr">
        <is>
          <t>부천지역</t>
        </is>
      </c>
      <c r="D1920" s="46" t="inlineStr">
        <is>
          <t>김포로양1</t>
        </is>
      </c>
      <c r="E1920" s="46" t="n">
        <v>89</v>
      </c>
      <c r="F1920" s="46" t="inlineStr">
        <is>
          <t>옹정리</t>
        </is>
      </c>
      <c r="G1920" s="50" t="n"/>
      <c r="H1920" s="51" t="n"/>
      <c r="I1920" s="46" t="inlineStr">
        <is>
          <t>송두기</t>
        </is>
      </c>
      <c r="K1920" s="46" t="n">
        <v>1919</v>
      </c>
      <c r="L1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1">
      <c r="A1921" s="229" t="n">
        <v>46175</v>
      </c>
      <c r="B1921" s="46" t="inlineStr">
        <is>
          <t>사용전검사</t>
        </is>
      </c>
      <c r="C1921" s="46" t="inlineStr">
        <is>
          <t>부천지역</t>
        </is>
      </c>
      <c r="D1921" s="46" t="inlineStr">
        <is>
          <t>김포로양2</t>
        </is>
      </c>
      <c r="E1921" s="46" t="n">
        <v>90</v>
      </c>
      <c r="F1921" s="46" t="inlineStr">
        <is>
          <t>옹정리</t>
        </is>
      </c>
      <c r="G1921" s="50" t="n"/>
      <c r="H1921" s="51" t="n"/>
      <c r="I1921" s="46" t="inlineStr">
        <is>
          <t>송두기</t>
        </is>
      </c>
      <c r="K1921" s="46" t="n">
        <v>1920</v>
      </c>
      <c r="L1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2">
      <c r="A1922" s="229" t="n">
        <v>46175</v>
      </c>
      <c r="B1922" s="46" t="inlineStr">
        <is>
          <t>사용전검사</t>
        </is>
      </c>
      <c r="C1922" s="46" t="inlineStr">
        <is>
          <t>김포지역</t>
        </is>
      </c>
      <c r="D1922" s="46" t="inlineStr">
        <is>
          <t>한강발전</t>
        </is>
      </c>
      <c r="E1922" s="46" t="n">
        <v>432</v>
      </c>
      <c r="F1922" s="46" t="inlineStr">
        <is>
          <t>봉성리</t>
        </is>
      </c>
      <c r="G1922" s="50" t="n"/>
      <c r="H1922" s="51" t="n"/>
      <c r="I1922" s="46" t="inlineStr">
        <is>
          <t>당효진</t>
        </is>
      </c>
      <c r="K1922" s="46" t="n">
        <v>1921</v>
      </c>
      <c r="L1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3">
      <c r="A1923" s="229" t="n">
        <v>46175</v>
      </c>
      <c r="B1923" s="46" t="inlineStr">
        <is>
          <t>사용전검사</t>
        </is>
      </c>
      <c r="C1923" s="46" t="inlineStr">
        <is>
          <t>김포지역</t>
        </is>
      </c>
      <c r="D1923" s="46" t="inlineStr">
        <is>
          <t>모햇발전소</t>
        </is>
      </c>
      <c r="E1923" s="46" t="n">
        <v>130</v>
      </c>
      <c r="F1923" s="46" t="inlineStr">
        <is>
          <t>상마리</t>
        </is>
      </c>
      <c r="G1923" s="50" t="n"/>
      <c r="H1923" s="51" t="n"/>
      <c r="I1923" s="46" t="inlineStr">
        <is>
          <t>이덕기</t>
        </is>
      </c>
      <c r="K1923" s="46" t="n">
        <v>1922</v>
      </c>
      <c r="L1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4">
      <c r="A1924" s="229" t="n">
        <v>46175</v>
      </c>
      <c r="B1924" s="46" t="inlineStr">
        <is>
          <t>사용전검사</t>
        </is>
      </c>
      <c r="C1924" s="46" t="inlineStr">
        <is>
          <t>김포지역</t>
        </is>
      </c>
      <c r="D1924" s="46" t="inlineStr">
        <is>
          <t>해온발전소</t>
        </is>
      </c>
      <c r="E1924" s="46" t="inlineStr">
        <is>
          <t>재검</t>
        </is>
      </c>
      <c r="F1924" s="46" t="inlineStr">
        <is>
          <t>석정리</t>
        </is>
      </c>
      <c r="G1924" s="50" t="n"/>
      <c r="H1924" s="51" t="n"/>
      <c r="I1924" s="46" t="inlineStr">
        <is>
          <t>정신배</t>
        </is>
      </c>
      <c r="K1924" s="46" t="n">
        <v>1923</v>
      </c>
      <c r="L1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5">
      <c r="A1925" s="229" t="n">
        <v>46175</v>
      </c>
      <c r="B1925" s="46" t="inlineStr">
        <is>
          <t>사용전검사</t>
        </is>
      </c>
      <c r="C1925" s="46" t="inlineStr">
        <is>
          <t>김포지역</t>
        </is>
      </c>
      <c r="D1925" s="46" t="inlineStr">
        <is>
          <t>삼영1호</t>
        </is>
      </c>
      <c r="E1925" s="46" t="n">
        <v>72</v>
      </c>
      <c r="F1925" s="46" t="inlineStr">
        <is>
          <t>학운리</t>
        </is>
      </c>
      <c r="G1925" s="50" t="n"/>
      <c r="H1925" s="51" t="n"/>
      <c r="I1925" s="46" t="inlineStr">
        <is>
          <t>한태희</t>
        </is>
      </c>
      <c r="K1925" s="46" t="n">
        <v>1924</v>
      </c>
      <c r="L1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6">
      <c r="A1926" s="229" t="n">
        <v>46175</v>
      </c>
      <c r="B1926" s="46" t="inlineStr">
        <is>
          <t>사용전검사</t>
        </is>
      </c>
      <c r="C1926" s="46" t="inlineStr">
        <is>
          <t>김포지역</t>
        </is>
      </c>
      <c r="D1926" s="46" t="inlineStr">
        <is>
          <t>삼영2호</t>
        </is>
      </c>
      <c r="E1926" s="46" t="n">
        <v>73</v>
      </c>
      <c r="F1926" s="46" t="inlineStr">
        <is>
          <t>학운리</t>
        </is>
      </c>
      <c r="G1926" s="50" t="n"/>
      <c r="H1926" s="51" t="n"/>
      <c r="I1926" s="46" t="inlineStr">
        <is>
          <t>한태희</t>
        </is>
      </c>
      <c r="K1926" s="46" t="n">
        <v>1925</v>
      </c>
      <c r="L1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7">
      <c r="A1927" s="229" t="n">
        <v>46175</v>
      </c>
      <c r="B1927" s="46" t="inlineStr">
        <is>
          <t>사용전검사</t>
        </is>
      </c>
      <c r="C1927" s="46" t="inlineStr">
        <is>
          <t>김포지역</t>
        </is>
      </c>
      <c r="D1927" s="46" t="inlineStr">
        <is>
          <t>떠기다방</t>
        </is>
      </c>
      <c r="E1927" s="46" t="n">
        <v>15</v>
      </c>
      <c r="F1927" s="46" t="inlineStr">
        <is>
          <t>서암리</t>
        </is>
      </c>
      <c r="G1927" s="50" t="n"/>
      <c r="H1927" s="51" t="n"/>
      <c r="I1927" s="46" t="inlineStr">
        <is>
          <t>당효진</t>
        </is>
      </c>
      <c r="K1927" s="46" t="n">
        <v>1926</v>
      </c>
      <c r="L1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8">
      <c r="A1928" s="229" t="n">
        <v>46175</v>
      </c>
      <c r="B1928" s="46" t="inlineStr">
        <is>
          <t>사용전검사</t>
        </is>
      </c>
      <c r="C1928" s="46" t="inlineStr">
        <is>
          <t>김포지역</t>
        </is>
      </c>
      <c r="D1928" s="46" t="inlineStr">
        <is>
          <t>바스코리아</t>
        </is>
      </c>
      <c r="E1928" s="46" t="n">
        <v>149</v>
      </c>
      <c r="F1928" s="46" t="inlineStr">
        <is>
          <t>거물대리</t>
        </is>
      </c>
      <c r="G1928" s="50" t="n"/>
      <c r="H1928" s="51" t="n"/>
      <c r="I1928" s="46" t="inlineStr">
        <is>
          <t>정신배</t>
        </is>
      </c>
      <c r="K1928" s="46" t="n">
        <v>1927</v>
      </c>
      <c r="L1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9">
      <c r="A1929" s="229" t="n">
        <v>46177</v>
      </c>
      <c r="B1929" s="46" t="inlineStr">
        <is>
          <t>정기검사</t>
        </is>
      </c>
      <c r="C1929" s="46" t="inlineStr">
        <is>
          <t>부천지역</t>
        </is>
      </c>
      <c r="D1929" s="46" t="inlineStr">
        <is>
          <t>한국가스공사</t>
        </is>
      </c>
      <c r="E1929" s="46" t="n">
        <v>30</v>
      </c>
      <c r="F1929" s="46" t="inlineStr">
        <is>
          <t>송내동</t>
        </is>
      </c>
      <c r="G1929" s="50" t="n">
        <v>0.5833333333333334</v>
      </c>
      <c r="H1929" s="51" t="n">
        <v>259050</v>
      </c>
      <c r="I1929" s="46" t="inlineStr">
        <is>
          <t>김영권</t>
        </is>
      </c>
      <c r="K1929" s="46" t="n">
        <v>1928</v>
      </c>
      <c r="L1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0">
      <c r="A1930" s="229" t="n">
        <v>46177</v>
      </c>
      <c r="B1930" s="46" t="inlineStr">
        <is>
          <t>정기검사</t>
        </is>
      </c>
      <c r="C1930" s="46" t="inlineStr">
        <is>
          <t>부천지역</t>
        </is>
      </c>
      <c r="D1930" s="46" t="inlineStr">
        <is>
          <t>리싸이클</t>
        </is>
      </c>
      <c r="E1930" s="46" t="n">
        <v>290</v>
      </c>
      <c r="F1930" s="46" t="inlineStr">
        <is>
          <t>상동</t>
        </is>
      </c>
      <c r="G1930" s="50" t="n">
        <v>0.4791666666666667</v>
      </c>
      <c r="H1930" s="51" t="n">
        <v>515130</v>
      </c>
      <c r="I1930" s="46" t="inlineStr">
        <is>
          <t>송두기</t>
        </is>
      </c>
      <c r="K1930" s="46" t="n">
        <v>1929</v>
      </c>
      <c r="L1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1">
      <c r="A1931" s="229" t="n">
        <v>46177</v>
      </c>
      <c r="B1931" s="46" t="inlineStr">
        <is>
          <t>정기검사</t>
        </is>
      </c>
      <c r="C1931" s="46" t="inlineStr">
        <is>
          <t>부천지역</t>
        </is>
      </c>
      <c r="D1931" s="46" t="inlineStr">
        <is>
          <t>하이센스빌</t>
        </is>
      </c>
      <c r="E1931" s="46" t="inlineStr">
        <is>
          <t>전기차</t>
        </is>
      </c>
      <c r="F1931" s="46" t="n"/>
      <c r="G1931" s="50" t="n">
        <v>0.3958333333333333</v>
      </c>
      <c r="H1931" s="51" t="n">
        <v>98120</v>
      </c>
      <c r="I1931" s="46" t="inlineStr">
        <is>
          <t>서수형</t>
        </is>
      </c>
      <c r="K1931" s="46" t="n">
        <v>1930</v>
      </c>
      <c r="L1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2">
      <c r="A1932" s="229" t="n">
        <v>46177</v>
      </c>
      <c r="B1932" s="46" t="inlineStr">
        <is>
          <t>정기검사</t>
        </is>
      </c>
      <c r="C1932" s="46" t="inlineStr">
        <is>
          <t>부천지역</t>
        </is>
      </c>
      <c r="D1932" s="46" t="inlineStr">
        <is>
          <t>하이센스빌</t>
        </is>
      </c>
      <c r="E1932" s="46" t="inlineStr">
        <is>
          <t>950/273</t>
        </is>
      </c>
      <c r="F1932" s="46" t="n"/>
      <c r="G1932" s="50" t="n">
        <v>0.25</v>
      </c>
      <c r="H1932" s="51" t="n">
        <v>1438910</v>
      </c>
      <c r="I1932" s="46" t="inlineStr">
        <is>
          <t>서수형</t>
        </is>
      </c>
      <c r="K1932" s="46" t="n">
        <v>1931</v>
      </c>
      <c r="L1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3">
      <c r="A1933" s="229" t="n">
        <v>46177</v>
      </c>
      <c r="B1933" s="46" t="inlineStr">
        <is>
          <t>정기검사</t>
        </is>
      </c>
      <c r="C1933" s="46" t="inlineStr">
        <is>
          <t>부천지역</t>
        </is>
      </c>
      <c r="D1933" s="46" t="inlineStr">
        <is>
          <t>부천축산물공판장</t>
        </is>
      </c>
      <c r="E1933" s="46" t="n">
        <v>450</v>
      </c>
      <c r="F1933" s="46" t="inlineStr">
        <is>
          <t>삼정동</t>
        </is>
      </c>
      <c r="G1933" s="50" t="n">
        <v>0.3958333333333333</v>
      </c>
      <c r="H1933" s="51" t="n">
        <v>246400</v>
      </c>
      <c r="I1933" s="46" t="inlineStr">
        <is>
          <t>당효진</t>
        </is>
      </c>
      <c r="K1933" s="46" t="n">
        <v>1932</v>
      </c>
      <c r="L1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4">
      <c r="A1934" s="229" t="n">
        <v>46177</v>
      </c>
      <c r="B1934" s="46" t="inlineStr">
        <is>
          <t>정기검사</t>
        </is>
      </c>
      <c r="C1934" s="46" t="inlineStr">
        <is>
          <t>부천지역</t>
        </is>
      </c>
      <c r="D1934" s="46" t="inlineStr">
        <is>
          <t>중동은하수타워</t>
        </is>
      </c>
      <c r="E1934" s="46" t="n">
        <v>350</v>
      </c>
      <c r="F1934" s="46" t="n"/>
      <c r="G1934" s="50" t="n"/>
      <c r="H1934" s="51" t="n">
        <v>224950</v>
      </c>
      <c r="I1934" s="46" t="inlineStr">
        <is>
          <t>김영권</t>
        </is>
      </c>
      <c r="K1934" s="46" t="n">
        <v>1933</v>
      </c>
      <c r="L1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5">
      <c r="A1935" s="229" t="n">
        <v>46177</v>
      </c>
      <c r="B1935" s="46" t="inlineStr">
        <is>
          <t>정기검사</t>
        </is>
      </c>
      <c r="C1935" s="46" t="inlineStr">
        <is>
          <t>김포지역</t>
        </is>
      </c>
      <c r="D1935" s="46" t="inlineStr">
        <is>
          <t>김포시청</t>
        </is>
      </c>
      <c r="E1935" s="46" t="inlineStr">
        <is>
          <t>750/700</t>
        </is>
      </c>
      <c r="F1935" s="46" t="inlineStr">
        <is>
          <t>구래동</t>
        </is>
      </c>
      <c r="G1935" s="50" t="n">
        <v>0.4791666666666667</v>
      </c>
      <c r="H1935" s="51" t="n">
        <v>1540770</v>
      </c>
      <c r="I1935" s="46" t="inlineStr">
        <is>
          <t>이덕기</t>
        </is>
      </c>
      <c r="K1935" s="46" t="n">
        <v>1934</v>
      </c>
      <c r="L1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6">
      <c r="A1936" s="229" t="n">
        <v>46177</v>
      </c>
      <c r="B1936" s="46" t="inlineStr">
        <is>
          <t>정기검사</t>
        </is>
      </c>
      <c r="C1936" s="46" t="inlineStr">
        <is>
          <t>김포지역</t>
        </is>
      </c>
      <c r="D1936" s="46" t="inlineStr">
        <is>
          <t>해주</t>
        </is>
      </c>
      <c r="E1936" s="46" t="n">
        <v>450</v>
      </c>
      <c r="F1936" s="46" t="inlineStr">
        <is>
          <t>쇄암리</t>
        </is>
      </c>
      <c r="G1936" s="50" t="n">
        <v>0.4791666666666667</v>
      </c>
      <c r="H1936" s="51" t="n">
        <v>720060</v>
      </c>
      <c r="I1936" s="46" t="inlineStr">
        <is>
          <t>정성관</t>
        </is>
      </c>
      <c r="K1936" s="46" t="n">
        <v>1935</v>
      </c>
      <c r="L1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7">
      <c r="A1937" s="229" t="n">
        <v>46177</v>
      </c>
      <c r="B1937" s="46" t="inlineStr">
        <is>
          <t>정기검사</t>
        </is>
      </c>
      <c r="C1937" s="46" t="inlineStr">
        <is>
          <t>김포지역</t>
        </is>
      </c>
      <c r="D1937" s="46" t="inlineStr">
        <is>
          <t>한신휴</t>
        </is>
      </c>
      <c r="E1937" s="46" t="inlineStr">
        <is>
          <t>전기차</t>
        </is>
      </c>
      <c r="F1937" s="46" t="inlineStr">
        <is>
          <t>운양동</t>
        </is>
      </c>
      <c r="G1937" s="50" t="n"/>
      <c r="H1937" s="51" t="n">
        <v>115060</v>
      </c>
      <c r="I1937" s="46" t="inlineStr">
        <is>
          <t>한태희</t>
        </is>
      </c>
      <c r="K1937" s="46" t="n">
        <v>1936</v>
      </c>
      <c r="L1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8">
      <c r="A1938" s="229" t="n">
        <v>46177</v>
      </c>
      <c r="B1938" s="46" t="inlineStr">
        <is>
          <t>정기검사</t>
        </is>
      </c>
      <c r="C1938" s="46" t="inlineStr">
        <is>
          <t>김포지역</t>
        </is>
      </c>
      <c r="D1938" s="46" t="inlineStr">
        <is>
          <t>레이크에일린뜰</t>
        </is>
      </c>
      <c r="E1938" s="46" t="inlineStr">
        <is>
          <t>2400/600</t>
        </is>
      </c>
      <c r="F1938" s="46" t="inlineStr">
        <is>
          <t>마산동</t>
        </is>
      </c>
      <c r="G1938" s="50" t="n">
        <v>0.4166666666666667</v>
      </c>
      <c r="H1938" s="51" t="n">
        <v>1397110</v>
      </c>
      <c r="I1938" s="46" t="inlineStr">
        <is>
          <t>이종석</t>
        </is>
      </c>
      <c r="K1938" s="46" t="n">
        <v>1937</v>
      </c>
      <c r="L1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9">
      <c r="A1939" s="229" t="n">
        <v>46177</v>
      </c>
      <c r="B1939" s="46" t="inlineStr">
        <is>
          <t>정기검사</t>
        </is>
      </c>
      <c r="C1939" s="46" t="inlineStr">
        <is>
          <t>김포지역</t>
        </is>
      </c>
      <c r="D1939" s="46" t="inlineStr">
        <is>
          <t>반도유보라</t>
        </is>
      </c>
      <c r="E1939" s="46" t="inlineStr">
        <is>
          <t>전기차</t>
        </is>
      </c>
      <c r="F1939" s="46" t="inlineStr">
        <is>
          <t>구래동</t>
        </is>
      </c>
      <c r="G1939" s="50" t="n">
        <v>0.3958333333333333</v>
      </c>
      <c r="H1939" s="51" t="n">
        <v>72710</v>
      </c>
      <c r="I1939" s="46" t="inlineStr">
        <is>
          <t>정신배</t>
        </is>
      </c>
      <c r="K1939" s="46" t="n">
        <v>1938</v>
      </c>
      <c r="L1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0">
      <c r="A1940" s="229" t="n">
        <v>46177</v>
      </c>
      <c r="B1940" s="46" t="inlineStr">
        <is>
          <t>사용전검사</t>
        </is>
      </c>
      <c r="C1940" s="46" t="inlineStr">
        <is>
          <t>부천지역</t>
        </is>
      </c>
      <c r="D1940" s="46" t="inlineStr">
        <is>
          <t>중동은하수타운</t>
        </is>
      </c>
      <c r="E1940" s="46" t="n">
        <v>2100</v>
      </c>
      <c r="F1940" s="46" t="inlineStr">
        <is>
          <t>중동</t>
        </is>
      </c>
      <c r="G1940" s="50" t="n">
        <v>0.7708333333333334</v>
      </c>
      <c r="H1940" s="51" t="n"/>
      <c r="I1940" s="46" t="inlineStr">
        <is>
          <t>김영권</t>
        </is>
      </c>
      <c r="K1940" s="46" t="n">
        <v>1939</v>
      </c>
      <c r="L1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1">
      <c r="A1941" s="229" t="n">
        <v>46177</v>
      </c>
      <c r="B1941" s="46" t="inlineStr">
        <is>
          <t>사용전검사</t>
        </is>
      </c>
      <c r="C1941" s="46" t="inlineStr">
        <is>
          <t>부천지역</t>
        </is>
      </c>
      <c r="D1941" s="46" t="inlineStr">
        <is>
          <t>광백드림</t>
        </is>
      </c>
      <c r="E1941" s="46" t="inlineStr">
        <is>
          <t>피뢰</t>
        </is>
      </c>
      <c r="F1941" s="46" t="inlineStr">
        <is>
          <t>심곡동</t>
        </is>
      </c>
      <c r="G1941" s="50" t="n"/>
      <c r="H1941" s="51" t="n"/>
      <c r="I1941" s="46" t="inlineStr">
        <is>
          <t>송낙명</t>
        </is>
      </c>
      <c r="K1941" s="46" t="n">
        <v>1940</v>
      </c>
      <c r="L1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2">
      <c r="A1942" s="229" t="n">
        <v>46177</v>
      </c>
      <c r="B1942" s="46" t="inlineStr">
        <is>
          <t>사용전검사</t>
        </is>
      </c>
      <c r="C1942" s="46" t="inlineStr">
        <is>
          <t>부천지역</t>
        </is>
      </c>
      <c r="D1942" s="46" t="inlineStr">
        <is>
          <t>워시팡팡</t>
        </is>
      </c>
      <c r="E1942" s="46" t="n">
        <v>18</v>
      </c>
      <c r="F1942" s="46" t="inlineStr">
        <is>
          <t>심곡동</t>
        </is>
      </c>
      <c r="G1942" s="50" t="n"/>
      <c r="H1942" s="51" t="n"/>
      <c r="I1942" s="46" t="inlineStr">
        <is>
          <t>송낙명</t>
        </is>
      </c>
      <c r="K1942" s="46" t="n">
        <v>1941</v>
      </c>
      <c r="L1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3">
      <c r="A1943" s="229" t="n">
        <v>46177</v>
      </c>
      <c r="B1943" s="46" t="inlineStr">
        <is>
          <t>사용전검사</t>
        </is>
      </c>
      <c r="C1943" s="46" t="inlineStr">
        <is>
          <t>부천지역</t>
        </is>
      </c>
      <c r="D1943" s="46" t="inlineStr">
        <is>
          <t>부천나눔</t>
        </is>
      </c>
      <c r="E1943" s="46" t="n">
        <v>150</v>
      </c>
      <c r="F1943" s="46" t="inlineStr">
        <is>
          <t>삼정동</t>
        </is>
      </c>
      <c r="G1943" s="50" t="n"/>
      <c r="H1943" s="51" t="n"/>
      <c r="I1943" s="46" t="inlineStr">
        <is>
          <t>당효진</t>
        </is>
      </c>
      <c r="K1943" s="46" t="n">
        <v>1942</v>
      </c>
      <c r="L1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4">
      <c r="A1944" s="229" t="n">
        <v>46177</v>
      </c>
      <c r="B1944" s="46" t="inlineStr">
        <is>
          <t>사용전검사</t>
        </is>
      </c>
      <c r="C1944" s="46" t="inlineStr">
        <is>
          <t>부천지역</t>
        </is>
      </c>
      <c r="D1944" s="46" t="inlineStr">
        <is>
          <t>엘코스</t>
        </is>
      </c>
      <c r="E1944" s="46" t="n">
        <v>290</v>
      </c>
      <c r="F1944" s="46" t="inlineStr">
        <is>
          <t>오정동</t>
        </is>
      </c>
      <c r="G1944" s="50" t="n"/>
      <c r="H1944" s="51" t="n"/>
      <c r="I1944" s="46" t="inlineStr">
        <is>
          <t>송두기</t>
        </is>
      </c>
      <c r="K1944" s="46" t="n">
        <v>1943</v>
      </c>
      <c r="L1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5">
      <c r="A1945" s="229" t="n">
        <v>46177</v>
      </c>
      <c r="B1945" s="46" t="inlineStr">
        <is>
          <t>메모</t>
        </is>
      </c>
      <c r="C1945" s="46" t="inlineStr">
        <is>
          <t>부천지역</t>
        </is>
      </c>
      <c r="D1945" s="46" t="inlineStr">
        <is>
          <t>민경수휴가</t>
        </is>
      </c>
      <c r="E1945" s="46" t="inlineStr">
        <is>
          <t>이종석-민재홍</t>
        </is>
      </c>
      <c r="F1945" s="46" t="n"/>
      <c r="G1945" s="50" t="n"/>
      <c r="H1945" s="51" t="n"/>
      <c r="I1945" s="46" t="n"/>
      <c r="K1945" s="46" t="n">
        <v>1944</v>
      </c>
      <c r="L1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6">
      <c r="A1946" s="229" t="n">
        <v>46177</v>
      </c>
      <c r="B1946" s="46" t="inlineStr">
        <is>
          <t>메모</t>
        </is>
      </c>
      <c r="C1946" s="46" t="inlineStr">
        <is>
          <t>부천지역</t>
        </is>
      </c>
      <c r="D1946" s="46" t="inlineStr">
        <is>
          <t>허창수휴가</t>
        </is>
      </c>
      <c r="E1946" s="46" t="n"/>
      <c r="F1946" s="46" t="n"/>
      <c r="G1946" s="50" t="n"/>
      <c r="H1946" s="51" t="n"/>
      <c r="I1946" s="46" t="n"/>
      <c r="K1946" s="46" t="n">
        <v>1945</v>
      </c>
      <c r="L1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7">
      <c r="A1947" s="229" t="n">
        <v>46177</v>
      </c>
      <c r="B1947" s="46" t="inlineStr">
        <is>
          <t>사용전검사</t>
        </is>
      </c>
      <c r="C1947" s="46" t="inlineStr">
        <is>
          <t>김포지역</t>
        </is>
      </c>
      <c r="D1947" s="46" t="inlineStr">
        <is>
          <t>제이디허브1호</t>
        </is>
      </c>
      <c r="E1947" s="46" t="n">
        <v>34</v>
      </c>
      <c r="F1947" s="46" t="inlineStr">
        <is>
          <t>초원지리</t>
        </is>
      </c>
      <c r="G1947" s="50" t="n"/>
      <c r="H1947" s="51" t="n"/>
      <c r="I1947" s="46" t="inlineStr">
        <is>
          <t>민재홍</t>
        </is>
      </c>
      <c r="K1947" s="46" t="n">
        <v>1946</v>
      </c>
      <c r="L1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8">
      <c r="A1948" s="229" t="n">
        <v>46177</v>
      </c>
      <c r="B1948" s="46" t="inlineStr">
        <is>
          <t>사용전검사</t>
        </is>
      </c>
      <c r="C1948" s="46" t="inlineStr">
        <is>
          <t>김포지역</t>
        </is>
      </c>
      <c r="D1948" s="46" t="inlineStr">
        <is>
          <t>예찬문화태양광</t>
        </is>
      </c>
      <c r="E1948" s="46" t="n">
        <v>187</v>
      </c>
      <c r="F1948" s="46" t="inlineStr">
        <is>
          <t>대포리</t>
        </is>
      </c>
      <c r="G1948" s="50" t="n"/>
      <c r="H1948" s="51" t="n"/>
      <c r="I1948" s="46" t="inlineStr">
        <is>
          <t>한태희</t>
        </is>
      </c>
      <c r="K1948" s="46" t="n">
        <v>1947</v>
      </c>
      <c r="L1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9">
      <c r="A1949" s="229" t="n">
        <v>46177</v>
      </c>
      <c r="B1949" s="46" t="inlineStr">
        <is>
          <t>사용전검사</t>
        </is>
      </c>
      <c r="C1949" s="46" t="inlineStr">
        <is>
          <t>김포지역</t>
        </is>
      </c>
      <c r="D1949" s="46" t="inlineStr">
        <is>
          <t>아이하비태양광</t>
        </is>
      </c>
      <c r="E1949" s="46" t="n">
        <v>42</v>
      </c>
      <c r="F1949" s="46" t="inlineStr">
        <is>
          <t>동을산리</t>
        </is>
      </c>
      <c r="G1949" s="50" t="n"/>
      <c r="H1949" s="51" t="n"/>
      <c r="I1949" s="46" t="inlineStr">
        <is>
          <t>한태희</t>
        </is>
      </c>
      <c r="K1949" s="46" t="n">
        <v>1948</v>
      </c>
      <c r="L1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0">
      <c r="A1950" s="229" t="n">
        <v>46178</v>
      </c>
      <c r="B1950" s="46" t="inlineStr">
        <is>
          <t>정기검사</t>
        </is>
      </c>
      <c r="C1950" s="46" t="inlineStr">
        <is>
          <t>부천지역</t>
        </is>
      </c>
      <c r="D1950" s="46" t="inlineStr">
        <is>
          <t>대명월드타워</t>
        </is>
      </c>
      <c r="E1950" s="46" t="inlineStr">
        <is>
          <t>ups</t>
        </is>
      </c>
      <c r="F1950" s="46" t="inlineStr">
        <is>
          <t>송내동</t>
        </is>
      </c>
      <c r="G1950" s="50" t="n">
        <v>0.4583333333333333</v>
      </c>
      <c r="H1950" s="51" t="n">
        <v>280610</v>
      </c>
      <c r="I1950" s="46" t="inlineStr">
        <is>
          <t>한태희</t>
        </is>
      </c>
      <c r="K1950" s="46" t="n">
        <v>1949</v>
      </c>
      <c r="L1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1">
      <c r="A1951" s="229" t="n">
        <v>46178</v>
      </c>
      <c r="B1951" s="46" t="inlineStr">
        <is>
          <t>정기검사</t>
        </is>
      </c>
      <c r="C1951" s="46" t="inlineStr">
        <is>
          <t>부천지역</t>
        </is>
      </c>
      <c r="D1951" s="46" t="inlineStr">
        <is>
          <t>부천시장애인종합복지</t>
        </is>
      </c>
      <c r="E1951" s="46" t="inlineStr">
        <is>
          <t>350/60</t>
        </is>
      </c>
      <c r="F1951" s="46" t="inlineStr">
        <is>
          <t>작동</t>
        </is>
      </c>
      <c r="G1951" s="50" t="n">
        <v>0.2916666666666667</v>
      </c>
      <c r="H1951" s="51" t="n">
        <v>1088780</v>
      </c>
      <c r="I1951" s="46" t="inlineStr">
        <is>
          <t>이덕기</t>
        </is>
      </c>
      <c r="K1951" s="46" t="n">
        <v>1950</v>
      </c>
      <c r="L1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2">
      <c r="A1952" s="229" t="n">
        <v>46178</v>
      </c>
      <c r="B1952" s="46" t="inlineStr">
        <is>
          <t>정기검사</t>
        </is>
      </c>
      <c r="C1952" s="46" t="inlineStr">
        <is>
          <t>부천지역</t>
        </is>
      </c>
      <c r="D1952" s="46" t="inlineStr">
        <is>
          <t>현해프라자</t>
        </is>
      </c>
      <c r="E1952" s="46" t="inlineStr">
        <is>
          <t>900/136</t>
        </is>
      </c>
      <c r="F1952" s="46" t="inlineStr">
        <is>
          <t>상동</t>
        </is>
      </c>
      <c r="G1952" s="50" t="n">
        <v>0.3958333333333333</v>
      </c>
      <c r="H1952" s="51" t="n">
        <v>1049290</v>
      </c>
      <c r="I1952" s="46" t="inlineStr">
        <is>
          <t>송낙명</t>
        </is>
      </c>
      <c r="K1952" s="46" t="n">
        <v>1951</v>
      </c>
      <c r="L1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3">
      <c r="A1953" s="229" t="n">
        <v>46178</v>
      </c>
      <c r="B1953" s="46" t="inlineStr">
        <is>
          <t>정기검사</t>
        </is>
      </c>
      <c r="C1953" s="46" t="inlineStr">
        <is>
          <t>부천지역</t>
        </is>
      </c>
      <c r="D1953" s="46" t="inlineStr">
        <is>
          <t>이브이시스</t>
        </is>
      </c>
      <c r="E1953" s="46" t="inlineStr">
        <is>
          <t>전기차</t>
        </is>
      </c>
      <c r="F1953" s="46" t="inlineStr">
        <is>
          <t>중동</t>
        </is>
      </c>
      <c r="G1953" s="50" t="n">
        <v>0.4375</v>
      </c>
      <c r="H1953" s="51" t="n">
        <v>89650</v>
      </c>
      <c r="I1953" s="46" t="inlineStr">
        <is>
          <t>민재홍</t>
        </is>
      </c>
      <c r="K1953" s="46" t="n">
        <v>1952</v>
      </c>
      <c r="L1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4">
      <c r="A1954" s="229" t="n">
        <v>46178</v>
      </c>
      <c r="B1954" s="46" t="inlineStr">
        <is>
          <t>정기검사</t>
        </is>
      </c>
      <c r="C1954" s="46" t="inlineStr">
        <is>
          <t>부천지역</t>
        </is>
      </c>
      <c r="D1954" s="46" t="inlineStr">
        <is>
          <t>부천서초등</t>
        </is>
      </c>
      <c r="E1954" s="46" t="n">
        <v>58.8</v>
      </c>
      <c r="F1954" s="46" t="inlineStr">
        <is>
          <t>중동</t>
        </is>
      </c>
      <c r="G1954" s="50" t="n">
        <v>0.5416666666666666</v>
      </c>
      <c r="H1954" s="51" t="n">
        <v>211640</v>
      </c>
      <c r="I1954" s="46" t="inlineStr">
        <is>
          <t>이덕기</t>
        </is>
      </c>
      <c r="K1954" s="46" t="n">
        <v>1953</v>
      </c>
      <c r="L1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5">
      <c r="A1955" s="229" t="n">
        <v>46178</v>
      </c>
      <c r="B1955" s="46" t="inlineStr">
        <is>
          <t>정기검사</t>
        </is>
      </c>
      <c r="C1955" s="46" t="inlineStr">
        <is>
          <t>부천지역</t>
        </is>
      </c>
      <c r="D1955" s="46" t="inlineStr">
        <is>
          <t>아이파킹</t>
        </is>
      </c>
      <c r="E1955" s="46" t="inlineStr">
        <is>
          <t>전기차</t>
        </is>
      </c>
      <c r="F1955" s="46" t="inlineStr">
        <is>
          <t>중동</t>
        </is>
      </c>
      <c r="G1955" s="50" t="n">
        <v>0.5833333333333334</v>
      </c>
      <c r="H1955" s="51" t="n">
        <v>254540</v>
      </c>
      <c r="I1955" s="46" t="inlineStr">
        <is>
          <t>한태희</t>
        </is>
      </c>
      <c r="K1955" s="46" t="n">
        <v>1954</v>
      </c>
      <c r="L1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6">
      <c r="A1956" s="229" t="n">
        <v>46178</v>
      </c>
      <c r="B1956" s="46" t="inlineStr">
        <is>
          <t>정기검사</t>
        </is>
      </c>
      <c r="C1956" s="46" t="inlineStr">
        <is>
          <t>부천지역</t>
        </is>
      </c>
      <c r="D1956" s="46" t="inlineStr">
        <is>
          <t>신양</t>
        </is>
      </c>
      <c r="E1956" s="46" t="n">
        <v>500</v>
      </c>
      <c r="F1956" s="46" t="inlineStr">
        <is>
          <t>춘의동</t>
        </is>
      </c>
      <c r="G1956" s="50" t="n">
        <v>0.5</v>
      </c>
      <c r="H1956" s="51" t="n">
        <v>737000</v>
      </c>
      <c r="I1956" s="46" t="inlineStr">
        <is>
          <t>민재홍</t>
        </is>
      </c>
      <c r="K1956" s="46" t="n">
        <v>1955</v>
      </c>
      <c r="L1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7">
      <c r="A1957" s="229" t="n">
        <v>46178</v>
      </c>
      <c r="B1957" s="46" t="inlineStr">
        <is>
          <t>정기검사</t>
        </is>
      </c>
      <c r="C1957" s="46" t="inlineStr">
        <is>
          <t>부천지역</t>
        </is>
      </c>
      <c r="D1957" s="46" t="inlineStr">
        <is>
          <t>신양빌딩</t>
        </is>
      </c>
      <c r="E1957" s="46" t="n">
        <v>290</v>
      </c>
      <c r="F1957" s="46" t="inlineStr">
        <is>
          <t>도당동</t>
        </is>
      </c>
      <c r="G1957" s="50" t="n">
        <v>0.2916666666666667</v>
      </c>
      <c r="H1957" s="51" t="n">
        <v>669790</v>
      </c>
      <c r="I1957" s="46" t="inlineStr">
        <is>
          <t>송낙명</t>
        </is>
      </c>
      <c r="K1957" s="46" t="n">
        <v>1956</v>
      </c>
      <c r="L1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8">
      <c r="A1958" s="229" t="n">
        <v>46178</v>
      </c>
      <c r="B1958" s="46" t="inlineStr">
        <is>
          <t>정기검사</t>
        </is>
      </c>
      <c r="C1958" s="46" t="inlineStr">
        <is>
          <t>김포지역</t>
        </is>
      </c>
      <c r="D1958" s="46" t="inlineStr">
        <is>
          <t>필코리아</t>
        </is>
      </c>
      <c r="E1958" s="46" t="n">
        <v>290</v>
      </c>
      <c r="F1958" s="46" t="inlineStr">
        <is>
          <t>학운리</t>
        </is>
      </c>
      <c r="G1958" s="50" t="n">
        <v>0.5416666666666666</v>
      </c>
      <c r="H1958" s="51" t="n">
        <v>515130</v>
      </c>
      <c r="I1958" s="46" t="inlineStr">
        <is>
          <t>민경수</t>
        </is>
      </c>
      <c r="K1958" s="46" t="n">
        <v>1957</v>
      </c>
      <c r="L1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9">
      <c r="A1959" s="229" t="n">
        <v>46178</v>
      </c>
      <c r="B1959" s="46" t="inlineStr">
        <is>
          <t>정기검사</t>
        </is>
      </c>
      <c r="C1959" s="46" t="inlineStr">
        <is>
          <t>김포지역</t>
        </is>
      </c>
      <c r="D1959" s="46" t="inlineStr">
        <is>
          <t>경인농산</t>
        </is>
      </c>
      <c r="E1959" s="46" t="n">
        <v>350</v>
      </c>
      <c r="F1959" s="46" t="inlineStr">
        <is>
          <t>대벽리</t>
        </is>
      </c>
      <c r="G1959" s="50" t="n">
        <v>0.5208333333333334</v>
      </c>
      <c r="H1959" s="51" t="n">
        <v>686180</v>
      </c>
      <c r="I1959" s="46" t="inlineStr">
        <is>
          <t>이종석</t>
        </is>
      </c>
      <c r="K1959" s="46" t="n">
        <v>1958</v>
      </c>
      <c r="L1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0">
      <c r="A1960" s="229" t="n">
        <v>46178</v>
      </c>
      <c r="B1960" s="46" t="inlineStr">
        <is>
          <t>정기검사</t>
        </is>
      </c>
      <c r="C1960" s="46" t="inlineStr">
        <is>
          <t>김포지역</t>
        </is>
      </c>
      <c r="D1960" s="46" t="inlineStr">
        <is>
          <t>대진전기</t>
        </is>
      </c>
      <c r="E1960" s="46" t="n">
        <v>250</v>
      </c>
      <c r="F1960" s="46" t="inlineStr">
        <is>
          <t>학운리</t>
        </is>
      </c>
      <c r="G1960" s="50" t="n">
        <v>0.4166666666666667</v>
      </c>
      <c r="H1960" s="51" t="n">
        <v>489170</v>
      </c>
      <c r="I1960" s="46" t="inlineStr">
        <is>
          <t>당효진</t>
        </is>
      </c>
      <c r="K1960" s="46" t="n">
        <v>1959</v>
      </c>
      <c r="L1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1">
      <c r="A1961" s="229" t="n">
        <v>46178</v>
      </c>
      <c r="B1961" s="46" t="inlineStr">
        <is>
          <t>정기검사</t>
        </is>
      </c>
      <c r="C1961" s="46" t="inlineStr">
        <is>
          <t>김포지역</t>
        </is>
      </c>
      <c r="D1961" s="46" t="inlineStr">
        <is>
          <t>아영하이텍스</t>
        </is>
      </c>
      <c r="E1961" s="46" t="n">
        <v>950</v>
      </c>
      <c r="F1961" s="46" t="inlineStr">
        <is>
          <t>대명리</t>
        </is>
      </c>
      <c r="G1961" s="50" t="n">
        <v>0.4166666666666667</v>
      </c>
      <c r="H1961" s="51" t="n">
        <v>889460</v>
      </c>
      <c r="I1961" s="46" t="inlineStr">
        <is>
          <t>정신배</t>
        </is>
      </c>
      <c r="K1961" s="46" t="n">
        <v>1960</v>
      </c>
      <c r="L1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2">
      <c r="A1962" s="229" t="n">
        <v>46178</v>
      </c>
      <c r="B1962" s="46" t="inlineStr">
        <is>
          <t>정기검사</t>
        </is>
      </c>
      <c r="C1962" s="46" t="inlineStr">
        <is>
          <t>김포지역</t>
        </is>
      </c>
      <c r="D1962" s="46" t="inlineStr">
        <is>
          <t>경진금속</t>
        </is>
      </c>
      <c r="E1962" s="46" t="n">
        <v>250</v>
      </c>
      <c r="F1962" s="46" t="inlineStr">
        <is>
          <t>고막리</t>
        </is>
      </c>
      <c r="G1962" s="50" t="n">
        <v>0.5</v>
      </c>
      <c r="H1962" s="51" t="n">
        <v>489170</v>
      </c>
      <c r="I1962" s="46" t="inlineStr">
        <is>
          <t>정성관</t>
        </is>
      </c>
      <c r="K1962" s="46" t="n">
        <v>1961</v>
      </c>
      <c r="L1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3">
      <c r="A1963" s="229" t="n">
        <v>46178</v>
      </c>
      <c r="B1963" s="46" t="inlineStr">
        <is>
          <t>정기검사</t>
        </is>
      </c>
      <c r="C1963" s="46" t="inlineStr">
        <is>
          <t>김포지역</t>
        </is>
      </c>
      <c r="D1963" s="46" t="inlineStr">
        <is>
          <t>선신이엔지</t>
        </is>
      </c>
      <c r="E1963" s="46" t="n">
        <v>95</v>
      </c>
      <c r="F1963" s="46" t="inlineStr">
        <is>
          <t>귀전리</t>
        </is>
      </c>
      <c r="G1963" s="50" t="n">
        <v>0.4166666666666667</v>
      </c>
      <c r="H1963" s="51" t="n">
        <v>250360</v>
      </c>
      <c r="I1963" s="46" t="inlineStr">
        <is>
          <t>송두기</t>
        </is>
      </c>
      <c r="K1963" s="46" t="n">
        <v>1962</v>
      </c>
      <c r="L1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4">
      <c r="A1964" s="229" t="n">
        <v>46178</v>
      </c>
      <c r="B1964" s="46" t="inlineStr">
        <is>
          <t>정기검사</t>
        </is>
      </c>
      <c r="C1964" s="46" t="inlineStr">
        <is>
          <t>김포지역</t>
        </is>
      </c>
      <c r="D1964" s="46" t="inlineStr">
        <is>
          <t>대유화학</t>
        </is>
      </c>
      <c r="E1964" s="46" t="n">
        <v>290</v>
      </c>
      <c r="F1964" s="46" t="inlineStr">
        <is>
          <t>고막리</t>
        </is>
      </c>
      <c r="G1964" s="50" t="n">
        <v>0.4583333333333333</v>
      </c>
      <c r="H1964" s="51" t="n">
        <v>515130</v>
      </c>
      <c r="I1964" s="46" t="inlineStr">
        <is>
          <t>송두기</t>
        </is>
      </c>
      <c r="K1964" s="46" t="n">
        <v>1963</v>
      </c>
      <c r="L1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5">
      <c r="A1965" s="229" t="n">
        <v>46178</v>
      </c>
      <c r="B1965" s="46" t="inlineStr">
        <is>
          <t>정기검사</t>
        </is>
      </c>
      <c r="C1965" s="46" t="inlineStr">
        <is>
          <t>김포지역</t>
        </is>
      </c>
      <c r="D1965" s="46" t="inlineStr">
        <is>
          <t>에치에스테크</t>
        </is>
      </c>
      <c r="E1965" s="46" t="n">
        <v>900</v>
      </c>
      <c r="F1965" s="46" t="inlineStr">
        <is>
          <t>학운리</t>
        </is>
      </c>
      <c r="G1965" s="50" t="n">
        <v>0.4791666666666667</v>
      </c>
      <c r="H1965" s="51" t="n">
        <v>872520</v>
      </c>
      <c r="I1965" s="46" t="inlineStr">
        <is>
          <t>서수형</t>
        </is>
      </c>
      <c r="K1965" s="46" t="n">
        <v>1964</v>
      </c>
      <c r="L1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6">
      <c r="A1966" s="229" t="n">
        <v>46178</v>
      </c>
      <c r="B1966" s="46" t="inlineStr">
        <is>
          <t>메모</t>
        </is>
      </c>
      <c r="C1966" s="46" t="inlineStr">
        <is>
          <t>부천지역</t>
        </is>
      </c>
      <c r="D1966" s="46" t="inlineStr">
        <is>
          <t>민경수휴가</t>
        </is>
      </c>
      <c r="E1966" s="46" t="n"/>
      <c r="F1966" s="46" t="n"/>
      <c r="G1966" s="50" t="n"/>
      <c r="H1966" s="51" t="n"/>
      <c r="I1966" s="46" t="n"/>
      <c r="K1966" s="46" t="n">
        <v>1965</v>
      </c>
      <c r="L1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7">
      <c r="A1967" s="229" t="n">
        <v>46178</v>
      </c>
      <c r="B1967" s="46" t="inlineStr">
        <is>
          <t>메모</t>
        </is>
      </c>
      <c r="C1967" s="46" t="inlineStr">
        <is>
          <t>부천지역</t>
        </is>
      </c>
      <c r="D1967" s="46" t="inlineStr">
        <is>
          <t>허창수휴가</t>
        </is>
      </c>
      <c r="E1967" s="46" t="inlineStr">
        <is>
          <t>이종석-송두기</t>
        </is>
      </c>
      <c r="F1967" s="46" t="n"/>
      <c r="G1967" s="50" t="n"/>
      <c r="H1967" s="51" t="n"/>
      <c r="I1967" s="46" t="n"/>
      <c r="K1967" s="46" t="n">
        <v>1966</v>
      </c>
      <c r="L1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8">
      <c r="A1968" s="229" t="n">
        <v>46178</v>
      </c>
      <c r="B1968" s="46" t="inlineStr">
        <is>
          <t>메모</t>
        </is>
      </c>
      <c r="C1968" s="46" t="inlineStr">
        <is>
          <t>부천지역</t>
        </is>
      </c>
      <c r="D1968" s="46" t="inlineStr">
        <is>
          <t>김영권휴가</t>
        </is>
      </c>
      <c r="E1968" s="46" t="n"/>
      <c r="F1968" s="46" t="n"/>
      <c r="G1968" s="50" t="n"/>
      <c r="H1968" s="51" t="n"/>
      <c r="I1968" s="46" t="n"/>
      <c r="K1968" s="46" t="n">
        <v>1967</v>
      </c>
      <c r="L1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9">
      <c r="A1969" s="229" t="n">
        <v>46178</v>
      </c>
      <c r="B1969" s="46" t="inlineStr">
        <is>
          <t>사용전검사</t>
        </is>
      </c>
      <c r="C1969" s="46" t="inlineStr">
        <is>
          <t>김포지역</t>
        </is>
      </c>
      <c r="D1969" s="46" t="inlineStr">
        <is>
          <t>삼미레이져-저압</t>
        </is>
      </c>
      <c r="E1969" s="46" t="n">
        <v>290</v>
      </c>
      <c r="F1969" s="46" t="inlineStr">
        <is>
          <t>가현리</t>
        </is>
      </c>
      <c r="G1969" s="50" t="n"/>
      <c r="H1969" s="51" t="n"/>
      <c r="I1969" s="46" t="inlineStr">
        <is>
          <t>송두기</t>
        </is>
      </c>
      <c r="K1969" s="46" t="n">
        <v>1968</v>
      </c>
      <c r="L1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0">
      <c r="A1970" s="229" t="n">
        <v>46178</v>
      </c>
      <c r="B1970" s="46" t="inlineStr">
        <is>
          <t>사용전검사</t>
        </is>
      </c>
      <c r="C1970" s="46" t="inlineStr">
        <is>
          <t>김포지역</t>
        </is>
      </c>
      <c r="D1970" s="46" t="inlineStr">
        <is>
          <t>월명금속</t>
        </is>
      </c>
      <c r="E1970" s="46" t="n">
        <v>78</v>
      </c>
      <c r="F1970" s="46" t="inlineStr">
        <is>
          <t>옹정리</t>
        </is>
      </c>
      <c r="G1970" s="50" t="n"/>
      <c r="H1970" s="51" t="n"/>
      <c r="I1970" s="46" t="inlineStr">
        <is>
          <t>정성관</t>
        </is>
      </c>
      <c r="K1970" s="46" t="n">
        <v>1969</v>
      </c>
      <c r="L1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1">
      <c r="A1971" s="229" t="n">
        <v>46179</v>
      </c>
      <c r="B1971" s="46" t="inlineStr">
        <is>
          <t>정기검사</t>
        </is>
      </c>
      <c r="C1971" s="46" t="inlineStr">
        <is>
          <t>부천지역</t>
        </is>
      </c>
      <c r="D1971" s="46" t="inlineStr">
        <is>
          <t>부천우체국</t>
        </is>
      </c>
      <c r="E1971" s="46" t="inlineStr">
        <is>
          <t>557/105</t>
        </is>
      </c>
      <c r="F1971" s="46" t="inlineStr">
        <is>
          <t>송내동</t>
        </is>
      </c>
      <c r="G1971" s="50" t="n">
        <v>0.3958333333333333</v>
      </c>
      <c r="H1971" s="51" t="n">
        <v>1281610</v>
      </c>
      <c r="I1971" s="46" t="inlineStr">
        <is>
          <t>서수형</t>
        </is>
      </c>
      <c r="K1971" s="46" t="n">
        <v>1970</v>
      </c>
      <c r="L1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2">
      <c r="A1972" s="229" t="n">
        <v>46179</v>
      </c>
      <c r="B1972" s="46" t="inlineStr">
        <is>
          <t>정기검사</t>
        </is>
      </c>
      <c r="C1972" s="46" t="inlineStr">
        <is>
          <t>부천지역</t>
        </is>
      </c>
      <c r="D1972" s="46" t="inlineStr">
        <is>
          <t>부천남부우체국</t>
        </is>
      </c>
      <c r="E1972" s="46" t="n">
        <v>350</v>
      </c>
      <c r="F1972" s="46" t="inlineStr">
        <is>
          <t>송내동</t>
        </is>
      </c>
      <c r="G1972" s="50" t="n">
        <v>0.5416666666666666</v>
      </c>
      <c r="H1972" s="51" t="n">
        <v>891990</v>
      </c>
      <c r="I1972" s="46" t="inlineStr">
        <is>
          <t>이종석</t>
        </is>
      </c>
      <c r="K1972" s="46" t="n">
        <v>1971</v>
      </c>
      <c r="L1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3">
      <c r="A1973" s="229" t="n">
        <v>46179</v>
      </c>
      <c r="B1973" s="46" t="inlineStr">
        <is>
          <t>정기검사</t>
        </is>
      </c>
      <c r="C1973" s="46" t="inlineStr">
        <is>
          <t>부천지역</t>
        </is>
      </c>
      <c r="D1973" s="46" t="inlineStr">
        <is>
          <t>부천우체국</t>
        </is>
      </c>
      <c r="E1973" s="46" t="inlineStr">
        <is>
          <t>전기차</t>
        </is>
      </c>
      <c r="F1973" s="46" t="inlineStr">
        <is>
          <t>송내동</t>
        </is>
      </c>
      <c r="G1973" s="50" t="n"/>
      <c r="H1973" s="51" t="n">
        <v>83490</v>
      </c>
      <c r="I1973" s="46" t="inlineStr">
        <is>
          <t>김영권</t>
        </is>
      </c>
      <c r="K1973" s="46" t="n">
        <v>1972</v>
      </c>
      <c r="L1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4">
      <c r="A1974" s="229" t="n">
        <v>46179</v>
      </c>
      <c r="B1974" s="46" t="inlineStr">
        <is>
          <t>정기검사</t>
        </is>
      </c>
      <c r="C1974" s="46" t="inlineStr">
        <is>
          <t>부천지역</t>
        </is>
      </c>
      <c r="D1974" s="46" t="inlineStr">
        <is>
          <t>스카이빌딩</t>
        </is>
      </c>
      <c r="E1974" s="46" t="inlineStr">
        <is>
          <t>600/145</t>
        </is>
      </c>
      <c r="F1974" s="46" t="inlineStr">
        <is>
          <t>역곡동</t>
        </is>
      </c>
      <c r="G1974" s="50" t="n">
        <v>0.2708333333333333</v>
      </c>
      <c r="H1974" s="51" t="n">
        <v>1235520</v>
      </c>
      <c r="I1974" s="46" t="inlineStr">
        <is>
          <t>민재홍</t>
        </is>
      </c>
      <c r="K1974" s="46" t="n">
        <v>1973</v>
      </c>
      <c r="L1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5">
      <c r="A1975" s="229" t="n">
        <v>46179</v>
      </c>
      <c r="B1975" s="46" t="inlineStr">
        <is>
          <t>정기검사</t>
        </is>
      </c>
      <c r="C1975" s="46" t="inlineStr">
        <is>
          <t>부천지역</t>
        </is>
      </c>
      <c r="D1975" s="46" t="inlineStr">
        <is>
          <t>뉴월드빌딩</t>
        </is>
      </c>
      <c r="E1975" s="46" t="inlineStr">
        <is>
          <t>750/135</t>
        </is>
      </c>
      <c r="F1975" s="46" t="inlineStr">
        <is>
          <t>중동</t>
        </is>
      </c>
      <c r="G1975" s="50" t="n">
        <v>0.4166666666666667</v>
      </c>
      <c r="H1975" s="51" t="n">
        <v>1297670</v>
      </c>
      <c r="I1975" s="46" t="inlineStr">
        <is>
          <t>이덕기</t>
        </is>
      </c>
      <c r="K1975" s="46" t="n">
        <v>1974</v>
      </c>
      <c r="L1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6">
      <c r="A1976" s="229" t="n">
        <v>46179</v>
      </c>
      <c r="B1976" s="46" t="inlineStr">
        <is>
          <t>정기검사</t>
        </is>
      </c>
      <c r="C1976" s="46" t="inlineStr">
        <is>
          <t>김포지역</t>
        </is>
      </c>
      <c r="D1976" s="46" t="inlineStr">
        <is>
          <t>그린텍</t>
        </is>
      </c>
      <c r="E1976" s="46" t="n">
        <v>950</v>
      </c>
      <c r="F1976" s="46" t="inlineStr">
        <is>
          <t>원산리</t>
        </is>
      </c>
      <c r="G1976" s="50" t="n">
        <v>0.3958333333333333</v>
      </c>
      <c r="H1976" s="51" t="n">
        <v>1156210</v>
      </c>
      <c r="I1976" s="46" t="inlineStr">
        <is>
          <t>김영권</t>
        </is>
      </c>
      <c r="K1976" s="46" t="n">
        <v>1975</v>
      </c>
      <c r="L1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7">
      <c r="A1977" s="229" t="n">
        <v>46179</v>
      </c>
      <c r="B1977" s="46" t="inlineStr">
        <is>
          <t>정기검사</t>
        </is>
      </c>
      <c r="C1977" s="46" t="inlineStr">
        <is>
          <t>김포지역</t>
        </is>
      </c>
      <c r="D1977" s="46" t="inlineStr">
        <is>
          <t>동원아이팜</t>
        </is>
      </c>
      <c r="E1977" s="46" t="inlineStr">
        <is>
          <t>1000/227</t>
        </is>
      </c>
      <c r="F1977" s="46" t="inlineStr">
        <is>
          <t>고촌</t>
        </is>
      </c>
      <c r="G1977" s="50" t="n">
        <v>0.4166666666666667</v>
      </c>
      <c r="H1977" s="51" t="n">
        <v>1443200</v>
      </c>
      <c r="I1977" s="46" t="inlineStr">
        <is>
          <t>당효진</t>
        </is>
      </c>
      <c r="K1977" s="46" t="n">
        <v>1976</v>
      </c>
      <c r="L1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8">
      <c r="A1978" s="229" t="n">
        <v>46179</v>
      </c>
      <c r="B1978" s="46" t="inlineStr">
        <is>
          <t>사용전검사</t>
        </is>
      </c>
      <c r="C1978" s="46" t="inlineStr">
        <is>
          <t>부천지역</t>
        </is>
      </c>
      <c r="D1978" s="46" t="inlineStr">
        <is>
          <t>극동어닝산업</t>
        </is>
      </c>
      <c r="E1978" s="46" t="n">
        <v>390</v>
      </c>
      <c r="F1978" s="46" t="inlineStr">
        <is>
          <t>내동</t>
        </is>
      </c>
      <c r="G1978" s="50" t="n"/>
      <c r="H1978" s="51" t="n"/>
      <c r="I1978" s="46" t="inlineStr">
        <is>
          <t>이종석</t>
        </is>
      </c>
      <c r="K1978" s="46" t="n">
        <v>1977</v>
      </c>
      <c r="L1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9">
      <c r="A1979" s="229" t="n">
        <v>46179</v>
      </c>
      <c r="B1979" s="46" t="inlineStr">
        <is>
          <t>사용전검사</t>
        </is>
      </c>
      <c r="C1979" s="46" t="inlineStr">
        <is>
          <t>부천지역</t>
        </is>
      </c>
      <c r="D1979" s="46" t="inlineStr">
        <is>
          <t>에이치에스팩</t>
        </is>
      </c>
      <c r="E1979" s="46" t="n">
        <v>400</v>
      </c>
      <c r="F1979" s="46" t="inlineStr">
        <is>
          <t>내동</t>
        </is>
      </c>
      <c r="G1979" s="50" t="n"/>
      <c r="H1979" s="51" t="n"/>
      <c r="I1979" s="46" t="inlineStr">
        <is>
          <t>이덕기</t>
        </is>
      </c>
      <c r="K1979" s="46" t="n">
        <v>1978</v>
      </c>
      <c r="L1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0">
      <c r="A1980" s="229" t="n">
        <v>46179</v>
      </c>
      <c r="B1980" s="46" t="inlineStr">
        <is>
          <t>메모</t>
        </is>
      </c>
      <c r="C1980" s="46" t="inlineStr">
        <is>
          <t>부천지역</t>
        </is>
      </c>
      <c r="D1980" s="46" t="inlineStr">
        <is>
          <t>송낙명휴가</t>
        </is>
      </c>
      <c r="E1980" s="46" t="n"/>
      <c r="F1980" s="46" t="n"/>
      <c r="G1980" s="50" t="n"/>
      <c r="H1980" s="51" t="n"/>
      <c r="I1980" s="46" t="n"/>
      <c r="K1980" s="46" t="n">
        <v>1979</v>
      </c>
      <c r="L1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1">
      <c r="A1981" s="229" t="n">
        <v>46179</v>
      </c>
      <c r="B1981" s="46" t="inlineStr">
        <is>
          <t>메모</t>
        </is>
      </c>
      <c r="C1981" s="46" t="inlineStr">
        <is>
          <t>부천지역</t>
        </is>
      </c>
      <c r="D1981" s="46" t="inlineStr">
        <is>
          <t>민경수휴가</t>
        </is>
      </c>
      <c r="E1981" s="46" t="n"/>
      <c r="F1981" s="46" t="n"/>
      <c r="G1981" s="50" t="n"/>
      <c r="H1981" s="51" t="n"/>
      <c r="I1981" s="46" t="n"/>
      <c r="K1981" s="46" t="n">
        <v>1980</v>
      </c>
      <c r="L1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2">
      <c r="A1982" s="229" t="n">
        <v>46179</v>
      </c>
      <c r="B1982" s="46" t="inlineStr">
        <is>
          <t>메모</t>
        </is>
      </c>
      <c r="C1982" s="46" t="inlineStr">
        <is>
          <t>부천지역</t>
        </is>
      </c>
      <c r="D1982" s="46" t="inlineStr">
        <is>
          <t>송두기휴가</t>
        </is>
      </c>
      <c r="E1982" s="46" t="inlineStr">
        <is>
          <t>김영권</t>
        </is>
      </c>
      <c r="F1982" s="46" t="n"/>
      <c r="G1982" s="50" t="n"/>
      <c r="H1982" s="51" t="n"/>
      <c r="I1982" s="46" t="n"/>
      <c r="K1982" s="46" t="n">
        <v>1981</v>
      </c>
      <c r="L1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3">
      <c r="A1983" s="229" t="n">
        <v>46179</v>
      </c>
      <c r="B1983" s="46" t="inlineStr">
        <is>
          <t>메모</t>
        </is>
      </c>
      <c r="C1983" s="46" t="inlineStr">
        <is>
          <t>부천지역</t>
        </is>
      </c>
      <c r="D1983" s="46" t="inlineStr">
        <is>
          <t>허창수휴가</t>
        </is>
      </c>
      <c r="E1983" s="46" t="inlineStr">
        <is>
          <t>이종석</t>
        </is>
      </c>
      <c r="F1983" s="46" t="n"/>
      <c r="G1983" s="50" t="n"/>
      <c r="H1983" s="51" t="n"/>
      <c r="I1983" s="46" t="n"/>
      <c r="K1983" s="46" t="n">
        <v>1982</v>
      </c>
      <c r="L1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4">
      <c r="A1984" s="229" t="n">
        <v>46179</v>
      </c>
      <c r="B1984" s="46" t="inlineStr">
        <is>
          <t>메모</t>
        </is>
      </c>
      <c r="C1984" s="46" t="inlineStr">
        <is>
          <t>부천지역</t>
        </is>
      </c>
      <c r="D1984" s="46" t="inlineStr">
        <is>
          <t>한태희휴가</t>
        </is>
      </c>
      <c r="E1984" s="46" t="n"/>
      <c r="F1984" s="46" t="n"/>
      <c r="G1984" s="50" t="n"/>
      <c r="H1984" s="51" t="n"/>
      <c r="I1984" s="46" t="n"/>
      <c r="K1984" s="46" t="n">
        <v>1983</v>
      </c>
      <c r="L1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5">
      <c r="A1985" s="229" t="n">
        <v>46179</v>
      </c>
      <c r="B1985" s="46" t="inlineStr">
        <is>
          <t>메모</t>
        </is>
      </c>
      <c r="C1985" s="46" t="inlineStr">
        <is>
          <t>부천지역</t>
        </is>
      </c>
      <c r="D1985" s="46" t="inlineStr">
        <is>
          <t>정신배휴가</t>
        </is>
      </c>
      <c r="E1985" s="46" t="inlineStr">
        <is>
          <t>정성관</t>
        </is>
      </c>
      <c r="F1985" s="46" t="n"/>
      <c r="G1985" s="50" t="n"/>
      <c r="H1985" s="51" t="n"/>
      <c r="I1985" s="46" t="n"/>
      <c r="K1985" s="46" t="n">
        <v>1984</v>
      </c>
      <c r="L1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6">
      <c r="A1986" s="229" t="n">
        <v>46179</v>
      </c>
      <c r="B1986" s="46" t="inlineStr">
        <is>
          <t>메모</t>
        </is>
      </c>
      <c r="C1986" s="46" t="inlineStr">
        <is>
          <t>부천지역</t>
        </is>
      </c>
      <c r="D1986" s="46" t="inlineStr">
        <is>
          <t>서수형휴가</t>
        </is>
      </c>
      <c r="E1986" s="46" t="inlineStr">
        <is>
          <t>당효진</t>
        </is>
      </c>
      <c r="F1986" s="46" t="n"/>
      <c r="G1986" s="50" t="n"/>
      <c r="H1986" s="51" t="n"/>
      <c r="I1986" s="46" t="n"/>
      <c r="K1986" s="46" t="n">
        <v>1985</v>
      </c>
      <c r="L1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7">
      <c r="A1987" s="229" t="n">
        <v>46179</v>
      </c>
      <c r="B1987" s="46" t="inlineStr">
        <is>
          <t>사용전검사</t>
        </is>
      </c>
      <c r="C1987" s="46" t="inlineStr">
        <is>
          <t>김포지역</t>
        </is>
      </c>
      <c r="D1987" s="46" t="inlineStr">
        <is>
          <t>롱하우스특판가구</t>
        </is>
      </c>
      <c r="E1987" s="46" t="n">
        <v>200</v>
      </c>
      <c r="F1987" s="46" t="inlineStr">
        <is>
          <t>가현리</t>
        </is>
      </c>
      <c r="G1987" s="50" t="n"/>
      <c r="H1987" s="51" t="n"/>
      <c r="I1987" s="46" t="inlineStr">
        <is>
          <t>김영권</t>
        </is>
      </c>
      <c r="K1987" s="46" t="n">
        <v>1986</v>
      </c>
      <c r="L1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8">
      <c r="A1988" s="229" t="n">
        <v>46180</v>
      </c>
      <c r="B1988" s="46" t="inlineStr">
        <is>
          <t>메모</t>
        </is>
      </c>
      <c r="C1988" s="46" t="inlineStr">
        <is>
          <t>부천지역</t>
        </is>
      </c>
      <c r="D1988" s="46" t="inlineStr">
        <is>
          <t>민경수휴가</t>
        </is>
      </c>
      <c r="E1988" s="46" t="n"/>
      <c r="F1988" s="46" t="n"/>
      <c r="G1988" s="50" t="n"/>
      <c r="H1988" s="51" t="n"/>
      <c r="I1988" s="46" t="n"/>
      <c r="K1988" s="46" t="n">
        <v>1987</v>
      </c>
      <c r="L1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9">
      <c r="A1989" s="229" t="n">
        <v>46180</v>
      </c>
      <c r="B1989" s="46" t="inlineStr">
        <is>
          <t>메모</t>
        </is>
      </c>
      <c r="C1989" s="46" t="inlineStr">
        <is>
          <t>부천지역</t>
        </is>
      </c>
      <c r="D1989" s="46" t="inlineStr">
        <is>
          <t>송두기휴가</t>
        </is>
      </c>
      <c r="E1989" s="46" t="n"/>
      <c r="F1989" s="46" t="n"/>
      <c r="G1989" s="50" t="n"/>
      <c r="H1989" s="51" t="n"/>
      <c r="I1989" s="46" t="n"/>
      <c r="K1989" s="46" t="n">
        <v>1988</v>
      </c>
      <c r="L1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0">
      <c r="A1990" s="229" t="n">
        <v>46180</v>
      </c>
      <c r="B1990" s="46" t="inlineStr">
        <is>
          <t>메모</t>
        </is>
      </c>
      <c r="C1990" s="46" t="inlineStr">
        <is>
          <t>부천지역</t>
        </is>
      </c>
      <c r="D1990" s="46" t="inlineStr">
        <is>
          <t>서수형휴가</t>
        </is>
      </c>
      <c r="E1990" s="46" t="n"/>
      <c r="F1990" s="46" t="n"/>
      <c r="G1990" s="50" t="n"/>
      <c r="H1990" s="51" t="n"/>
      <c r="I1990" s="46" t="n"/>
      <c r="K1990" s="46" t="n">
        <v>1989</v>
      </c>
      <c r="L1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1">
      <c r="A1991" s="229" t="n">
        <v>46181</v>
      </c>
      <c r="B1991" s="46" t="inlineStr">
        <is>
          <t>정기검사</t>
        </is>
      </c>
      <c r="C1991" s="46" t="inlineStr">
        <is>
          <t>부천지역</t>
        </is>
      </c>
      <c r="D1991" s="46" t="inlineStr">
        <is>
          <t>대드비</t>
        </is>
      </c>
      <c r="E1991" s="46" t="n">
        <v>400</v>
      </c>
      <c r="F1991" s="46" t="inlineStr">
        <is>
          <t>약대동</t>
        </is>
      </c>
      <c r="G1991" s="50" t="n">
        <v>0.4791666666666667</v>
      </c>
      <c r="H1991" s="51" t="n">
        <v>703120</v>
      </c>
      <c r="I1991" s="46" t="inlineStr">
        <is>
          <t>송낙명</t>
        </is>
      </c>
      <c r="K1991" s="46" t="n">
        <v>1990</v>
      </c>
      <c r="L1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2">
      <c r="A1992" s="229" t="n">
        <v>46181</v>
      </c>
      <c r="B1992" s="46" t="inlineStr">
        <is>
          <t>정기검사</t>
        </is>
      </c>
      <c r="C1992" s="46" t="inlineStr">
        <is>
          <t>부천지역</t>
        </is>
      </c>
      <c r="D1992" s="46" t="inlineStr">
        <is>
          <t>에버온</t>
        </is>
      </c>
      <c r="E1992" s="46" t="n">
        <v>7</v>
      </c>
      <c r="F1992" s="46" t="inlineStr">
        <is>
          <t>상동</t>
        </is>
      </c>
      <c r="G1992" s="50" t="n">
        <v>0.5625</v>
      </c>
      <c r="H1992" s="51" t="n">
        <v>98120</v>
      </c>
      <c r="I1992" s="46" t="inlineStr">
        <is>
          <t>송낙명</t>
        </is>
      </c>
      <c r="K1992" s="46" t="n">
        <v>1991</v>
      </c>
      <c r="L1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3">
      <c r="A1993" s="229" t="n">
        <v>46181</v>
      </c>
      <c r="B1993" s="46" t="inlineStr">
        <is>
          <t>정기검사</t>
        </is>
      </c>
      <c r="C1993" s="46" t="inlineStr">
        <is>
          <t>부천지역</t>
        </is>
      </c>
      <c r="D1993" s="46" t="inlineStr">
        <is>
          <t>순복음중동교회</t>
        </is>
      </c>
      <c r="E1993" s="46" t="inlineStr">
        <is>
          <t>1500/400</t>
        </is>
      </c>
      <c r="F1993" s="46" t="inlineStr">
        <is>
          <t>중동</t>
        </is>
      </c>
      <c r="G1993" s="50" t="n">
        <v>0.6041666666666666</v>
      </c>
      <c r="H1993" s="51" t="n">
        <v>1279520</v>
      </c>
      <c r="I1993" s="46" t="n"/>
      <c r="J1993" t="inlineStr">
        <is>
          <t>연기</t>
        </is>
      </c>
      <c r="K1993" s="46" t="n">
        <v>1992</v>
      </c>
      <c r="L1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4">
      <c r="A1994" s="229" t="n">
        <v>46181</v>
      </c>
      <c r="B1994" s="46" t="inlineStr">
        <is>
          <t>정기검사</t>
        </is>
      </c>
      <c r="C1994" s="46" t="inlineStr">
        <is>
          <t>부천지역</t>
        </is>
      </c>
      <c r="D1994" s="46" t="inlineStr">
        <is>
          <t>영광금속</t>
        </is>
      </c>
      <c r="E1994" s="46" t="n">
        <v>900</v>
      </c>
      <c r="F1994" s="46" t="inlineStr">
        <is>
          <t>내동</t>
        </is>
      </c>
      <c r="G1994" s="50" t="n">
        <v>0.4791666666666667</v>
      </c>
      <c r="H1994" s="51" t="n">
        <v>872520</v>
      </c>
      <c r="I1994" s="46" t="inlineStr">
        <is>
          <t>한태희</t>
        </is>
      </c>
      <c r="K1994" s="46" t="n">
        <v>1993</v>
      </c>
      <c r="L1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5">
      <c r="A1995" s="229" t="n">
        <v>46181</v>
      </c>
      <c r="B1995" s="46" t="inlineStr">
        <is>
          <t>정기검사</t>
        </is>
      </c>
      <c r="C1995" s="46" t="inlineStr">
        <is>
          <t>부천지역</t>
        </is>
      </c>
      <c r="D1995" s="46" t="inlineStr">
        <is>
          <t>영광금속</t>
        </is>
      </c>
      <c r="E1995" s="46" t="n">
        <v>901</v>
      </c>
      <c r="F1995" s="46" t="inlineStr">
        <is>
          <t>내동</t>
        </is>
      </c>
      <c r="G1995" s="50" t="n">
        <v>0.5208333333333334</v>
      </c>
      <c r="H1995" s="51" t="n">
        <v>872520</v>
      </c>
      <c r="I1995" s="46" t="inlineStr">
        <is>
          <t>한태희</t>
        </is>
      </c>
      <c r="K1995" s="46" t="n">
        <v>1994</v>
      </c>
      <c r="L1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6">
      <c r="A1996" s="229" t="n">
        <v>46181</v>
      </c>
      <c r="B1996" s="46" t="inlineStr">
        <is>
          <t>정기검사</t>
        </is>
      </c>
      <c r="C1996" s="46" t="inlineStr">
        <is>
          <t>부천지역</t>
        </is>
      </c>
      <c r="D1996" s="46" t="inlineStr">
        <is>
          <t>부천장례식장</t>
        </is>
      </c>
      <c r="E1996" s="46" t="n">
        <v>500</v>
      </c>
      <c r="F1996" s="46" t="inlineStr">
        <is>
          <t>춘의동</t>
        </is>
      </c>
      <c r="G1996" s="50" t="n">
        <v>0.3958333333333333</v>
      </c>
      <c r="H1996" s="51" t="n">
        <v>737000</v>
      </c>
      <c r="I1996" s="46" t="inlineStr">
        <is>
          <t>이덕기</t>
        </is>
      </c>
      <c r="K1996" s="46" t="n">
        <v>1995</v>
      </c>
      <c r="L1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7">
      <c r="A1997" s="229" t="n">
        <v>46181</v>
      </c>
      <c r="B1997" s="46" t="inlineStr">
        <is>
          <t>정기검사</t>
        </is>
      </c>
      <c r="C1997" s="46" t="inlineStr">
        <is>
          <t>부천지역</t>
        </is>
      </c>
      <c r="D1997" s="46" t="inlineStr">
        <is>
          <t>티플렉스아이</t>
        </is>
      </c>
      <c r="E1997" s="46" t="n">
        <v>700</v>
      </c>
      <c r="F1997" s="46" t="inlineStr">
        <is>
          <t>중동</t>
        </is>
      </c>
      <c r="G1997" s="50" t="n">
        <v>0.3888888888888889</v>
      </c>
      <c r="H1997" s="51" t="n">
        <v>804760</v>
      </c>
      <c r="I1997" s="46" t="inlineStr">
        <is>
          <t>민재홍</t>
        </is>
      </c>
      <c r="K1997" s="46" t="n">
        <v>1996</v>
      </c>
      <c r="L1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8">
      <c r="A1998" s="229" t="n">
        <v>46181</v>
      </c>
      <c r="B1998" s="46" t="inlineStr">
        <is>
          <t>정기검사</t>
        </is>
      </c>
      <c r="C1998" s="46" t="inlineStr">
        <is>
          <t>부천지역</t>
        </is>
      </c>
      <c r="D1998" s="46" t="inlineStr">
        <is>
          <t>롯데쇼핑</t>
        </is>
      </c>
      <c r="E1998" s="46" t="inlineStr">
        <is>
          <t>10000/3000</t>
        </is>
      </c>
      <c r="F1998" s="46" t="inlineStr">
        <is>
          <t>중동</t>
        </is>
      </c>
      <c r="G1998" s="50" t="n">
        <v>0.2708333333333333</v>
      </c>
      <c r="H1998" s="51" t="n">
        <v>3482050</v>
      </c>
      <c r="I1998" s="46" t="inlineStr">
        <is>
          <t>민경수</t>
        </is>
      </c>
      <c r="K1998" s="46" t="n">
        <v>1997</v>
      </c>
      <c r="L1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9">
      <c r="A1999" s="229" t="n">
        <v>46181</v>
      </c>
      <c r="B1999" s="46" t="inlineStr">
        <is>
          <t>정기검사</t>
        </is>
      </c>
      <c r="C1999" s="46" t="inlineStr">
        <is>
          <t>부천지역</t>
        </is>
      </c>
      <c r="D1999" s="46" t="inlineStr">
        <is>
          <t>제이엔엠</t>
        </is>
      </c>
      <c r="E1999" s="46" t="inlineStr">
        <is>
          <t>700/136</t>
        </is>
      </c>
      <c r="F1999" s="46" t="inlineStr">
        <is>
          <t>상동</t>
        </is>
      </c>
      <c r="G1999" s="50" t="n">
        <v>0.2708333333333333</v>
      </c>
      <c r="H1999" s="51" t="n">
        <v>1276000</v>
      </c>
      <c r="I1999" s="46" t="inlineStr">
        <is>
          <t>김영권</t>
        </is>
      </c>
      <c r="K1999" s="46" t="n">
        <v>1998</v>
      </c>
      <c r="L1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0">
      <c r="A2000" s="229" t="n">
        <v>46181</v>
      </c>
      <c r="B2000" s="46" t="inlineStr">
        <is>
          <t>정기검사</t>
        </is>
      </c>
      <c r="C2000" s="46" t="inlineStr">
        <is>
          <t>부천지역</t>
        </is>
      </c>
      <c r="D2000" s="46" t="inlineStr">
        <is>
          <t>롯데백화점</t>
        </is>
      </c>
      <c r="E2000" s="46" t="inlineStr">
        <is>
          <t>전기차</t>
        </is>
      </c>
      <c r="F2000" s="46" t="inlineStr">
        <is>
          <t>중동</t>
        </is>
      </c>
      <c r="G2000" s="50" t="n">
        <v>0.5625</v>
      </c>
      <c r="H2000" s="51" t="n">
        <v>106590</v>
      </c>
      <c r="I2000" s="46" t="n"/>
      <c r="K2000" s="46" t="n">
        <v>1999</v>
      </c>
      <c r="L2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1">
      <c r="A2001" s="229" t="n">
        <v>46181</v>
      </c>
      <c r="B2001" s="46" t="inlineStr">
        <is>
          <t>정기검사</t>
        </is>
      </c>
      <c r="C2001" s="46" t="inlineStr">
        <is>
          <t>김포지역</t>
        </is>
      </c>
      <c r="D2001" s="46" t="inlineStr">
        <is>
          <t>양순1</t>
        </is>
      </c>
      <c r="E2001" s="46" t="n">
        <v>65</v>
      </c>
      <c r="F2001" s="46" t="inlineStr">
        <is>
          <t>마곡리</t>
        </is>
      </c>
      <c r="G2001" s="50" t="n">
        <v>0.4166666666666667</v>
      </c>
      <c r="H2001" s="51" t="n">
        <v>219230</v>
      </c>
      <c r="I2001" s="46" t="inlineStr">
        <is>
          <t>당효진</t>
        </is>
      </c>
      <c r="K2001" s="46" t="n">
        <v>2000</v>
      </c>
      <c r="L2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2">
      <c r="A2002" s="229" t="n">
        <v>46181</v>
      </c>
      <c r="B2002" s="46" t="inlineStr">
        <is>
          <t>정기검사</t>
        </is>
      </c>
      <c r="C2002" s="46" t="inlineStr">
        <is>
          <t>김포지역</t>
        </is>
      </c>
      <c r="D2002" s="46" t="inlineStr">
        <is>
          <t>양순2</t>
        </is>
      </c>
      <c r="E2002" s="46" t="n">
        <v>66</v>
      </c>
      <c r="F2002" s="46" t="inlineStr">
        <is>
          <t>마곡리</t>
        </is>
      </c>
      <c r="G2002" s="50" t="n">
        <v>0.4583333333333333</v>
      </c>
      <c r="H2002" s="51" t="n">
        <v>219230</v>
      </c>
      <c r="I2002" s="46" t="inlineStr">
        <is>
          <t>당효진</t>
        </is>
      </c>
      <c r="K2002" s="46" t="n">
        <v>2001</v>
      </c>
      <c r="L2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3">
      <c r="A2003" s="229" t="n">
        <v>46181</v>
      </c>
      <c r="B2003" s="46" t="inlineStr">
        <is>
          <t>정기검사</t>
        </is>
      </c>
      <c r="C2003" s="46" t="inlineStr">
        <is>
          <t>김포지역</t>
        </is>
      </c>
      <c r="D2003" s="46" t="inlineStr">
        <is>
          <t>김포중앙교회</t>
        </is>
      </c>
      <c r="E2003" s="46" t="n">
        <v>250</v>
      </c>
      <c r="F2003" s="46" t="inlineStr">
        <is>
          <t>북변동</t>
        </is>
      </c>
      <c r="G2003" s="50" t="n">
        <v>0.5625</v>
      </c>
      <c r="H2003" s="51" t="n">
        <v>489170</v>
      </c>
      <c r="I2003" s="46" t="inlineStr">
        <is>
          <t>정성관</t>
        </is>
      </c>
      <c r="K2003" s="46" t="n">
        <v>2002</v>
      </c>
      <c r="L2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4">
      <c r="A2004" s="229" t="n">
        <v>46181</v>
      </c>
      <c r="B2004" s="46" t="inlineStr">
        <is>
          <t>정기검사</t>
        </is>
      </c>
      <c r="C2004" s="46" t="inlineStr">
        <is>
          <t>김포지역</t>
        </is>
      </c>
      <c r="D2004" s="46" t="inlineStr">
        <is>
          <t>학운태</t>
        </is>
      </c>
      <c r="E2004" s="46" t="n">
        <v>194</v>
      </c>
      <c r="F2004" s="46" t="inlineStr">
        <is>
          <t>학운리</t>
        </is>
      </c>
      <c r="G2004" s="50" t="n">
        <v>0.3958333333333333</v>
      </c>
      <c r="H2004" s="51" t="n">
        <v>580470</v>
      </c>
      <c r="I2004" s="46" t="inlineStr">
        <is>
          <t>허창수</t>
        </is>
      </c>
      <c r="K2004" s="46" t="n">
        <v>2003</v>
      </c>
      <c r="L2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5">
      <c r="A2005" s="229" t="n">
        <v>46181</v>
      </c>
      <c r="B2005" s="46" t="inlineStr">
        <is>
          <t>정기검사</t>
        </is>
      </c>
      <c r="C2005" s="46" t="inlineStr">
        <is>
          <t>김포지역</t>
        </is>
      </c>
      <c r="D2005" s="46" t="inlineStr">
        <is>
          <t>뉴팬덤스포츠</t>
        </is>
      </c>
      <c r="E2005" s="46" t="n">
        <v>270</v>
      </c>
      <c r="F2005" s="46" t="inlineStr">
        <is>
          <t>구래동</t>
        </is>
      </c>
      <c r="G2005" s="50" t="n">
        <v>0.5625</v>
      </c>
      <c r="H2005" s="51" t="n">
        <v>502150</v>
      </c>
      <c r="I2005" s="46" t="inlineStr">
        <is>
          <t>이종석</t>
        </is>
      </c>
      <c r="K2005" s="46" t="n">
        <v>2004</v>
      </c>
      <c r="L2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6">
      <c r="A2006" s="229" t="n">
        <v>46181</v>
      </c>
      <c r="B2006" s="46" t="inlineStr">
        <is>
          <t>정기검사</t>
        </is>
      </c>
      <c r="C2006" s="46" t="inlineStr">
        <is>
          <t>김포지역</t>
        </is>
      </c>
      <c r="D2006" s="46" t="inlineStr">
        <is>
          <t>한솔4호</t>
        </is>
      </c>
      <c r="E2006" s="46" t="n">
        <v>46</v>
      </c>
      <c r="F2006" s="46" t="inlineStr">
        <is>
          <t>대벽리</t>
        </is>
      </c>
      <c r="G2006" s="50" t="n">
        <v>0.4583333333333333</v>
      </c>
      <c r="H2006" s="51" t="n">
        <v>199100</v>
      </c>
      <c r="I2006" s="46" t="inlineStr">
        <is>
          <t>허창수</t>
        </is>
      </c>
      <c r="K2006" s="46" t="n">
        <v>2005</v>
      </c>
      <c r="L2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7">
      <c r="A2007" s="229" t="n">
        <v>46181</v>
      </c>
      <c r="B2007" s="46" t="inlineStr">
        <is>
          <t>사용전검사</t>
        </is>
      </c>
      <c r="C2007" s="46" t="inlineStr">
        <is>
          <t>부천지역</t>
        </is>
      </c>
      <c r="D2007" s="46" t="inlineStr">
        <is>
          <t>엘티엠</t>
        </is>
      </c>
      <c r="E2007" s="46" t="inlineStr">
        <is>
          <t>부분</t>
        </is>
      </c>
      <c r="F2007" s="46" t="inlineStr">
        <is>
          <t>도당동</t>
        </is>
      </c>
      <c r="G2007" s="50" t="n"/>
      <c r="H2007" s="51" t="n"/>
      <c r="I2007" s="46" t="inlineStr">
        <is>
          <t>민경수</t>
        </is>
      </c>
      <c r="K2007" s="46" t="n">
        <v>2006</v>
      </c>
      <c r="L2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8">
      <c r="A2008" s="229" t="n">
        <v>46181</v>
      </c>
      <c r="B2008" s="46" t="inlineStr">
        <is>
          <t>사용전검사</t>
        </is>
      </c>
      <c r="C2008" s="46" t="inlineStr">
        <is>
          <t>부천지역</t>
        </is>
      </c>
      <c r="D2008" s="46" t="inlineStr">
        <is>
          <t>정신배휴가</t>
        </is>
      </c>
      <c r="E2008" s="46" t="inlineStr">
        <is>
          <t>정성관</t>
        </is>
      </c>
      <c r="F2008" s="46" t="inlineStr">
        <is>
          <t>정성관-당효진</t>
        </is>
      </c>
      <c r="G2008" s="50" t="n"/>
      <c r="H2008" s="51" t="n"/>
      <c r="I2008" s="46" t="n"/>
      <c r="K2008" s="46" t="n">
        <v>2007</v>
      </c>
      <c r="L2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9">
      <c r="A2009" s="229" t="n">
        <v>46181</v>
      </c>
      <c r="B2009" s="46" t="inlineStr">
        <is>
          <t>메모</t>
        </is>
      </c>
      <c r="C2009" s="46" t="inlineStr">
        <is>
          <t>부천지역</t>
        </is>
      </c>
      <c r="D2009" s="46" t="inlineStr">
        <is>
          <t>송두기휴가</t>
        </is>
      </c>
      <c r="E2009" s="46" t="inlineStr">
        <is>
          <t>김영권</t>
        </is>
      </c>
      <c r="F2009" s="46" t="n"/>
      <c r="G2009" s="50" t="n"/>
      <c r="H2009" s="51" t="n"/>
      <c r="I2009" s="46" t="n"/>
      <c r="K2009" s="46" t="n">
        <v>2008</v>
      </c>
      <c r="L2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0">
      <c r="A2010" s="229" t="n">
        <v>46181</v>
      </c>
      <c r="B2010" s="46" t="inlineStr">
        <is>
          <t>메모</t>
        </is>
      </c>
      <c r="C2010" s="46" t="inlineStr">
        <is>
          <t>부천지역</t>
        </is>
      </c>
      <c r="D2010" s="46" t="inlineStr">
        <is>
          <t>서수형휴가</t>
        </is>
      </c>
      <c r="E2010" s="46" t="n"/>
      <c r="F2010" s="46" t="n"/>
      <c r="G2010" s="50" t="n"/>
      <c r="H2010" s="51" t="n"/>
      <c r="I2010" s="46" t="n"/>
      <c r="K2010" s="46" t="n">
        <v>2009</v>
      </c>
      <c r="L2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1">
      <c r="A2011" s="229" t="n">
        <v>46181</v>
      </c>
      <c r="B2011" s="46" t="inlineStr">
        <is>
          <t>메모</t>
        </is>
      </c>
      <c r="C2011" s="46" t="inlineStr">
        <is>
          <t>부천지역</t>
        </is>
      </c>
      <c r="D2011" s="46" t="inlineStr">
        <is>
          <t>한태희오후14시 퇴근</t>
        </is>
      </c>
      <c r="E2011" s="46" t="n"/>
      <c r="F2011" s="46" t="n"/>
      <c r="G2011" s="50" t="n"/>
      <c r="H2011" s="51" t="n"/>
      <c r="I2011" s="46" t="n"/>
      <c r="K2011" s="46" t="n">
        <v>2010</v>
      </c>
      <c r="L2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2">
      <c r="A2012" s="229" t="n">
        <v>46182</v>
      </c>
      <c r="B2012" s="46" t="inlineStr">
        <is>
          <t>정기검사</t>
        </is>
      </c>
      <c r="C2012" s="46" t="inlineStr">
        <is>
          <t>부천지역</t>
        </is>
      </c>
      <c r="D2012" s="46" t="inlineStr">
        <is>
          <t>무궁화상가</t>
        </is>
      </c>
      <c r="E2012" s="46" t="n">
        <v>300</v>
      </c>
      <c r="F2012" s="46" t="inlineStr">
        <is>
          <t>중동</t>
        </is>
      </c>
      <c r="G2012" s="50" t="n">
        <v>0.3958333333333333</v>
      </c>
      <c r="H2012" s="51" t="n">
        <v>521730</v>
      </c>
      <c r="I2012" s="46" t="inlineStr">
        <is>
          <t>송낙명</t>
        </is>
      </c>
      <c r="K2012" s="46" t="n">
        <v>2011</v>
      </c>
      <c r="L2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3">
      <c r="A2013" s="229" t="n">
        <v>46182</v>
      </c>
      <c r="B2013" s="46" t="inlineStr">
        <is>
          <t>정기검사</t>
        </is>
      </c>
      <c r="C2013" s="46" t="inlineStr">
        <is>
          <t>부천지역</t>
        </is>
      </c>
      <c r="D2013" s="46" t="inlineStr">
        <is>
          <t>경남아파트</t>
        </is>
      </c>
      <c r="E2013" s="46" t="inlineStr">
        <is>
          <t>1000/200</t>
        </is>
      </c>
      <c r="F2013" s="46" t="inlineStr">
        <is>
          <t>상동</t>
        </is>
      </c>
      <c r="G2013" s="50" t="n">
        <v>0.5833333333333334</v>
      </c>
      <c r="H2013" s="51" t="n">
        <v>1102200</v>
      </c>
      <c r="I2013" s="46" t="inlineStr">
        <is>
          <t>민재홍</t>
        </is>
      </c>
      <c r="K2013" s="46" t="n">
        <v>2012</v>
      </c>
      <c r="L2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4">
      <c r="A2014" s="229" t="n">
        <v>46182</v>
      </c>
      <c r="B2014" s="46" t="inlineStr">
        <is>
          <t>정기검사</t>
        </is>
      </c>
      <c r="C2014" s="46" t="inlineStr">
        <is>
          <t>부천지역</t>
        </is>
      </c>
      <c r="D2014" s="46" t="inlineStr">
        <is>
          <t>프라임한방병원</t>
        </is>
      </c>
      <c r="E2014" s="46" t="n">
        <v>15</v>
      </c>
      <c r="F2014" s="46" t="inlineStr">
        <is>
          <t>여월동</t>
        </is>
      </c>
      <c r="G2014" s="50" t="n">
        <v>0.5</v>
      </c>
      <c r="H2014" s="51" t="n">
        <v>43890</v>
      </c>
      <c r="I2014" s="46" t="inlineStr">
        <is>
          <t>송낙명</t>
        </is>
      </c>
      <c r="K2014" s="46" t="n">
        <v>2013</v>
      </c>
      <c r="L2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5">
      <c r="A2015" s="229" t="n">
        <v>46182</v>
      </c>
      <c r="B2015" s="46" t="inlineStr">
        <is>
          <t>정기검사</t>
        </is>
      </c>
      <c r="C2015" s="46" t="inlineStr">
        <is>
          <t>부천지역</t>
        </is>
      </c>
      <c r="D2015" s="46" t="inlineStr">
        <is>
          <t>동원텍</t>
        </is>
      </c>
      <c r="E2015" s="46" t="n">
        <v>250</v>
      </c>
      <c r="F2015" s="46" t="inlineStr">
        <is>
          <t>도당동</t>
        </is>
      </c>
      <c r="G2015" s="50" t="n">
        <v>0.4791666666666667</v>
      </c>
      <c r="H2015" s="51" t="n">
        <v>489170</v>
      </c>
      <c r="I2015" s="46" t="inlineStr">
        <is>
          <t>민경수</t>
        </is>
      </c>
      <c r="K2015" s="46" t="n">
        <v>2014</v>
      </c>
      <c r="L2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6">
      <c r="A2016" s="229" t="n">
        <v>46182</v>
      </c>
      <c r="B2016" s="46" t="inlineStr">
        <is>
          <t>정기검사</t>
        </is>
      </c>
      <c r="C2016" s="46" t="inlineStr">
        <is>
          <t>부천지역</t>
        </is>
      </c>
      <c r="D2016" s="46" t="inlineStr">
        <is>
          <t>풍림아파트원</t>
        </is>
      </c>
      <c r="E2016" s="46" t="inlineStr">
        <is>
          <t>200/60</t>
        </is>
      </c>
      <c r="F2016" s="46" t="inlineStr">
        <is>
          <t>원미동</t>
        </is>
      </c>
      <c r="G2016" s="50" t="n">
        <v>0.3958333333333333</v>
      </c>
      <c r="H2016" s="51" t="n">
        <v>611050</v>
      </c>
      <c r="I2016" s="46" t="inlineStr">
        <is>
          <t>민경수</t>
        </is>
      </c>
      <c r="K2016" s="46" t="n">
        <v>2015</v>
      </c>
      <c r="L2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7">
      <c r="A2017" s="229" t="n">
        <v>46182</v>
      </c>
      <c r="B2017" s="46" t="inlineStr">
        <is>
          <t>정기검사</t>
        </is>
      </c>
      <c r="C2017" s="46" t="inlineStr">
        <is>
          <t>부천지역</t>
        </is>
      </c>
      <c r="D2017" s="46" t="inlineStr">
        <is>
          <t>성진리치빌</t>
        </is>
      </c>
      <c r="E2017" s="46" t="inlineStr">
        <is>
          <t>g90</t>
        </is>
      </c>
      <c r="F2017" s="46" t="inlineStr">
        <is>
          <t>심곡</t>
        </is>
      </c>
      <c r="G2017" s="50" t="n">
        <v>0.4583333333333333</v>
      </c>
      <c r="H2017" s="51" t="n">
        <v>163240</v>
      </c>
      <c r="I2017" s="46" t="inlineStr">
        <is>
          <t>송낙명</t>
        </is>
      </c>
      <c r="K2017" s="46" t="n">
        <v>2016</v>
      </c>
      <c r="L2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8">
      <c r="A2018" s="229" t="n">
        <v>46182</v>
      </c>
      <c r="B2018" s="46" t="inlineStr">
        <is>
          <t>정기검사</t>
        </is>
      </c>
      <c r="C2018" s="46" t="inlineStr">
        <is>
          <t>김포지역</t>
        </is>
      </c>
      <c r="D2018" s="46" t="inlineStr">
        <is>
          <t>두윈타워</t>
        </is>
      </c>
      <c r="E2018" s="46" t="inlineStr">
        <is>
          <t>3250/400</t>
        </is>
      </c>
      <c r="F2018" s="46" t="inlineStr">
        <is>
          <t>구래동</t>
        </is>
      </c>
      <c r="G2018" s="50" t="n">
        <v>0.25</v>
      </c>
      <c r="H2018" s="51" t="n">
        <v>1912680</v>
      </c>
      <c r="I2018" s="46" t="inlineStr">
        <is>
          <t>이덕기</t>
        </is>
      </c>
      <c r="K2018" s="46" t="n">
        <v>2017</v>
      </c>
      <c r="L2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9">
      <c r="A2019" s="229" t="n">
        <v>46182</v>
      </c>
      <c r="B2019" s="46" t="inlineStr">
        <is>
          <t>정기검사</t>
        </is>
      </c>
      <c r="C2019" s="46" t="inlineStr">
        <is>
          <t>김포지역</t>
        </is>
      </c>
      <c r="D2019" s="46" t="inlineStr">
        <is>
          <t>한국에이스산업</t>
        </is>
      </c>
      <c r="E2019" s="46" t="n">
        <v>290</v>
      </c>
      <c r="F2019" s="46" t="inlineStr">
        <is>
          <t>고양리</t>
        </is>
      </c>
      <c r="G2019" s="50" t="n">
        <v>0.4583333333333333</v>
      </c>
      <c r="H2019" s="51" t="n">
        <v>515130</v>
      </c>
      <c r="I2019" s="46" t="inlineStr">
        <is>
          <t>이종석</t>
        </is>
      </c>
      <c r="K2019" s="46" t="n">
        <v>2018</v>
      </c>
      <c r="L2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0">
      <c r="A2020" s="229" t="n">
        <v>46182</v>
      </c>
      <c r="B2020" s="46" t="inlineStr">
        <is>
          <t>정기검사</t>
        </is>
      </c>
      <c r="C2020" s="46" t="inlineStr">
        <is>
          <t>김포지역</t>
        </is>
      </c>
      <c r="D2020" s="46" t="inlineStr">
        <is>
          <t>디엠에스</t>
        </is>
      </c>
      <c r="E2020" s="46" t="n">
        <v>350</v>
      </c>
      <c r="F2020" s="46" t="inlineStr">
        <is>
          <t>마곡리</t>
        </is>
      </c>
      <c r="G2020" s="50" t="n">
        <v>0.5</v>
      </c>
      <c r="H2020" s="51" t="n">
        <v>686180</v>
      </c>
      <c r="I2020" s="46" t="inlineStr">
        <is>
          <t>정성관</t>
        </is>
      </c>
      <c r="K2020" s="46" t="n">
        <v>2019</v>
      </c>
      <c r="L2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1">
      <c r="A2021" s="229" t="n">
        <v>46182</v>
      </c>
      <c r="B2021" s="46" t="inlineStr">
        <is>
          <t>정기검사</t>
        </is>
      </c>
      <c r="C2021" s="46" t="inlineStr">
        <is>
          <t>김포지역</t>
        </is>
      </c>
      <c r="D2021" s="46" t="inlineStr">
        <is>
          <t>반도유보라</t>
        </is>
      </c>
      <c r="E2021" s="46" t="inlineStr">
        <is>
          <t>2350/550</t>
        </is>
      </c>
      <c r="F2021" s="46" t="inlineStr">
        <is>
          <t>구래동</t>
        </is>
      </c>
      <c r="G2021" s="50" t="n">
        <v>0.4583333333333333</v>
      </c>
      <c r="H2021" s="51" t="n">
        <v>1380390</v>
      </c>
      <c r="I2021" s="46" t="inlineStr">
        <is>
          <t>김영권</t>
        </is>
      </c>
      <c r="K2021" s="46" t="n">
        <v>2020</v>
      </c>
      <c r="L2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2">
      <c r="A2022" s="229" t="n">
        <v>46182</v>
      </c>
      <c r="B2022" s="46" t="inlineStr">
        <is>
          <t>정기검사</t>
        </is>
      </c>
      <c r="C2022" s="46" t="inlineStr">
        <is>
          <t>김포지역</t>
        </is>
      </c>
      <c r="D2022" s="46" t="inlineStr">
        <is>
          <t>유림목재</t>
        </is>
      </c>
      <c r="E2022" s="46" t="n">
        <v>200</v>
      </c>
      <c r="F2022" s="46" t="inlineStr">
        <is>
          <t>구래동</t>
        </is>
      </c>
      <c r="G2022" s="50" t="n">
        <v>0.4791666666666667</v>
      </c>
      <c r="H2022" s="51" t="n">
        <v>456720</v>
      </c>
      <c r="I2022" s="46" t="inlineStr">
        <is>
          <t>한태희</t>
        </is>
      </c>
      <c r="K2022" s="46" t="n">
        <v>2021</v>
      </c>
      <c r="L2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3">
      <c r="A2023" s="229" t="n">
        <v>46182</v>
      </c>
      <c r="B2023" s="46" t="inlineStr">
        <is>
          <t>정기검사</t>
        </is>
      </c>
      <c r="C2023" s="46" t="inlineStr">
        <is>
          <t>김포지역</t>
        </is>
      </c>
      <c r="D2023" s="46" t="inlineStr">
        <is>
          <t>상태태양광</t>
        </is>
      </c>
      <c r="E2023" s="46" t="n">
        <v>72</v>
      </c>
      <c r="F2023" s="46" t="inlineStr">
        <is>
          <t>대벽리</t>
        </is>
      </c>
      <c r="G2023" s="50" t="n">
        <v>0.3958333333333333</v>
      </c>
      <c r="H2023" s="51" t="n">
        <v>226270</v>
      </c>
      <c r="I2023" s="46" t="inlineStr">
        <is>
          <t>이종석</t>
        </is>
      </c>
      <c r="K2023" s="46" t="n">
        <v>2022</v>
      </c>
      <c r="L2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4">
      <c r="A2024" s="229" t="n">
        <v>46182</v>
      </c>
      <c r="B2024" s="46" t="inlineStr">
        <is>
          <t>정기검사</t>
        </is>
      </c>
      <c r="C2024" s="46" t="inlineStr">
        <is>
          <t>김포지역</t>
        </is>
      </c>
      <c r="D2024" s="46" t="inlineStr">
        <is>
          <t>세우정밀판금</t>
        </is>
      </c>
      <c r="E2024" s="46" t="n">
        <v>220</v>
      </c>
      <c r="F2024" s="46" t="inlineStr">
        <is>
          <t>양택리</t>
        </is>
      </c>
      <c r="G2024" s="50" t="n">
        <v>0.5833333333333334</v>
      </c>
      <c r="H2024" s="51" t="n">
        <v>292600</v>
      </c>
      <c r="I2024" s="46" t="inlineStr">
        <is>
          <t>당효진</t>
        </is>
      </c>
      <c r="K2024" s="46" t="n">
        <v>2023</v>
      </c>
      <c r="L2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5">
      <c r="A2025" s="229" t="n">
        <v>46182</v>
      </c>
      <c r="B2025" s="46" t="inlineStr">
        <is>
          <t>정기검사</t>
        </is>
      </c>
      <c r="C2025" s="46" t="inlineStr">
        <is>
          <t>김포지역</t>
        </is>
      </c>
      <c r="D2025" s="46" t="inlineStr">
        <is>
          <t>이원ct</t>
        </is>
      </c>
      <c r="E2025" s="46" t="n">
        <v>150</v>
      </c>
      <c r="F2025" s="46" t="inlineStr">
        <is>
          <t>고양리</t>
        </is>
      </c>
      <c r="G2025" s="50" t="n">
        <v>0.5</v>
      </c>
      <c r="H2025" s="51" t="n">
        <v>424160</v>
      </c>
      <c r="I2025" s="46" t="inlineStr">
        <is>
          <t>허창수</t>
        </is>
      </c>
      <c r="K2025" s="46" t="n">
        <v>2024</v>
      </c>
      <c r="L2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6">
      <c r="A2026" s="229" t="n">
        <v>46182</v>
      </c>
      <c r="B2026" s="46" t="inlineStr">
        <is>
          <t>정기검사</t>
        </is>
      </c>
      <c r="C2026" s="46" t="inlineStr">
        <is>
          <t>김포지역</t>
        </is>
      </c>
      <c r="D2026" s="46" t="inlineStr">
        <is>
          <t>한국서부발전</t>
        </is>
      </c>
      <c r="E2026" s="46" t="inlineStr">
        <is>
          <t>전기차</t>
        </is>
      </c>
      <c r="F2026" s="46" t="inlineStr">
        <is>
          <t>학운리</t>
        </is>
      </c>
      <c r="G2026" s="50" t="n">
        <v>0.3958333333333333</v>
      </c>
      <c r="H2026" s="51" t="n">
        <v>355960</v>
      </c>
      <c r="I2026" s="46" t="inlineStr">
        <is>
          <t>한태희</t>
        </is>
      </c>
      <c r="K2026" s="46" t="n">
        <v>2025</v>
      </c>
      <c r="L2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7">
      <c r="A2027" s="229" t="n">
        <v>46182</v>
      </c>
      <c r="B2027" s="46" t="inlineStr">
        <is>
          <t>정기검사</t>
        </is>
      </c>
      <c r="C2027" s="46" t="inlineStr">
        <is>
          <t>김포지역</t>
        </is>
      </c>
      <c r="D2027" s="46" t="inlineStr">
        <is>
          <t>케이티</t>
        </is>
      </c>
      <c r="E2027" s="46" t="n"/>
      <c r="F2027" s="46" t="inlineStr">
        <is>
          <t>장기동</t>
        </is>
      </c>
      <c r="G2027" s="50" t="n">
        <v>0.25</v>
      </c>
      <c r="H2027" s="51" t="n">
        <v>196770</v>
      </c>
      <c r="I2027" s="46" t="inlineStr">
        <is>
          <t>한태희</t>
        </is>
      </c>
      <c r="K2027" s="46" t="n">
        <v>2026</v>
      </c>
      <c r="L2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8">
      <c r="A2028" s="229" t="n">
        <v>46182</v>
      </c>
      <c r="B2028" s="46" t="inlineStr">
        <is>
          <t>사용전검사</t>
        </is>
      </c>
      <c r="C2028" s="46" t="inlineStr">
        <is>
          <t>부천지역</t>
        </is>
      </c>
      <c r="D2028" s="46" t="inlineStr">
        <is>
          <t>크라운빌딩</t>
        </is>
      </c>
      <c r="E2028" s="46" t="inlineStr">
        <is>
          <t>변변</t>
        </is>
      </c>
      <c r="F2028" s="46" t="inlineStr">
        <is>
          <t>상동</t>
        </is>
      </c>
      <c r="G2028" s="50" t="n"/>
      <c r="H2028" s="51" t="n"/>
      <c r="I2028" s="46" t="inlineStr">
        <is>
          <t>송낙명</t>
        </is>
      </c>
      <c r="K2028" s="46" t="n">
        <v>2027</v>
      </c>
      <c r="L2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9">
      <c r="A2029" s="229" t="n">
        <v>46182</v>
      </c>
      <c r="B2029" s="46" t="inlineStr">
        <is>
          <t>메모</t>
        </is>
      </c>
      <c r="C2029" s="46" t="inlineStr">
        <is>
          <t>부천지역</t>
        </is>
      </c>
      <c r="D2029" s="46" t="inlineStr">
        <is>
          <t>정신배휴가</t>
        </is>
      </c>
      <c r="E2029" s="46" t="inlineStr">
        <is>
          <t>정성관-당효진</t>
        </is>
      </c>
      <c r="F2029" s="46" t="n"/>
      <c r="G2029" s="50" t="n"/>
      <c r="H2029" s="51" t="n"/>
      <c r="I2029" s="46" t="n"/>
      <c r="K2029" s="46" t="n">
        <v>2028</v>
      </c>
      <c r="L2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0">
      <c r="A2030" s="229" t="n">
        <v>46182</v>
      </c>
      <c r="B2030" s="46" t="inlineStr">
        <is>
          <t>메모</t>
        </is>
      </c>
      <c r="C2030" s="46" t="inlineStr">
        <is>
          <t>부천지역</t>
        </is>
      </c>
      <c r="D2030" s="46" t="inlineStr">
        <is>
          <t>서수형휴가</t>
        </is>
      </c>
      <c r="E2030" s="46" t="n"/>
      <c r="F2030" s="46" t="n"/>
      <c r="G2030" s="50" t="n"/>
      <c r="H2030" s="51" t="n"/>
      <c r="I2030" s="46" t="n"/>
      <c r="K2030" s="46" t="n">
        <v>2029</v>
      </c>
      <c r="L2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1">
      <c r="A2031" s="229" t="n">
        <v>46182</v>
      </c>
      <c r="B2031" s="46" t="inlineStr">
        <is>
          <t>사용전검사</t>
        </is>
      </c>
      <c r="C2031" s="46" t="inlineStr">
        <is>
          <t>김포지역</t>
        </is>
      </c>
      <c r="D2031" s="46" t="inlineStr">
        <is>
          <t>예다원</t>
        </is>
      </c>
      <c r="E2031" s="46" t="inlineStr">
        <is>
          <t>피뢰</t>
        </is>
      </c>
      <c r="F2031" s="46" t="inlineStr">
        <is>
          <t>운양동</t>
        </is>
      </c>
      <c r="G2031" s="50" t="n"/>
      <c r="H2031" s="51" t="n"/>
      <c r="I2031" s="46" t="inlineStr">
        <is>
          <t>송두기</t>
        </is>
      </c>
      <c r="K2031" s="46" t="n">
        <v>2030</v>
      </c>
      <c r="L2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2">
      <c r="A2032" s="229" t="n">
        <v>46182</v>
      </c>
      <c r="B2032" s="46" t="inlineStr">
        <is>
          <t>사용전검사</t>
        </is>
      </c>
      <c r="C2032" s="46" t="inlineStr">
        <is>
          <t>김포지역</t>
        </is>
      </c>
      <c r="D2032" s="46" t="inlineStr">
        <is>
          <t>태영금속</t>
        </is>
      </c>
      <c r="E2032" s="46" t="n">
        <v>80</v>
      </c>
      <c r="F2032" s="46" t="inlineStr">
        <is>
          <t>학운리</t>
        </is>
      </c>
      <c r="G2032" s="50" t="n"/>
      <c r="H2032" s="51" t="n"/>
      <c r="I2032" s="46" t="inlineStr">
        <is>
          <t>허창수</t>
        </is>
      </c>
      <c r="K2032" s="46" t="n">
        <v>2031</v>
      </c>
      <c r="L2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3">
      <c r="A2033" s="229" t="n">
        <v>46183</v>
      </c>
      <c r="B2033" s="46" t="inlineStr">
        <is>
          <t>정기검사</t>
        </is>
      </c>
      <c r="C2033" s="46" t="inlineStr">
        <is>
          <t>부천지역</t>
        </is>
      </c>
      <c r="D2033" s="46" t="inlineStr">
        <is>
          <t>대우유림아파트</t>
        </is>
      </c>
      <c r="E2033" s="46" t="inlineStr">
        <is>
          <t>1500/327</t>
        </is>
      </c>
      <c r="F2033" s="46" t="inlineStr">
        <is>
          <t>상동</t>
        </is>
      </c>
      <c r="G2033" s="50" t="n">
        <v>0.4166666666666667</v>
      </c>
      <c r="H2033" s="51" t="n">
        <v>1199550</v>
      </c>
      <c r="I2033" s="46" t="inlineStr">
        <is>
          <t>정성관</t>
        </is>
      </c>
      <c r="K2033" s="46" t="n">
        <v>2032</v>
      </c>
      <c r="L2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4">
      <c r="A2034" s="229" t="n">
        <v>46183</v>
      </c>
      <c r="B2034" s="46" t="inlineStr">
        <is>
          <t>정기검사</t>
        </is>
      </c>
      <c r="C2034" s="46" t="inlineStr">
        <is>
          <t>부천지역</t>
        </is>
      </c>
      <c r="D2034" s="46" t="inlineStr">
        <is>
          <t>상동교회</t>
        </is>
      </c>
      <c r="E2034" s="46" t="inlineStr">
        <is>
          <t>290/69</t>
        </is>
      </c>
      <c r="F2034" s="46" t="inlineStr">
        <is>
          <t>상동</t>
        </is>
      </c>
      <c r="G2034" s="50" t="n">
        <v>0.4791666666666667</v>
      </c>
      <c r="H2034" s="51" t="n">
        <v>672210</v>
      </c>
      <c r="I2034" s="46" t="inlineStr">
        <is>
          <t>당효진</t>
        </is>
      </c>
      <c r="K2034" s="46" t="n">
        <v>2033</v>
      </c>
      <c r="L2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5">
      <c r="A2035" s="229" t="n">
        <v>46183</v>
      </c>
      <c r="B2035" s="46" t="inlineStr">
        <is>
          <t>정기검사</t>
        </is>
      </c>
      <c r="C2035" s="46" t="inlineStr">
        <is>
          <t>부천지역</t>
        </is>
      </c>
      <c r="D2035" s="46" t="inlineStr">
        <is>
          <t>부천종합운동장</t>
        </is>
      </c>
      <c r="E2035" s="46" t="n">
        <v>962</v>
      </c>
      <c r="F2035" s="46" t="inlineStr">
        <is>
          <t>춘의동</t>
        </is>
      </c>
      <c r="G2035" s="50" t="n">
        <v>0.3958333333333333</v>
      </c>
      <c r="H2035" s="51" t="n">
        <v>630080</v>
      </c>
      <c r="I2035" s="46" t="inlineStr">
        <is>
          <t>민경수</t>
        </is>
      </c>
      <c r="K2035" s="46" t="n">
        <v>2034</v>
      </c>
      <c r="L2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6">
      <c r="A2036" s="229" t="n">
        <v>46183</v>
      </c>
      <c r="B2036" s="46" t="inlineStr">
        <is>
          <t>정기검사</t>
        </is>
      </c>
      <c r="C2036" s="46" t="inlineStr">
        <is>
          <t>부천지역</t>
        </is>
      </c>
      <c r="D2036" s="46" t="inlineStr">
        <is>
          <t>프라임테크</t>
        </is>
      </c>
      <c r="E2036" s="46" t="n">
        <v>290</v>
      </c>
      <c r="F2036" s="46" t="inlineStr">
        <is>
          <t>삼정동</t>
        </is>
      </c>
      <c r="G2036" s="50" t="n">
        <v>0.5138888888888888</v>
      </c>
      <c r="H2036" s="51" t="n">
        <v>515130</v>
      </c>
      <c r="I2036" s="46" t="inlineStr">
        <is>
          <t>민재홍</t>
        </is>
      </c>
      <c r="K2036" s="46" t="n">
        <v>2035</v>
      </c>
      <c r="L2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7">
      <c r="A2037" s="229" t="n">
        <v>46183</v>
      </c>
      <c r="B2037" s="46" t="inlineStr">
        <is>
          <t>정기검사</t>
        </is>
      </c>
      <c r="C2037" s="46" t="inlineStr">
        <is>
          <t>부천지역</t>
        </is>
      </c>
      <c r="D2037" s="46" t="inlineStr">
        <is>
          <t>한양아파트</t>
        </is>
      </c>
      <c r="E2037" s="46" t="n">
        <v>65</v>
      </c>
      <c r="F2037" s="46" t="inlineStr">
        <is>
          <t>내동</t>
        </is>
      </c>
      <c r="G2037" s="50" t="n">
        <v>0.4166666666666667</v>
      </c>
      <c r="H2037" s="51" t="n">
        <v>155760</v>
      </c>
      <c r="I2037" s="46" t="inlineStr">
        <is>
          <t>송낙명</t>
        </is>
      </c>
      <c r="K2037" s="46" t="n">
        <v>2036</v>
      </c>
      <c r="L2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8">
      <c r="A2038" s="229" t="n">
        <v>46183</v>
      </c>
      <c r="B2038" s="46" t="inlineStr">
        <is>
          <t>정기검사</t>
        </is>
      </c>
      <c r="C2038" s="46" t="inlineStr">
        <is>
          <t>부천지역</t>
        </is>
      </c>
      <c r="D2038" s="46" t="inlineStr">
        <is>
          <t>창보아파트</t>
        </is>
      </c>
      <c r="E2038" s="46" t="inlineStr">
        <is>
          <t>900/235</t>
        </is>
      </c>
      <c r="F2038" s="46" t="inlineStr">
        <is>
          <t>오정동</t>
        </is>
      </c>
      <c r="G2038" s="50" t="n">
        <v>0.6041666666666666</v>
      </c>
      <c r="H2038" s="51" t="n">
        <v>1078660</v>
      </c>
      <c r="I2038" s="46" t="inlineStr">
        <is>
          <t>민경수</t>
        </is>
      </c>
      <c r="K2038" s="46" t="n">
        <v>2037</v>
      </c>
      <c r="L2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9">
      <c r="A2039" s="229" t="n">
        <v>46183</v>
      </c>
      <c r="B2039" s="46" t="inlineStr">
        <is>
          <t>정기검사</t>
        </is>
      </c>
      <c r="C2039" s="46" t="inlineStr">
        <is>
          <t>부천지역</t>
        </is>
      </c>
      <c r="D2039" s="46" t="inlineStr">
        <is>
          <t>펌프장5개</t>
        </is>
      </c>
      <c r="E2039" s="46" t="n"/>
      <c r="F2039" s="46" t="n"/>
      <c r="G2039" s="50" t="n"/>
      <c r="H2039" s="51" t="n"/>
      <c r="I2039" s="46" t="inlineStr">
        <is>
          <t>서수형</t>
        </is>
      </c>
      <c r="K2039" s="46" t="n">
        <v>2038</v>
      </c>
      <c r="L2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0">
      <c r="A2040" s="229" t="n">
        <v>46183</v>
      </c>
      <c r="B2040" s="46" t="inlineStr">
        <is>
          <t>정기검사</t>
        </is>
      </c>
      <c r="C2040" s="46" t="inlineStr">
        <is>
          <t>김포지역</t>
        </is>
      </c>
      <c r="D2040" s="46" t="inlineStr">
        <is>
          <t>양우내안애</t>
        </is>
      </c>
      <c r="E2040" s="46" t="inlineStr">
        <is>
          <t>2250/500</t>
        </is>
      </c>
      <c r="F2040" s="46" t="inlineStr">
        <is>
          <t>고촌</t>
        </is>
      </c>
      <c r="G2040" s="50" t="n">
        <v>0.4166666666666667</v>
      </c>
      <c r="H2040" s="51" t="n">
        <v>1346400</v>
      </c>
      <c r="I2040" s="46" t="inlineStr">
        <is>
          <t>허창수</t>
        </is>
      </c>
      <c r="K2040" s="46" t="n">
        <v>2039</v>
      </c>
      <c r="L2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1">
      <c r="A2041" s="229" t="n">
        <v>46183</v>
      </c>
      <c r="B2041" s="46" t="inlineStr">
        <is>
          <t>정기검사</t>
        </is>
      </c>
      <c r="C2041" s="46" t="inlineStr">
        <is>
          <t>김포지역</t>
        </is>
      </c>
      <c r="D2041" s="46" t="inlineStr">
        <is>
          <t>화이트산업사</t>
        </is>
      </c>
      <c r="E2041" s="46" t="n">
        <v>290</v>
      </c>
      <c r="F2041" s="46" t="inlineStr">
        <is>
          <t>학운리</t>
        </is>
      </c>
      <c r="G2041" s="50" t="n">
        <v>0.5</v>
      </c>
      <c r="H2041" s="51" t="n">
        <v>515130</v>
      </c>
      <c r="I2041" s="46" t="inlineStr">
        <is>
          <t>김영권</t>
        </is>
      </c>
      <c r="K2041" s="46" t="n">
        <v>2040</v>
      </c>
      <c r="L2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2">
      <c r="A2042" s="229" t="n">
        <v>46183</v>
      </c>
      <c r="B2042" s="46" t="inlineStr">
        <is>
          <t>정기검사</t>
        </is>
      </c>
      <c r="C2042" s="46" t="inlineStr">
        <is>
          <t>김포지역</t>
        </is>
      </c>
      <c r="D2042" s="46" t="inlineStr">
        <is>
          <t>느푸른비엠씨</t>
        </is>
      </c>
      <c r="E2042" s="46" t="inlineStr">
        <is>
          <t>800/227</t>
        </is>
      </c>
      <c r="F2042" s="46" t="inlineStr">
        <is>
          <t>운양동</t>
        </is>
      </c>
      <c r="G2042" s="50" t="n">
        <v>0.5416666666666666</v>
      </c>
      <c r="H2042" s="51" t="n">
        <v>1042360</v>
      </c>
      <c r="I2042" s="46" t="inlineStr">
        <is>
          <t>이종석</t>
        </is>
      </c>
      <c r="K2042" s="46" t="n">
        <v>2041</v>
      </c>
      <c r="L2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3">
      <c r="A2043" s="229" t="n">
        <v>46183</v>
      </c>
      <c r="B2043" s="46" t="inlineStr">
        <is>
          <t>정기검사</t>
        </is>
      </c>
      <c r="C2043" s="46" t="inlineStr">
        <is>
          <t>김포지역</t>
        </is>
      </c>
      <c r="D2043" s="46" t="inlineStr">
        <is>
          <t>효성아파트</t>
        </is>
      </c>
      <c r="E2043" s="46" t="inlineStr">
        <is>
          <t>전기차</t>
        </is>
      </c>
      <c r="F2043" s="46" t="inlineStr">
        <is>
          <t>감정동</t>
        </is>
      </c>
      <c r="G2043" s="50" t="n">
        <v>0.4166666666666667</v>
      </c>
      <c r="H2043" s="51" t="n">
        <v>98120</v>
      </c>
      <c r="I2043" s="46" t="inlineStr">
        <is>
          <t>송두기</t>
        </is>
      </c>
      <c r="K2043" s="46" t="n">
        <v>2042</v>
      </c>
      <c r="L2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4">
      <c r="A2044" s="229" t="n">
        <v>46183</v>
      </c>
      <c r="B2044" s="46" t="inlineStr">
        <is>
          <t>정기검사</t>
        </is>
      </c>
      <c r="C2044" s="46" t="inlineStr">
        <is>
          <t>김포지역</t>
        </is>
      </c>
      <c r="D2044" s="46" t="inlineStr">
        <is>
          <t>육군5226</t>
        </is>
      </c>
      <c r="E2044" s="46" t="inlineStr">
        <is>
          <t>150/75</t>
        </is>
      </c>
      <c r="F2044" s="46" t="inlineStr">
        <is>
          <t>석모리</t>
        </is>
      </c>
      <c r="G2044" s="50" t="n">
        <v>0.4375</v>
      </c>
      <c r="H2044" s="51" t="n">
        <v>702680</v>
      </c>
      <c r="I2044" s="46" t="inlineStr">
        <is>
          <t>송두기</t>
        </is>
      </c>
      <c r="K2044" s="46" t="n">
        <v>2043</v>
      </c>
      <c r="L2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5">
      <c r="A2045" s="229" t="n">
        <v>46183</v>
      </c>
      <c r="B2045" s="46" t="inlineStr">
        <is>
          <t>정기검사</t>
        </is>
      </c>
      <c r="C2045" s="46" t="inlineStr">
        <is>
          <t>김포지역</t>
        </is>
      </c>
      <c r="D2045" s="46" t="inlineStr">
        <is>
          <t>두레건축냉동</t>
        </is>
      </c>
      <c r="E2045" s="46" t="n">
        <v>807</v>
      </c>
      <c r="F2045" s="46" t="inlineStr">
        <is>
          <t>초원지리</t>
        </is>
      </c>
      <c r="G2045" s="50" t="n">
        <v>0.4166666666666667</v>
      </c>
      <c r="H2045" s="51" t="n">
        <v>894410</v>
      </c>
      <c r="I2045" s="46" t="inlineStr">
        <is>
          <t>이덕기</t>
        </is>
      </c>
      <c r="K2045" s="46" t="n">
        <v>2044</v>
      </c>
      <c r="L2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6">
      <c r="A2046" s="229" t="n">
        <v>46183</v>
      </c>
      <c r="B2046" s="46" t="inlineStr">
        <is>
          <t>정기검사</t>
        </is>
      </c>
      <c r="C2046" s="46" t="inlineStr">
        <is>
          <t>김포지역</t>
        </is>
      </c>
      <c r="D2046" s="46" t="inlineStr">
        <is>
          <t>디프런홀딩스</t>
        </is>
      </c>
      <c r="E2046" s="46" t="n">
        <v>600</v>
      </c>
      <c r="F2046" s="46" t="inlineStr">
        <is>
          <t>대포리</t>
        </is>
      </c>
      <c r="G2046" s="50" t="n">
        <v>0.4166666666666667</v>
      </c>
      <c r="H2046" s="51" t="n">
        <v>770880</v>
      </c>
      <c r="I2046" s="46" t="inlineStr">
        <is>
          <t>한태희</t>
        </is>
      </c>
      <c r="K2046" s="46" t="n">
        <v>2045</v>
      </c>
      <c r="L2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7">
      <c r="A2047" s="229" t="n">
        <v>46183</v>
      </c>
      <c r="B2047" s="46" t="inlineStr">
        <is>
          <t>정기검사</t>
        </is>
      </c>
      <c r="C2047" s="46" t="inlineStr">
        <is>
          <t>김포지역</t>
        </is>
      </c>
      <c r="D2047" s="46" t="inlineStr">
        <is>
          <t>동방디지텍</t>
        </is>
      </c>
      <c r="E2047" s="46" t="n">
        <v>950</v>
      </c>
      <c r="F2047" s="46" t="inlineStr">
        <is>
          <t>학운리</t>
        </is>
      </c>
      <c r="G2047" s="50" t="n"/>
      <c r="H2047" s="51" t="n">
        <v>889460</v>
      </c>
      <c r="I2047" s="46" t="inlineStr">
        <is>
          <t>이덕기</t>
        </is>
      </c>
      <c r="K2047" s="46" t="n">
        <v>2046</v>
      </c>
      <c r="L2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8">
      <c r="A2048" s="229" t="n">
        <v>46183</v>
      </c>
      <c r="B2048" s="46" t="inlineStr">
        <is>
          <t>정기검사</t>
        </is>
      </c>
      <c r="C2048" s="46" t="inlineStr">
        <is>
          <t>김포지역</t>
        </is>
      </c>
      <c r="D2048" s="46" t="inlineStr">
        <is>
          <t>동아계전</t>
        </is>
      </c>
      <c r="E2048" s="46" t="n">
        <v>200</v>
      </c>
      <c r="F2048" s="46" t="inlineStr">
        <is>
          <t>상마리</t>
        </is>
      </c>
      <c r="G2048" s="50" t="n">
        <v>0.5</v>
      </c>
      <c r="H2048" s="51" t="n">
        <v>456720</v>
      </c>
      <c r="I2048" s="46" t="inlineStr">
        <is>
          <t>송낙명</t>
        </is>
      </c>
      <c r="K2048" s="46" t="n">
        <v>2047</v>
      </c>
      <c r="L2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9">
      <c r="A2049" s="229" t="n">
        <v>46183</v>
      </c>
      <c r="B2049" s="46" t="inlineStr">
        <is>
          <t>사용전검사</t>
        </is>
      </c>
      <c r="C2049" s="46" t="inlineStr">
        <is>
          <t>부천지역</t>
        </is>
      </c>
      <c r="D2049" s="46" t="inlineStr">
        <is>
          <t>가인헤어</t>
        </is>
      </c>
      <c r="E2049" s="46" t="n">
        <v>10</v>
      </c>
      <c r="F2049" s="46" t="inlineStr">
        <is>
          <t>오정동</t>
        </is>
      </c>
      <c r="G2049" s="50" t="n"/>
      <c r="H2049" s="51" t="n"/>
      <c r="I2049" s="46" t="inlineStr">
        <is>
          <t>송낙명</t>
        </is>
      </c>
      <c r="K2049" s="46" t="n">
        <v>2048</v>
      </c>
      <c r="L2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0">
      <c r="A2050" s="229" t="n">
        <v>46183</v>
      </c>
      <c r="B2050" s="46" t="inlineStr">
        <is>
          <t>사용전검사</t>
        </is>
      </c>
      <c r="C2050" s="46" t="inlineStr">
        <is>
          <t>부천지역</t>
        </is>
      </c>
      <c r="D2050" s="46" t="inlineStr">
        <is>
          <t>삼우아파트</t>
        </is>
      </c>
      <c r="E2050" s="46" t="inlineStr">
        <is>
          <t>800/360</t>
        </is>
      </c>
      <c r="F2050" s="46" t="inlineStr">
        <is>
          <t>고강동</t>
        </is>
      </c>
      <c r="G2050" s="50" t="n"/>
      <c r="H2050" s="51" t="n"/>
      <c r="I2050" s="46" t="inlineStr">
        <is>
          <t>정신배</t>
        </is>
      </c>
      <c r="K2050" s="46" t="n">
        <v>2049</v>
      </c>
      <c r="L2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1">
      <c r="A2051" s="229" t="n">
        <v>46183</v>
      </c>
      <c r="B2051" s="46" t="inlineStr">
        <is>
          <t>사용전검사</t>
        </is>
      </c>
      <c r="C2051" s="46" t="inlineStr">
        <is>
          <t>김포지역</t>
        </is>
      </c>
      <c r="D2051" s="46" t="inlineStr">
        <is>
          <t>보국태양광</t>
        </is>
      </c>
      <c r="E2051" s="46" t="n">
        <v>88</v>
      </c>
      <c r="F2051" s="46" t="inlineStr">
        <is>
          <t>고정리</t>
        </is>
      </c>
      <c r="G2051" s="50" t="n"/>
      <c r="H2051" s="51" t="n"/>
      <c r="I2051" s="46" t="inlineStr">
        <is>
          <t>한태희</t>
        </is>
      </c>
      <c r="K2051" s="46" t="n">
        <v>2050</v>
      </c>
      <c r="L2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2">
      <c r="A2052" s="229" t="n">
        <v>46183</v>
      </c>
      <c r="B2052" s="46" t="inlineStr">
        <is>
          <t>사용전검사</t>
        </is>
      </c>
      <c r="C2052" s="46" t="inlineStr">
        <is>
          <t>김포지역</t>
        </is>
      </c>
      <c r="D2052" s="46" t="inlineStr">
        <is>
          <t>한성이엔지</t>
        </is>
      </c>
      <c r="E2052" s="46" t="n">
        <v>150</v>
      </c>
      <c r="F2052" s="46" t="inlineStr">
        <is>
          <t>학운리</t>
        </is>
      </c>
      <c r="G2052" s="50" t="n"/>
      <c r="H2052" s="51" t="n"/>
      <c r="I2052" s="46" t="inlineStr">
        <is>
          <t>김영권</t>
        </is>
      </c>
      <c r="K2052" s="46" t="n">
        <v>2051</v>
      </c>
      <c r="L2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3">
      <c r="A2053" s="229" t="n">
        <v>46184</v>
      </c>
      <c r="B2053" s="46" t="inlineStr">
        <is>
          <t>정기검사</t>
        </is>
      </c>
      <c r="C2053" s="46" t="inlineStr">
        <is>
          <t>부천지역</t>
        </is>
      </c>
      <c r="D2053" s="46" t="inlineStr">
        <is>
          <t>빛나</t>
        </is>
      </c>
      <c r="E2053" s="46" t="inlineStr">
        <is>
          <t>500/67</t>
        </is>
      </c>
      <c r="F2053" s="46" t="inlineStr">
        <is>
          <t>상동</t>
        </is>
      </c>
      <c r="G2053" s="50" t="n">
        <v>0.5833333333333334</v>
      </c>
      <c r="H2053" s="51" t="n">
        <v>893420</v>
      </c>
      <c r="I2053" s="46" t="inlineStr">
        <is>
          <t>김영권</t>
        </is>
      </c>
      <c r="K2053" s="46" t="n">
        <v>2052</v>
      </c>
      <c r="L2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4">
      <c r="A2054" s="229" t="n">
        <v>46184</v>
      </c>
      <c r="B2054" s="46" t="inlineStr">
        <is>
          <t>정기검사</t>
        </is>
      </c>
      <c r="C2054" s="46" t="inlineStr">
        <is>
          <t>부천지역</t>
        </is>
      </c>
      <c r="D2054" s="46" t="inlineStr">
        <is>
          <t>현대엔지니어링</t>
        </is>
      </c>
      <c r="E2054" s="46" t="inlineStr">
        <is>
          <t>전기차</t>
        </is>
      </c>
      <c r="F2054" s="46" t="inlineStr">
        <is>
          <t>상동</t>
        </is>
      </c>
      <c r="G2054" s="50" t="n">
        <v>0.4166666666666667</v>
      </c>
      <c r="H2054" s="51" t="n">
        <v>115060</v>
      </c>
      <c r="I2054" s="46" t="inlineStr">
        <is>
          <t>송낙명</t>
        </is>
      </c>
      <c r="K2054" s="46" t="n">
        <v>2053</v>
      </c>
      <c r="L2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5">
      <c r="A2055" s="229" t="n">
        <v>46184</v>
      </c>
      <c r="B2055" s="46" t="inlineStr">
        <is>
          <t>정기검사</t>
        </is>
      </c>
      <c r="C2055" s="46" t="inlineStr">
        <is>
          <t>부천지역</t>
        </is>
      </c>
      <c r="D2055" s="46" t="inlineStr">
        <is>
          <t>옥진중공업</t>
        </is>
      </c>
      <c r="E2055" s="46" t="n">
        <v>290</v>
      </c>
      <c r="F2055" s="46" t="inlineStr">
        <is>
          <t>삼정동</t>
        </is>
      </c>
      <c r="G2055" s="50" t="n">
        <v>0.5</v>
      </c>
      <c r="H2055" s="51" t="n">
        <v>515130</v>
      </c>
      <c r="I2055" s="46" t="inlineStr">
        <is>
          <t>송두기</t>
        </is>
      </c>
      <c r="K2055" s="46" t="n">
        <v>2054</v>
      </c>
      <c r="L2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6">
      <c r="A2056" s="229" t="n">
        <v>46184</v>
      </c>
      <c r="B2056" s="46" t="inlineStr">
        <is>
          <t>정기검사</t>
        </is>
      </c>
      <c r="C2056" s="46" t="inlineStr">
        <is>
          <t>부천지역</t>
        </is>
      </c>
      <c r="D2056" s="46" t="inlineStr">
        <is>
          <t>태일물류</t>
        </is>
      </c>
      <c r="E2056" s="46" t="n">
        <v>150</v>
      </c>
      <c r="F2056" s="46" t="inlineStr">
        <is>
          <t>삼정동</t>
        </is>
      </c>
      <c r="G2056" s="50" t="n">
        <v>0.5</v>
      </c>
      <c r="H2056" s="51" t="n">
        <v>424160</v>
      </c>
      <c r="I2056" s="46" t="inlineStr">
        <is>
          <t>허창수</t>
        </is>
      </c>
      <c r="K2056" s="46" t="n">
        <v>2055</v>
      </c>
      <c r="L2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7">
      <c r="A2057" s="229" t="n">
        <v>46184</v>
      </c>
      <c r="B2057" s="46" t="inlineStr">
        <is>
          <t>정기검사</t>
        </is>
      </c>
      <c r="C2057" s="46" t="inlineStr">
        <is>
          <t>부천지역</t>
        </is>
      </c>
      <c r="D2057" s="46" t="inlineStr">
        <is>
          <t>대명정밀</t>
        </is>
      </c>
      <c r="E2057" s="46" t="n">
        <v>590</v>
      </c>
      <c r="F2057" s="46" t="inlineStr">
        <is>
          <t>도당동</t>
        </is>
      </c>
      <c r="G2057" s="50" t="n">
        <v>0.5208333333333334</v>
      </c>
      <c r="H2057" s="51" t="n">
        <v>767470</v>
      </c>
      <c r="I2057" s="46" t="inlineStr">
        <is>
          <t>송낙명</t>
        </is>
      </c>
      <c r="K2057" s="46" t="n">
        <v>2056</v>
      </c>
      <c r="L2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8">
      <c r="A2058" s="229" t="n">
        <v>46184</v>
      </c>
      <c r="B2058" s="46" t="inlineStr">
        <is>
          <t>정기검사</t>
        </is>
      </c>
      <c r="C2058" s="46" t="inlineStr">
        <is>
          <t>부천지역</t>
        </is>
      </c>
      <c r="D2058" s="46" t="inlineStr">
        <is>
          <t>송림프라자</t>
        </is>
      </c>
      <c r="E2058" s="46" t="n">
        <v>300</v>
      </c>
      <c r="F2058" s="46" t="inlineStr">
        <is>
          <t>상동</t>
        </is>
      </c>
      <c r="G2058" s="50" t="n">
        <v>0.3958333333333333</v>
      </c>
      <c r="H2058" s="51" t="n">
        <v>521730</v>
      </c>
      <c r="I2058" s="46" t="inlineStr">
        <is>
          <t>김영권</t>
        </is>
      </c>
      <c r="K2058" s="46" t="n">
        <v>2057</v>
      </c>
      <c r="L2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9">
      <c r="A2059" s="229" t="n">
        <v>46184</v>
      </c>
      <c r="B2059" s="46" t="inlineStr">
        <is>
          <t>정기검사</t>
        </is>
      </c>
      <c r="C2059" s="46" t="inlineStr">
        <is>
          <t>부천지역</t>
        </is>
      </c>
      <c r="D2059" s="46" t="inlineStr">
        <is>
          <t>여월프라자</t>
        </is>
      </c>
      <c r="E2059" s="46" t="inlineStr">
        <is>
          <t>700/160</t>
        </is>
      </c>
      <c r="F2059" s="46" t="inlineStr">
        <is>
          <t>여월동</t>
        </is>
      </c>
      <c r="G2059" s="50" t="n">
        <v>0.3958333333333333</v>
      </c>
      <c r="H2059" s="51" t="n">
        <v>988680</v>
      </c>
      <c r="I2059" s="46" t="inlineStr">
        <is>
          <t>김영권</t>
        </is>
      </c>
      <c r="K2059" s="46" t="n">
        <v>2058</v>
      </c>
      <c r="L2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0">
      <c r="A2060" s="229" t="n">
        <v>46184</v>
      </c>
      <c r="B2060" s="46" t="inlineStr">
        <is>
          <t>정기검사</t>
        </is>
      </c>
      <c r="C2060" s="46" t="inlineStr">
        <is>
          <t>부천지역</t>
        </is>
      </c>
      <c r="D2060" s="46" t="inlineStr">
        <is>
          <t>신화크린텍</t>
        </is>
      </c>
      <c r="E2060" s="46" t="n">
        <v>200</v>
      </c>
      <c r="F2060" s="46" t="inlineStr">
        <is>
          <t>삼정동</t>
        </is>
      </c>
      <c r="G2060" s="50" t="n">
        <v>0.5</v>
      </c>
      <c r="H2060" s="51" t="n">
        <v>456720</v>
      </c>
      <c r="I2060" s="46" t="inlineStr">
        <is>
          <t>한태희</t>
        </is>
      </c>
      <c r="K2060" s="46" t="n">
        <v>2059</v>
      </c>
      <c r="L2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1">
      <c r="A2061" s="229" t="n">
        <v>46184</v>
      </c>
      <c r="B2061" s="46" t="inlineStr">
        <is>
          <t>정기검사</t>
        </is>
      </c>
      <c r="C2061" s="46" t="inlineStr">
        <is>
          <t>부천지역</t>
        </is>
      </c>
      <c r="D2061" s="46" t="inlineStr">
        <is>
          <t>부천요양병원</t>
        </is>
      </c>
      <c r="E2061" s="46" t="inlineStr">
        <is>
          <t>400/183</t>
        </is>
      </c>
      <c r="F2061" s="46" t="inlineStr">
        <is>
          <t>중동</t>
        </is>
      </c>
      <c r="G2061" s="50" t="n">
        <v>0.6041666666666666</v>
      </c>
      <c r="H2061" s="51" t="n">
        <v>893860</v>
      </c>
      <c r="I2061" s="46" t="inlineStr">
        <is>
          <t>이덕기</t>
        </is>
      </c>
      <c r="K2061" s="46" t="n">
        <v>2060</v>
      </c>
      <c r="L2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2">
      <c r="A2062" s="229" t="n">
        <v>46184</v>
      </c>
      <c r="B2062" s="46" t="inlineStr">
        <is>
          <t>정기검사</t>
        </is>
      </c>
      <c r="C2062" s="46" t="inlineStr">
        <is>
          <t>김포지역</t>
        </is>
      </c>
      <c r="D2062" s="46" t="inlineStr">
        <is>
          <t>세종아이피</t>
        </is>
      </c>
      <c r="E2062" s="46" t="n">
        <v>400</v>
      </c>
      <c r="F2062" s="46" t="inlineStr">
        <is>
          <t>학운리</t>
        </is>
      </c>
      <c r="G2062" s="50" t="n">
        <v>0.4791666666666667</v>
      </c>
      <c r="H2062" s="51" t="n">
        <v>703120</v>
      </c>
      <c r="I2062" s="46" t="inlineStr">
        <is>
          <t>정성관</t>
        </is>
      </c>
      <c r="K2062" s="46" t="n">
        <v>2061</v>
      </c>
      <c r="L2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3">
      <c r="A2063" s="229" t="n">
        <v>46184</v>
      </c>
      <c r="B2063" s="46" t="inlineStr">
        <is>
          <t>정기검사</t>
        </is>
      </c>
      <c r="C2063" s="46" t="inlineStr">
        <is>
          <t>김포지역</t>
        </is>
      </c>
      <c r="D2063" s="46" t="inlineStr">
        <is>
          <t>대원PVC</t>
        </is>
      </c>
      <c r="E2063" s="46" t="n">
        <v>300</v>
      </c>
      <c r="F2063" s="46" t="inlineStr">
        <is>
          <t>갈산리</t>
        </is>
      </c>
      <c r="G2063" s="50" t="n">
        <v>0.4791666666666667</v>
      </c>
      <c r="H2063" s="51" t="n">
        <v>521730</v>
      </c>
      <c r="I2063" s="46" t="inlineStr">
        <is>
          <t>민경수</t>
        </is>
      </c>
      <c r="K2063" s="46" t="n">
        <v>2062</v>
      </c>
      <c r="L2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4">
      <c r="A2064" s="229" t="n">
        <v>46184</v>
      </c>
      <c r="B2064" s="46" t="inlineStr">
        <is>
          <t>정기검사</t>
        </is>
      </c>
      <c r="C2064" s="46" t="inlineStr">
        <is>
          <t>김포지역</t>
        </is>
      </c>
      <c r="D2064" s="46" t="inlineStr">
        <is>
          <t>경기의료공업</t>
        </is>
      </c>
      <c r="E2064" s="46" t="n">
        <v>290</v>
      </c>
      <c r="F2064" s="46" t="inlineStr">
        <is>
          <t>송마리</t>
        </is>
      </c>
      <c r="G2064" s="50" t="n">
        <v>0.4791666666666667</v>
      </c>
      <c r="H2064" s="51" t="n">
        <v>515130</v>
      </c>
      <c r="I2064" s="46" t="inlineStr">
        <is>
          <t>서수형</t>
        </is>
      </c>
      <c r="K2064" s="46" t="n">
        <v>2063</v>
      </c>
      <c r="L2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5">
      <c r="A2065" s="229" t="n">
        <v>46184</v>
      </c>
      <c r="B2065" s="46" t="inlineStr">
        <is>
          <t>정기검사</t>
        </is>
      </c>
      <c r="C2065" s="46" t="inlineStr">
        <is>
          <t>김포지역</t>
        </is>
      </c>
      <c r="D2065" s="46" t="inlineStr">
        <is>
          <t>통진읍발전기</t>
        </is>
      </c>
      <c r="E2065" s="46" t="inlineStr">
        <is>
          <t>ups</t>
        </is>
      </c>
      <c r="F2065" s="46" t="inlineStr">
        <is>
          <t>마송리</t>
        </is>
      </c>
      <c r="G2065" s="50" t="n">
        <v>0.4375</v>
      </c>
      <c r="H2065" s="51" t="n">
        <v>289300</v>
      </c>
      <c r="I2065" s="46" t="inlineStr">
        <is>
          <t>서수형</t>
        </is>
      </c>
      <c r="K2065" s="46" t="n">
        <v>2064</v>
      </c>
      <c r="L2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6">
      <c r="A2066" s="229" t="n">
        <v>46184</v>
      </c>
      <c r="B2066" s="46" t="inlineStr">
        <is>
          <t>사용전검사</t>
        </is>
      </c>
      <c r="C2066" s="46" t="inlineStr">
        <is>
          <t>부천지역</t>
        </is>
      </c>
      <c r="D2066" s="46" t="inlineStr">
        <is>
          <t>건우</t>
        </is>
      </c>
      <c r="E2066" s="46" t="inlineStr">
        <is>
          <t>부분</t>
        </is>
      </c>
      <c r="F2066" s="46" t="n"/>
      <c r="G2066" s="50" t="n"/>
      <c r="H2066" s="51" t="n"/>
      <c r="I2066" s="46" t="inlineStr">
        <is>
          <t>한태희</t>
        </is>
      </c>
      <c r="K2066" s="46" t="n">
        <v>2065</v>
      </c>
      <c r="L2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7">
      <c r="A2067" s="229" t="n">
        <v>46184</v>
      </c>
      <c r="B2067" s="46" t="inlineStr">
        <is>
          <t>사용전검사</t>
        </is>
      </c>
      <c r="C2067" s="46" t="inlineStr">
        <is>
          <t>부천지역</t>
        </is>
      </c>
      <c r="D2067" s="46" t="inlineStr">
        <is>
          <t>에스지아이티</t>
        </is>
      </c>
      <c r="E2067" s="46" t="n">
        <v>14</v>
      </c>
      <c r="F2067" s="46" t="inlineStr">
        <is>
          <t>상동</t>
        </is>
      </c>
      <c r="G2067" s="50" t="n"/>
      <c r="H2067" s="51" t="n"/>
      <c r="I2067" s="46" t="inlineStr">
        <is>
          <t>한태희</t>
        </is>
      </c>
      <c r="K2067" s="46" t="n">
        <v>2066</v>
      </c>
      <c r="L2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8">
      <c r="A2068" s="229" t="n">
        <v>46184</v>
      </c>
      <c r="B2068" s="46" t="inlineStr">
        <is>
          <t>사용전검사</t>
        </is>
      </c>
      <c r="C2068" s="46" t="inlineStr">
        <is>
          <t>김포지역</t>
        </is>
      </c>
      <c r="D2068" s="46" t="inlineStr">
        <is>
          <t>태지</t>
        </is>
      </c>
      <c r="E2068" s="46" t="n">
        <v>154</v>
      </c>
      <c r="F2068" s="46" t="inlineStr">
        <is>
          <t>귀전리</t>
        </is>
      </c>
      <c r="G2068" s="50" t="n"/>
      <c r="H2068" s="51" t="n"/>
      <c r="I2068" s="46" t="inlineStr">
        <is>
          <t>당효진</t>
        </is>
      </c>
      <c r="K2068" s="46" t="n">
        <v>2067</v>
      </c>
      <c r="L2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9">
      <c r="A2069" s="229" t="n">
        <v>46184</v>
      </c>
      <c r="B2069" s="46" t="inlineStr">
        <is>
          <t>사용전검사</t>
        </is>
      </c>
      <c r="C2069" s="46" t="inlineStr">
        <is>
          <t>김포지역</t>
        </is>
      </c>
      <c r="D2069" s="46" t="inlineStr">
        <is>
          <t>우지커피</t>
        </is>
      </c>
      <c r="E2069" s="46" t="n">
        <v>18</v>
      </c>
      <c r="F2069" s="46" t="inlineStr">
        <is>
          <t>풍무동</t>
        </is>
      </c>
      <c r="G2069" s="50" t="n"/>
      <c r="H2069" s="51" t="n"/>
      <c r="I2069" s="46" t="inlineStr">
        <is>
          <t>정신배</t>
        </is>
      </c>
      <c r="K2069" s="46" t="n">
        <v>2068</v>
      </c>
      <c r="L2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0">
      <c r="A2070" s="229" t="n">
        <v>46184</v>
      </c>
      <c r="B2070" s="46" t="inlineStr">
        <is>
          <t>사용전검사</t>
        </is>
      </c>
      <c r="C2070" s="46" t="inlineStr">
        <is>
          <t>김포지역</t>
        </is>
      </c>
      <c r="D2070" s="46" t="inlineStr">
        <is>
          <t>영우1</t>
        </is>
      </c>
      <c r="E2070" s="46" t="n">
        <v>89</v>
      </c>
      <c r="F2070" s="46" t="inlineStr">
        <is>
          <t>고막리</t>
        </is>
      </c>
      <c r="G2070" s="50" t="n"/>
      <c r="H2070" s="51" t="n"/>
      <c r="I2070" s="46" t="inlineStr">
        <is>
          <t>민재홍</t>
        </is>
      </c>
      <c r="K2070" s="46" t="n">
        <v>2069</v>
      </c>
      <c r="L2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1">
      <c r="A2071" s="229" t="n">
        <v>46184</v>
      </c>
      <c r="B2071" s="46" t="inlineStr">
        <is>
          <t>사용전검사</t>
        </is>
      </c>
      <c r="C2071" s="46" t="inlineStr">
        <is>
          <t>김포지역</t>
        </is>
      </c>
      <c r="D2071" s="46" t="inlineStr">
        <is>
          <t>영우2</t>
        </is>
      </c>
      <c r="E2071" s="46" t="n">
        <v>90</v>
      </c>
      <c r="F2071" s="46" t="inlineStr">
        <is>
          <t>고막리</t>
        </is>
      </c>
      <c r="G2071" s="50" t="n"/>
      <c r="H2071" s="51" t="n"/>
      <c r="I2071" s="46" t="inlineStr">
        <is>
          <t>민재홍</t>
        </is>
      </c>
      <c r="K2071" s="46" t="n">
        <v>2070</v>
      </c>
      <c r="L2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2">
      <c r="A2072" s="229" t="n">
        <v>46184</v>
      </c>
      <c r="B2072" s="46" t="inlineStr">
        <is>
          <t>사용전검사</t>
        </is>
      </c>
      <c r="C2072" s="46" t="inlineStr">
        <is>
          <t>김포지역</t>
        </is>
      </c>
      <c r="D2072" s="46" t="inlineStr">
        <is>
          <t>영우3</t>
        </is>
      </c>
      <c r="E2072" s="46" t="n">
        <v>91</v>
      </c>
      <c r="F2072" s="46" t="inlineStr">
        <is>
          <t>고막리</t>
        </is>
      </c>
      <c r="G2072" s="50" t="n"/>
      <c r="H2072" s="51" t="n"/>
      <c r="I2072" s="46" t="inlineStr">
        <is>
          <t>민재홍</t>
        </is>
      </c>
      <c r="K2072" s="46" t="n">
        <v>2071</v>
      </c>
      <c r="L2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3">
      <c r="A2073" s="229" t="n">
        <v>46185</v>
      </c>
      <c r="B2073" s="46" t="inlineStr">
        <is>
          <t>정기검사</t>
        </is>
      </c>
      <c r="C2073" s="46" t="inlineStr">
        <is>
          <t>부천지역</t>
        </is>
      </c>
      <c r="D2073" s="46" t="inlineStr">
        <is>
          <t>삼도갈비</t>
        </is>
      </c>
      <c r="E2073" s="46" t="n">
        <v>200</v>
      </c>
      <c r="F2073" s="46" t="inlineStr">
        <is>
          <t>중동</t>
        </is>
      </c>
      <c r="G2073" s="50" t="n">
        <v>0.3958333333333333</v>
      </c>
      <c r="H2073" s="51" t="n">
        <v>456720</v>
      </c>
      <c r="I2073" s="46" t="inlineStr">
        <is>
          <t>한태희</t>
        </is>
      </c>
      <c r="K2073" s="46" t="n">
        <v>2072</v>
      </c>
      <c r="L2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4">
      <c r="A2074" s="229" t="n">
        <v>46185</v>
      </c>
      <c r="B2074" s="46" t="inlineStr">
        <is>
          <t>정기검사</t>
        </is>
      </c>
      <c r="C2074" s="46" t="inlineStr">
        <is>
          <t>부천지역</t>
        </is>
      </c>
      <c r="D2074" s="46" t="inlineStr">
        <is>
          <t>일우정밀</t>
        </is>
      </c>
      <c r="E2074" s="46" t="inlineStr">
        <is>
          <t>전기차</t>
        </is>
      </c>
      <c r="F2074" s="46" t="inlineStr">
        <is>
          <t>오정동</t>
        </is>
      </c>
      <c r="G2074" s="50" t="n">
        <v>0.4791666666666667</v>
      </c>
      <c r="H2074" s="51" t="n">
        <v>64240</v>
      </c>
      <c r="I2074" s="46" t="inlineStr">
        <is>
          <t>이덕기</t>
        </is>
      </c>
      <c r="K2074" s="46" t="n">
        <v>2073</v>
      </c>
      <c r="L2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5">
      <c r="A2075" s="229" t="n">
        <v>46185</v>
      </c>
      <c r="B2075" s="46" t="inlineStr">
        <is>
          <t>정기검사</t>
        </is>
      </c>
      <c r="C2075" s="46" t="inlineStr">
        <is>
          <t>부천지역</t>
        </is>
      </c>
      <c r="D2075" s="46" t="inlineStr">
        <is>
          <t>부천시청</t>
        </is>
      </c>
      <c r="E2075" s="46" t="inlineStr">
        <is>
          <t>UPS</t>
        </is>
      </c>
      <c r="F2075" s="46" t="inlineStr">
        <is>
          <t>중동</t>
        </is>
      </c>
      <c r="G2075" s="50" t="n">
        <v>0.625</v>
      </c>
      <c r="H2075" s="51" t="n">
        <v>418220</v>
      </c>
      <c r="I2075" s="46" t="inlineStr">
        <is>
          <t>한태희</t>
        </is>
      </c>
      <c r="K2075" s="46" t="n">
        <v>2074</v>
      </c>
      <c r="L2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6">
      <c r="A2076" s="229" t="n">
        <v>46185</v>
      </c>
      <c r="B2076" s="46" t="inlineStr">
        <is>
          <t>정기검사</t>
        </is>
      </c>
      <c r="C2076" s="46" t="inlineStr">
        <is>
          <t>부천지역</t>
        </is>
      </c>
      <c r="D2076" s="46" t="inlineStr">
        <is>
          <t>부천시청</t>
        </is>
      </c>
      <c r="E2076" s="46" t="inlineStr">
        <is>
          <t>UPS</t>
        </is>
      </c>
      <c r="F2076" s="46" t="inlineStr">
        <is>
          <t>중동</t>
        </is>
      </c>
      <c r="G2076" s="50" t="n">
        <v>0.3958333333333333</v>
      </c>
      <c r="H2076" s="51" t="n">
        <v>688620</v>
      </c>
      <c r="I2076" s="46" t="inlineStr">
        <is>
          <t>이덕기</t>
        </is>
      </c>
      <c r="K2076" s="46" t="n">
        <v>2075</v>
      </c>
      <c r="L2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7">
      <c r="A2077" s="229" t="n">
        <v>46185</v>
      </c>
      <c r="B2077" s="46" t="inlineStr">
        <is>
          <t>정기검사</t>
        </is>
      </c>
      <c r="C2077" s="46" t="inlineStr">
        <is>
          <t>부천지역</t>
        </is>
      </c>
      <c r="D2077" s="46" t="inlineStr">
        <is>
          <t>태진비단트</t>
        </is>
      </c>
      <c r="E2077" s="46" t="inlineStr">
        <is>
          <t>전기차</t>
        </is>
      </c>
      <c r="F2077" s="46" t="inlineStr">
        <is>
          <t>심곡동</t>
        </is>
      </c>
      <c r="G2077" s="50" t="n">
        <v>0.5833333333333334</v>
      </c>
      <c r="H2077" s="51" t="n">
        <v>55770</v>
      </c>
      <c r="I2077" s="46" t="inlineStr">
        <is>
          <t>이종석</t>
        </is>
      </c>
      <c r="K2077" s="46" t="n">
        <v>2076</v>
      </c>
      <c r="L2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8">
      <c r="A2078" s="229" t="n">
        <v>46185</v>
      </c>
      <c r="B2078" s="46" t="inlineStr">
        <is>
          <t>정기검사</t>
        </is>
      </c>
      <c r="C2078" s="46" t="inlineStr">
        <is>
          <t>부천지역</t>
        </is>
      </c>
      <c r="D2078" s="46" t="inlineStr">
        <is>
          <t>참맛푸드</t>
        </is>
      </c>
      <c r="E2078" s="46" t="n">
        <v>500</v>
      </c>
      <c r="F2078" s="46" t="inlineStr">
        <is>
          <t>내동</t>
        </is>
      </c>
      <c r="G2078" s="50" t="n">
        <v>0.6041666666666666</v>
      </c>
      <c r="H2078" s="51" t="n">
        <v>737000</v>
      </c>
      <c r="I2078" s="46" t="inlineStr">
        <is>
          <t>허창수</t>
        </is>
      </c>
      <c r="K2078" s="46" t="n">
        <v>2077</v>
      </c>
      <c r="L2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9">
      <c r="A2079" s="229" t="n">
        <v>46185</v>
      </c>
      <c r="B2079" s="46" t="inlineStr">
        <is>
          <t>정기검사</t>
        </is>
      </c>
      <c r="C2079" s="46" t="inlineStr">
        <is>
          <t>부천지역</t>
        </is>
      </c>
      <c r="D2079" s="46" t="inlineStr">
        <is>
          <t>소일초</t>
        </is>
      </c>
      <c r="E2079" s="46" t="n">
        <v>500</v>
      </c>
      <c r="F2079" s="46" t="inlineStr">
        <is>
          <t>소사본동</t>
        </is>
      </c>
      <c r="G2079" s="50" t="n">
        <v>0.6458333333333334</v>
      </c>
      <c r="H2079" s="51" t="n">
        <v>737000</v>
      </c>
      <c r="I2079" s="46" t="inlineStr">
        <is>
          <t>이종석</t>
        </is>
      </c>
      <c r="K2079" s="46" t="n">
        <v>2078</v>
      </c>
      <c r="L2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0">
      <c r="A2080" s="229" t="n">
        <v>46185</v>
      </c>
      <c r="B2080" s="46" t="inlineStr">
        <is>
          <t>정기검사</t>
        </is>
      </c>
      <c r="C2080" s="46" t="inlineStr">
        <is>
          <t>김포지역</t>
        </is>
      </c>
      <c r="D2080" s="46" t="inlineStr">
        <is>
          <t>신동아아파트</t>
        </is>
      </c>
      <c r="E2080" s="46" t="inlineStr">
        <is>
          <t>전기차</t>
        </is>
      </c>
      <c r="F2080" s="46" t="inlineStr">
        <is>
          <t>유현리</t>
        </is>
      </c>
      <c r="G2080" s="50" t="n">
        <v>0.4375</v>
      </c>
      <c r="H2080" s="51" t="n">
        <v>318340</v>
      </c>
      <c r="I2080" s="46" t="inlineStr">
        <is>
          <t>송두기</t>
        </is>
      </c>
      <c r="K2080" s="46" t="n">
        <v>2079</v>
      </c>
      <c r="L2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1">
      <c r="A2081" s="229" t="n">
        <v>46185</v>
      </c>
      <c r="B2081" s="46" t="inlineStr">
        <is>
          <t>정기검사</t>
        </is>
      </c>
      <c r="C2081" s="46" t="inlineStr">
        <is>
          <t>김포지역</t>
        </is>
      </c>
      <c r="D2081" s="46" t="inlineStr">
        <is>
          <t>유현마을신동아</t>
        </is>
      </c>
      <c r="E2081" s="46" t="inlineStr">
        <is>
          <t>3600/720</t>
        </is>
      </c>
      <c r="F2081" s="46" t="inlineStr">
        <is>
          <t>유현리</t>
        </is>
      </c>
      <c r="G2081" s="50" t="n">
        <v>0.4375</v>
      </c>
      <c r="H2081" s="51" t="n">
        <v>1595110</v>
      </c>
      <c r="I2081" s="46" t="inlineStr">
        <is>
          <t>송두기</t>
        </is>
      </c>
      <c r="K2081" s="46" t="n">
        <v>2080</v>
      </c>
      <c r="L2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2">
      <c r="A2082" s="229" t="n">
        <v>46185</v>
      </c>
      <c r="B2082" s="46" t="inlineStr">
        <is>
          <t>정기검사</t>
        </is>
      </c>
      <c r="C2082" s="46" t="inlineStr">
        <is>
          <t>김포지역</t>
        </is>
      </c>
      <c r="D2082" s="46" t="inlineStr">
        <is>
          <t>유진엔텍</t>
        </is>
      </c>
      <c r="E2082" s="46" t="n">
        <v>250</v>
      </c>
      <c r="F2082" s="46" t="inlineStr">
        <is>
          <t>원산리</t>
        </is>
      </c>
      <c r="G2082" s="50" t="n">
        <v>0.4791666666666667</v>
      </c>
      <c r="H2082" s="51" t="n">
        <v>489170</v>
      </c>
      <c r="I2082" s="46" t="inlineStr">
        <is>
          <t>송낙명</t>
        </is>
      </c>
      <c r="K2082" s="46" t="n">
        <v>2081</v>
      </c>
      <c r="L2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3">
      <c r="A2083" s="229" t="n">
        <v>46185</v>
      </c>
      <c r="B2083" s="46" t="inlineStr">
        <is>
          <t>정기검사</t>
        </is>
      </c>
      <c r="C2083" s="46" t="inlineStr">
        <is>
          <t>김포지역</t>
        </is>
      </c>
      <c r="D2083" s="46" t="inlineStr">
        <is>
          <t>신성컴퍼니</t>
        </is>
      </c>
      <c r="E2083" s="46" t="n">
        <v>290</v>
      </c>
      <c r="F2083" s="46" t="inlineStr">
        <is>
          <t>대벽리</t>
        </is>
      </c>
      <c r="G2083" s="50" t="n">
        <v>0.5</v>
      </c>
      <c r="H2083" s="51" t="n">
        <v>515130</v>
      </c>
      <c r="I2083" s="46" t="inlineStr">
        <is>
          <t>정성관</t>
        </is>
      </c>
      <c r="K2083" s="46" t="n">
        <v>2082</v>
      </c>
      <c r="L2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4">
      <c r="A2084" s="229" t="n">
        <v>46185</v>
      </c>
      <c r="B2084" s="46" t="inlineStr">
        <is>
          <t>정기검사</t>
        </is>
      </c>
      <c r="C2084" s="46" t="inlineStr">
        <is>
          <t>김포지역</t>
        </is>
      </c>
      <c r="D2084" s="46" t="inlineStr">
        <is>
          <t>미드</t>
        </is>
      </c>
      <c r="E2084" s="46" t="n">
        <v>200</v>
      </c>
      <c r="F2084" s="46" t="inlineStr">
        <is>
          <t>대능리</t>
        </is>
      </c>
      <c r="G2084" s="50" t="n">
        <v>0.4583333333333333</v>
      </c>
      <c r="H2084" s="51" t="n">
        <v>456720</v>
      </c>
      <c r="I2084" s="46" t="inlineStr">
        <is>
          <t>정신배</t>
        </is>
      </c>
      <c r="K2084" s="46" t="n">
        <v>2083</v>
      </c>
      <c r="L2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5">
      <c r="A2085" s="229" t="n">
        <v>46185</v>
      </c>
      <c r="B2085" s="46" t="inlineStr">
        <is>
          <t>정기검사</t>
        </is>
      </c>
      <c r="C2085" s="46" t="inlineStr">
        <is>
          <t>김포지역</t>
        </is>
      </c>
      <c r="D2085" s="46" t="inlineStr">
        <is>
          <t>정원랜드</t>
        </is>
      </c>
      <c r="E2085" s="46" t="n">
        <v>290</v>
      </c>
      <c r="F2085" s="46" t="inlineStr">
        <is>
          <t>거물대리</t>
        </is>
      </c>
      <c r="G2085" s="50" t="n">
        <v>0.4166666666666667</v>
      </c>
      <c r="H2085" s="51" t="n">
        <v>515130</v>
      </c>
      <c r="I2085" s="46" t="inlineStr">
        <is>
          <t>서수형</t>
        </is>
      </c>
      <c r="K2085" s="46" t="n">
        <v>2084</v>
      </c>
      <c r="L2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6">
      <c r="A2086" s="229" t="n">
        <v>46185</v>
      </c>
      <c r="B2086" s="46" t="inlineStr">
        <is>
          <t>정기검사</t>
        </is>
      </c>
      <c r="C2086" s="46" t="inlineStr">
        <is>
          <t>김포지역</t>
        </is>
      </c>
      <c r="D2086" s="46" t="inlineStr">
        <is>
          <t>신세기</t>
        </is>
      </c>
      <c r="E2086" s="46" t="inlineStr">
        <is>
          <t>전기차</t>
        </is>
      </c>
      <c r="F2086" s="46" t="inlineStr">
        <is>
          <t>구래동</t>
        </is>
      </c>
      <c r="G2086" s="50" t="n">
        <v>0.4791666666666667</v>
      </c>
      <c r="H2086" s="51" t="n">
        <v>98120</v>
      </c>
      <c r="I2086" s="46" t="inlineStr">
        <is>
          <t>당효진</t>
        </is>
      </c>
      <c r="K2086" s="46" t="n">
        <v>2085</v>
      </c>
      <c r="L2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7">
      <c r="A2087" s="229" t="n">
        <v>46185</v>
      </c>
      <c r="B2087" s="46" t="inlineStr">
        <is>
          <t>정기검사</t>
        </is>
      </c>
      <c r="C2087" s="46" t="inlineStr">
        <is>
          <t>김포지역</t>
        </is>
      </c>
      <c r="D2087" s="46" t="inlineStr">
        <is>
          <t>통진충전소</t>
        </is>
      </c>
      <c r="E2087" s="46" t="n">
        <v>27</v>
      </c>
      <c r="F2087" s="46" t="inlineStr">
        <is>
          <t>도사리</t>
        </is>
      </c>
      <c r="G2087" s="50" t="n">
        <v>0.4583333333333333</v>
      </c>
      <c r="H2087" s="51" t="n">
        <v>144540</v>
      </c>
      <c r="I2087" s="46" t="inlineStr">
        <is>
          <t>송낙명</t>
        </is>
      </c>
      <c r="K2087" s="46" t="n">
        <v>2086</v>
      </c>
      <c r="L2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8">
      <c r="A2088" s="229" t="n">
        <v>46185</v>
      </c>
      <c r="B2088" s="46" t="inlineStr">
        <is>
          <t>사용전검사</t>
        </is>
      </c>
      <c r="C2088" s="46" t="inlineStr">
        <is>
          <t>부천지역</t>
        </is>
      </c>
      <c r="D2088" s="46" t="inlineStr">
        <is>
          <t>한국수자원공사</t>
        </is>
      </c>
      <c r="E2088" s="46" t="n">
        <v>200</v>
      </c>
      <c r="F2088" s="46" t="inlineStr">
        <is>
          <t>오정동</t>
        </is>
      </c>
      <c r="G2088" s="50" t="n"/>
      <c r="H2088" s="51" t="n"/>
      <c r="I2088" s="46" t="inlineStr">
        <is>
          <t>허창수</t>
        </is>
      </c>
      <c r="K2088" s="46" t="n">
        <v>2087</v>
      </c>
      <c r="L2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9">
      <c r="A2089" s="229" t="n">
        <v>46185</v>
      </c>
      <c r="B2089" s="46" t="inlineStr">
        <is>
          <t>메모</t>
        </is>
      </c>
      <c r="C2089" s="46" t="inlineStr">
        <is>
          <t>부천지역</t>
        </is>
      </c>
      <c r="D2089" s="46" t="inlineStr">
        <is>
          <t>이덕기오후반차</t>
        </is>
      </c>
      <c r="E2089" s="46" t="n"/>
      <c r="F2089" s="46" t="n"/>
      <c r="G2089" s="50" t="n"/>
      <c r="H2089" s="51" t="n"/>
      <c r="I2089" s="46" t="n"/>
      <c r="K2089" s="46" t="n">
        <v>2088</v>
      </c>
      <c r="L2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0">
      <c r="A2090" s="229" t="n">
        <v>46185</v>
      </c>
      <c r="B2090" s="46" t="inlineStr">
        <is>
          <t>메모</t>
        </is>
      </c>
      <c r="C2090" s="46" t="inlineStr">
        <is>
          <t>부천지역</t>
        </is>
      </c>
      <c r="D2090" s="46" t="inlineStr">
        <is>
          <t>민경수건강휴가</t>
        </is>
      </c>
      <c r="E2090" s="46" t="n"/>
      <c r="F2090" s="46" t="n"/>
      <c r="G2090" s="50" t="n"/>
      <c r="H2090" s="51" t="n"/>
      <c r="I2090" s="46" t="n"/>
      <c r="K2090" s="46" t="n">
        <v>2089</v>
      </c>
      <c r="L2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1">
      <c r="A2091" s="229" t="n">
        <v>46185</v>
      </c>
      <c r="B2091" s="46" t="inlineStr">
        <is>
          <t>사용전검사</t>
        </is>
      </c>
      <c r="C2091" s="46" t="inlineStr">
        <is>
          <t>김포지역</t>
        </is>
      </c>
      <c r="D2091" s="46" t="inlineStr">
        <is>
          <t>성신태양광</t>
        </is>
      </c>
      <c r="E2091" s="46" t="n">
        <v>180</v>
      </c>
      <c r="F2091" s="46" t="inlineStr">
        <is>
          <t>학운리</t>
        </is>
      </c>
      <c r="G2091" s="50" t="n"/>
      <c r="H2091" s="51" t="n"/>
      <c r="I2091" s="46" t="inlineStr">
        <is>
          <t>김영권</t>
        </is>
      </c>
      <c r="K2091" s="46" t="n">
        <v>2090</v>
      </c>
      <c r="L2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2">
      <c r="A2092" s="229" t="n">
        <v>46185</v>
      </c>
      <c r="B2092" s="46" t="inlineStr">
        <is>
          <t>사용전검사</t>
        </is>
      </c>
      <c r="C2092" s="46" t="inlineStr">
        <is>
          <t>김포지역</t>
        </is>
      </c>
      <c r="D2092" s="46" t="inlineStr">
        <is>
          <t>ms태양광</t>
        </is>
      </c>
      <c r="E2092" s="46" t="n">
        <v>148</v>
      </c>
      <c r="F2092" s="46" t="inlineStr">
        <is>
          <t>가현리</t>
        </is>
      </c>
      <c r="G2092" s="50" t="n"/>
      <c r="H2092" s="51" t="n"/>
      <c r="I2092" s="46" t="inlineStr">
        <is>
          <t>민재홍</t>
        </is>
      </c>
      <c r="K2092" s="46" t="n">
        <v>2091</v>
      </c>
      <c r="L2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3">
      <c r="A2093" s="229" t="n">
        <v>46186</v>
      </c>
      <c r="B2093" s="46" t="inlineStr">
        <is>
          <t>정기검사</t>
        </is>
      </c>
      <c r="C2093" s="46" t="inlineStr">
        <is>
          <t>부천지역</t>
        </is>
      </c>
      <c r="D2093" s="46" t="inlineStr">
        <is>
          <t>소사본동행정</t>
        </is>
      </c>
      <c r="E2093" s="46" t="inlineStr">
        <is>
          <t>200/105</t>
        </is>
      </c>
      <c r="F2093" s="46" t="inlineStr">
        <is>
          <t>소사본동</t>
        </is>
      </c>
      <c r="G2093" s="50" t="n">
        <v>0.3958333333333333</v>
      </c>
      <c r="H2093" s="51" t="n">
        <v>811690</v>
      </c>
      <c r="I2093" s="46" t="inlineStr">
        <is>
          <t>민경수</t>
        </is>
      </c>
      <c r="K2093" s="46" t="n">
        <v>2092</v>
      </c>
      <c r="L2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4">
      <c r="A2094" s="229" t="n">
        <v>46186</v>
      </c>
      <c r="B2094" s="46" t="inlineStr">
        <is>
          <t>정기검사</t>
        </is>
      </c>
      <c r="C2094" s="46" t="inlineStr">
        <is>
          <t>부천지역</t>
        </is>
      </c>
      <c r="D2094" s="46" t="inlineStr">
        <is>
          <t>일우정밀</t>
        </is>
      </c>
      <c r="E2094" s="46" t="n">
        <v>990</v>
      </c>
      <c r="F2094" s="46" t="inlineStr">
        <is>
          <t>오정동</t>
        </is>
      </c>
      <c r="G2094" s="50" t="n">
        <v>0.3541666666666667</v>
      </c>
      <c r="H2094" s="51" t="n">
        <v>1173810</v>
      </c>
      <c r="I2094" s="46" t="inlineStr">
        <is>
          <t>이덕기</t>
        </is>
      </c>
      <c r="K2094" s="46" t="n">
        <v>2093</v>
      </c>
      <c r="L2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5">
      <c r="A2095" s="229" t="n">
        <v>46186</v>
      </c>
      <c r="B2095" s="46" t="inlineStr">
        <is>
          <t>정기검사</t>
        </is>
      </c>
      <c r="C2095" s="46" t="inlineStr">
        <is>
          <t>부천지역</t>
        </is>
      </c>
      <c r="D2095" s="46" t="inlineStr">
        <is>
          <t>이완재</t>
        </is>
      </c>
      <c r="E2095" s="46" t="n">
        <v>600</v>
      </c>
      <c r="F2095" s="46" t="inlineStr">
        <is>
          <t>내동</t>
        </is>
      </c>
      <c r="G2095" s="50" t="n">
        <v>0.3958333333333333</v>
      </c>
      <c r="H2095" s="51" t="n">
        <v>1002100</v>
      </c>
      <c r="I2095" s="46" t="inlineStr">
        <is>
          <t>이덕기</t>
        </is>
      </c>
      <c r="K2095" s="46" t="n">
        <v>2094</v>
      </c>
      <c r="L2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6">
      <c r="A2096" s="229" t="n">
        <v>46186</v>
      </c>
      <c r="B2096" s="46" t="inlineStr">
        <is>
          <t>정기검사</t>
        </is>
      </c>
      <c r="C2096" s="46" t="inlineStr">
        <is>
          <t>부천지역</t>
        </is>
      </c>
      <c r="D2096" s="46" t="inlineStr">
        <is>
          <t>월드프라자</t>
        </is>
      </c>
      <c r="E2096" s="46" t="inlineStr">
        <is>
          <t>800/114</t>
        </is>
      </c>
      <c r="F2096" s="46" t="inlineStr">
        <is>
          <t>중동</t>
        </is>
      </c>
      <c r="G2096" s="50" t="n">
        <v>0.3958333333333333</v>
      </c>
      <c r="H2096" s="51" t="n">
        <v>1131640</v>
      </c>
      <c r="I2096" s="46" t="inlineStr">
        <is>
          <t>당효진</t>
        </is>
      </c>
      <c r="K2096" s="46" t="n">
        <v>2095</v>
      </c>
      <c r="L2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7">
      <c r="A2097" s="229" t="n">
        <v>46186</v>
      </c>
      <c r="B2097" s="46" t="inlineStr">
        <is>
          <t>정기검사</t>
        </is>
      </c>
      <c r="C2097" s="46" t="inlineStr">
        <is>
          <t>부천지역</t>
        </is>
      </c>
      <c r="D2097" s="46" t="inlineStr">
        <is>
          <t>부천서초</t>
        </is>
      </c>
      <c r="E2097" s="46" t="n">
        <v>500</v>
      </c>
      <c r="F2097" s="46" t="inlineStr">
        <is>
          <t>도당동</t>
        </is>
      </c>
      <c r="G2097" s="50" t="n">
        <v>0.5416666666666666</v>
      </c>
      <c r="H2097" s="51" t="n">
        <v>958100</v>
      </c>
      <c r="I2097" s="46" t="inlineStr">
        <is>
          <t>서수형</t>
        </is>
      </c>
      <c r="K2097" s="46" t="n">
        <v>2096</v>
      </c>
      <c r="L2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8">
      <c r="A2098" s="229" t="n">
        <v>46186</v>
      </c>
      <c r="B2098" s="46" t="inlineStr">
        <is>
          <t>정기검사</t>
        </is>
      </c>
      <c r="C2098" s="46" t="inlineStr">
        <is>
          <t>부천지역</t>
        </is>
      </c>
      <c r="D2098" s="46" t="inlineStr">
        <is>
          <t>일우정밀</t>
        </is>
      </c>
      <c r="E2098" s="46" t="inlineStr">
        <is>
          <t>전기차</t>
        </is>
      </c>
      <c r="F2098" s="46" t="inlineStr">
        <is>
          <t>오정동</t>
        </is>
      </c>
      <c r="G2098" s="50" t="n">
        <v>0.4791666666666667</v>
      </c>
      <c r="H2098" s="51" t="n">
        <v>64240</v>
      </c>
      <c r="I2098" s="46" t="inlineStr">
        <is>
          <t>이덕기</t>
        </is>
      </c>
      <c r="K2098" s="46" t="n">
        <v>2097</v>
      </c>
      <c r="L2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9">
      <c r="A2099" s="229" t="n">
        <v>46186</v>
      </c>
      <c r="B2099" s="46" t="inlineStr">
        <is>
          <t>정기검사</t>
        </is>
      </c>
      <c r="C2099" s="46" t="inlineStr">
        <is>
          <t>부천지역</t>
        </is>
      </c>
      <c r="D2099" s="46" t="inlineStr">
        <is>
          <t>부원광학</t>
        </is>
      </c>
      <c r="E2099" s="46" t="n">
        <v>900</v>
      </c>
      <c r="F2099" s="46" t="inlineStr">
        <is>
          <t>도당동</t>
        </is>
      </c>
      <c r="G2099" s="50" t="n">
        <v>0.2916666666666667</v>
      </c>
      <c r="H2099" s="51" t="n">
        <v>1134210</v>
      </c>
      <c r="I2099" s="46" t="inlineStr">
        <is>
          <t>허창수</t>
        </is>
      </c>
      <c r="K2099" s="46" t="n">
        <v>2098</v>
      </c>
      <c r="L2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0">
      <c r="A2100" s="229" t="n">
        <v>46186</v>
      </c>
      <c r="B2100" s="46" t="inlineStr">
        <is>
          <t>정기검사</t>
        </is>
      </c>
      <c r="C2100" s="46" t="inlineStr">
        <is>
          <t>부천지역</t>
        </is>
      </c>
      <c r="D2100" s="46" t="inlineStr">
        <is>
          <t>소사구청</t>
        </is>
      </c>
      <c r="E2100" s="46" t="inlineStr">
        <is>
          <t>1200/400</t>
        </is>
      </c>
      <c r="F2100" s="46" t="inlineStr">
        <is>
          <t>소사본동</t>
        </is>
      </c>
      <c r="G2100" s="50" t="n">
        <v>0.3958333333333333</v>
      </c>
      <c r="H2100" s="51" t="n">
        <v>1384300</v>
      </c>
      <c r="I2100" s="46" t="inlineStr">
        <is>
          <t>허창수</t>
        </is>
      </c>
      <c r="K2100" s="46" t="n">
        <v>2099</v>
      </c>
      <c r="L2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1">
      <c r="A2101" s="229" t="n">
        <v>46186</v>
      </c>
      <c r="B2101" s="46" t="inlineStr">
        <is>
          <t>정기검사</t>
        </is>
      </c>
      <c r="C2101" s="46" t="inlineStr">
        <is>
          <t>김포지역</t>
        </is>
      </c>
      <c r="D2101" s="46" t="inlineStr">
        <is>
          <t>태창물산</t>
        </is>
      </c>
      <c r="E2101" s="46" t="n">
        <v>250</v>
      </c>
      <c r="F2101" s="46" t="inlineStr">
        <is>
          <t>고양리</t>
        </is>
      </c>
      <c r="G2101" s="50" t="n">
        <v>0.4166666666666667</v>
      </c>
      <c r="H2101" s="51" t="n">
        <v>635910</v>
      </c>
      <c r="I2101" s="46" t="inlineStr">
        <is>
          <t>허창수</t>
        </is>
      </c>
      <c r="K2101" s="46" t="n">
        <v>2100</v>
      </c>
      <c r="L2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2">
      <c r="A2102" s="229" t="n">
        <v>46186</v>
      </c>
      <c r="B2102" s="46" t="inlineStr">
        <is>
          <t>정기검사</t>
        </is>
      </c>
      <c r="C2102" s="46" t="inlineStr">
        <is>
          <t>김포지역</t>
        </is>
      </c>
      <c r="D2102" s="46" t="inlineStr">
        <is>
          <t>대영용기</t>
        </is>
      </c>
      <c r="E2102" s="46" t="n">
        <v>600</v>
      </c>
      <c r="F2102" s="46" t="inlineStr">
        <is>
          <t>가현리</t>
        </is>
      </c>
      <c r="G2102" s="50" t="n">
        <v>0.6041666666666666</v>
      </c>
      <c r="H2102" s="51" t="n">
        <v>1002100</v>
      </c>
      <c r="I2102" s="46" t="inlineStr">
        <is>
          <t>허창수</t>
        </is>
      </c>
      <c r="K2102" s="46" t="n">
        <v>2101</v>
      </c>
      <c r="L2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3">
      <c r="A2103" s="229" t="n">
        <v>46186</v>
      </c>
      <c r="B2103" s="46" t="inlineStr">
        <is>
          <t>정기검사</t>
        </is>
      </c>
      <c r="C2103" s="46" t="inlineStr">
        <is>
          <t>김포지역</t>
        </is>
      </c>
      <c r="D2103" s="46" t="inlineStr">
        <is>
          <t>네오캠코리아</t>
        </is>
      </c>
      <c r="E2103" s="46" t="n">
        <v>300</v>
      </c>
      <c r="F2103" s="46" t="inlineStr">
        <is>
          <t>대포리</t>
        </is>
      </c>
      <c r="G2103" s="50" t="n">
        <v>0.375</v>
      </c>
      <c r="H2103" s="51" t="n">
        <v>678150</v>
      </c>
      <c r="I2103" s="46" t="inlineStr">
        <is>
          <t>송두기</t>
        </is>
      </c>
      <c r="K2103" s="46" t="n">
        <v>2102</v>
      </c>
      <c r="L2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4">
      <c r="A2104" s="229" t="n">
        <v>46186</v>
      </c>
      <c r="B2104" s="46" t="inlineStr">
        <is>
          <t>정기검사</t>
        </is>
      </c>
      <c r="C2104" s="46" t="inlineStr">
        <is>
          <t>김포지역</t>
        </is>
      </c>
      <c r="D2104" s="46" t="inlineStr">
        <is>
          <t>명성실리콘</t>
        </is>
      </c>
      <c r="E2104" s="46" t="n">
        <v>120</v>
      </c>
      <c r="F2104" s="46" t="inlineStr">
        <is>
          <t>누산리</t>
        </is>
      </c>
      <c r="G2104" s="50" t="n">
        <v>0.4166666666666667</v>
      </c>
      <c r="H2104" s="51" t="n">
        <v>268510</v>
      </c>
      <c r="I2104" s="46" t="inlineStr">
        <is>
          <t>송두기</t>
        </is>
      </c>
      <c r="K2104" s="46" t="n">
        <v>2103</v>
      </c>
      <c r="L2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5">
      <c r="A2105" s="229" t="n">
        <v>46186</v>
      </c>
      <c r="B2105" s="46" t="inlineStr">
        <is>
          <t>사용전검사</t>
        </is>
      </c>
      <c r="C2105" s="46" t="inlineStr">
        <is>
          <t>부천지역</t>
        </is>
      </c>
      <c r="D2105" s="46" t="inlineStr">
        <is>
          <t>세흥텍</t>
        </is>
      </c>
      <c r="E2105" s="46" t="n">
        <v>100</v>
      </c>
      <c r="F2105" s="46" t="inlineStr">
        <is>
          <t>삼정동</t>
        </is>
      </c>
      <c r="G2105" s="50" t="n"/>
      <c r="H2105" s="51" t="n"/>
      <c r="I2105" s="46" t="inlineStr">
        <is>
          <t>서수형</t>
        </is>
      </c>
      <c r="K2105" s="46" t="n">
        <v>2104</v>
      </c>
      <c r="L2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6">
      <c r="A2106" s="229" t="n">
        <v>46186</v>
      </c>
      <c r="B2106" s="46" t="inlineStr">
        <is>
          <t>메모</t>
        </is>
      </c>
      <c r="C2106" s="46" t="inlineStr">
        <is>
          <t>부천지역</t>
        </is>
      </c>
      <c r="D2106" s="46" t="inlineStr">
        <is>
          <t>민재홍휴가</t>
        </is>
      </c>
      <c r="E2106" s="46" t="n"/>
      <c r="F2106" s="46" t="n"/>
      <c r="G2106" s="50" t="n"/>
      <c r="H2106" s="51" t="n"/>
      <c r="I2106" s="46" t="n"/>
      <c r="K2106" s="46" t="n">
        <v>2105</v>
      </c>
      <c r="L2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7">
      <c r="A2107" s="229" t="n">
        <v>46186</v>
      </c>
      <c r="B2107" s="46" t="inlineStr">
        <is>
          <t>사용전검사</t>
        </is>
      </c>
      <c r="C2107" s="46" t="inlineStr">
        <is>
          <t>김포지역</t>
        </is>
      </c>
      <c r="D2107" s="46" t="inlineStr">
        <is>
          <t>한울종합식품</t>
        </is>
      </c>
      <c r="E2107" s="46" t="n">
        <v>800</v>
      </c>
      <c r="F2107" s="46" t="inlineStr">
        <is>
          <t>누산리</t>
        </is>
      </c>
      <c r="G2107" s="50" t="n"/>
      <c r="H2107" s="51" t="n"/>
      <c r="I2107" s="46" t="inlineStr">
        <is>
          <t>정신배</t>
        </is>
      </c>
      <c r="K2107" s="46" t="n">
        <v>2106</v>
      </c>
      <c r="L2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8">
      <c r="A2108" s="229" t="n">
        <v>46188</v>
      </c>
      <c r="B2108" s="46" t="inlineStr">
        <is>
          <t>정기검사</t>
        </is>
      </c>
      <c r="C2108" s="46" t="inlineStr">
        <is>
          <t>부천지역</t>
        </is>
      </c>
      <c r="D2108" s="46" t="inlineStr">
        <is>
          <t>삼양이엠</t>
        </is>
      </c>
      <c r="E2108" s="46" t="n">
        <v>900</v>
      </c>
      <c r="F2108" s="46" t="inlineStr">
        <is>
          <t>춘의동</t>
        </is>
      </c>
      <c r="G2108" s="50" t="n">
        <v>0.5416666666666666</v>
      </c>
      <c r="H2108" s="51" t="n">
        <v>872520</v>
      </c>
      <c r="I2108" s="46" t="inlineStr">
        <is>
          <t>허창수</t>
        </is>
      </c>
      <c r="K2108" s="46" t="n">
        <v>2107</v>
      </c>
      <c r="L2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9">
      <c r="A2109" s="229" t="n">
        <v>46188</v>
      </c>
      <c r="B2109" s="46" t="inlineStr">
        <is>
          <t>정기검사</t>
        </is>
      </c>
      <c r="C2109" s="46" t="inlineStr">
        <is>
          <t>부천지역</t>
        </is>
      </c>
      <c r="D2109" s="46" t="inlineStr">
        <is>
          <t>역곡보람쉬움아파트</t>
        </is>
      </c>
      <c r="E2109" s="46" t="inlineStr">
        <is>
          <t>400/170</t>
        </is>
      </c>
      <c r="F2109" s="46" t="inlineStr">
        <is>
          <t>역곡동</t>
        </is>
      </c>
      <c r="G2109" s="50" t="n">
        <v>0.4375</v>
      </c>
      <c r="H2109" s="51" t="n">
        <v>890010</v>
      </c>
      <c r="I2109" s="46" t="inlineStr">
        <is>
          <t>이종석</t>
        </is>
      </c>
      <c r="K2109" s="46" t="n">
        <v>2108</v>
      </c>
      <c r="L2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0">
      <c r="A2110" s="229" t="n">
        <v>46188</v>
      </c>
      <c r="B2110" s="46" t="inlineStr">
        <is>
          <t>정기검사</t>
        </is>
      </c>
      <c r="C2110" s="46" t="inlineStr">
        <is>
          <t>부천지역</t>
        </is>
      </c>
      <c r="D2110" s="46" t="inlineStr">
        <is>
          <t>비씨워터젯</t>
        </is>
      </c>
      <c r="E2110" s="46" t="n">
        <v>480</v>
      </c>
      <c r="F2110" s="46" t="inlineStr">
        <is>
          <t>오정동</t>
        </is>
      </c>
      <c r="G2110" s="50" t="n">
        <v>0.3958333333333333</v>
      </c>
      <c r="H2110" s="51" t="n">
        <v>730180</v>
      </c>
      <c r="I2110" s="46" t="inlineStr">
        <is>
          <t>민재홍</t>
        </is>
      </c>
      <c r="K2110" s="46" t="n">
        <v>2109</v>
      </c>
      <c r="L2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1">
      <c r="A2111" s="229" t="n">
        <v>46188</v>
      </c>
      <c r="B2111" s="46" t="inlineStr">
        <is>
          <t>정기검사</t>
        </is>
      </c>
      <c r="C2111" s="46" t="inlineStr">
        <is>
          <t>부천지역</t>
        </is>
      </c>
      <c r="D2111" s="46" t="inlineStr">
        <is>
          <t>스타렐리움</t>
        </is>
      </c>
      <c r="E2111" s="46" t="inlineStr">
        <is>
          <t>600/364</t>
        </is>
      </c>
      <c r="F2111" s="46" t="inlineStr">
        <is>
          <t>중동</t>
        </is>
      </c>
      <c r="G2111" s="50" t="n">
        <v>0.3958333333333333</v>
      </c>
      <c r="H2111" s="51" t="n">
        <v>998800</v>
      </c>
      <c r="I2111" s="46" t="inlineStr">
        <is>
          <t>정성관</t>
        </is>
      </c>
      <c r="K2111" s="46" t="n">
        <v>2110</v>
      </c>
      <c r="L2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2">
      <c r="A2112" s="229" t="n">
        <v>46188</v>
      </c>
      <c r="B2112" s="46" t="inlineStr">
        <is>
          <t>정기검사</t>
        </is>
      </c>
      <c r="C2112" s="46" t="inlineStr">
        <is>
          <t>부천지역</t>
        </is>
      </c>
      <c r="D2112" s="46" t="inlineStr">
        <is>
          <t>두성기계연구</t>
        </is>
      </c>
      <c r="E2112" s="46" t="n">
        <v>250</v>
      </c>
      <c r="F2112" s="46" t="inlineStr">
        <is>
          <t>도당동</t>
        </is>
      </c>
      <c r="G2112" s="50" t="n">
        <v>0.5</v>
      </c>
      <c r="H2112" s="51" t="n">
        <v>489170</v>
      </c>
      <c r="I2112" s="46" t="inlineStr">
        <is>
          <t>송낙명</t>
        </is>
      </c>
      <c r="K2112" s="46" t="n">
        <v>2111</v>
      </c>
      <c r="L2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3">
      <c r="A2113" s="229" t="n">
        <v>46188</v>
      </c>
      <c r="B2113" s="46" t="inlineStr">
        <is>
          <t>정기검사</t>
        </is>
      </c>
      <c r="C2113" s="46" t="inlineStr">
        <is>
          <t>부천지역</t>
        </is>
      </c>
      <c r="D2113" s="46" t="inlineStr">
        <is>
          <t>동영화학</t>
        </is>
      </c>
      <c r="E2113" s="46" t="n">
        <v>500</v>
      </c>
      <c r="F2113" s="46" t="inlineStr">
        <is>
          <t>도당동</t>
        </is>
      </c>
      <c r="G2113" s="50" t="n">
        <v>0.5</v>
      </c>
      <c r="H2113" s="51" t="n">
        <v>737000</v>
      </c>
      <c r="I2113" s="46" t="inlineStr">
        <is>
          <t>민경수</t>
        </is>
      </c>
      <c r="K2113" s="46" t="n">
        <v>2112</v>
      </c>
      <c r="L2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4">
      <c r="A2114" s="229" t="n">
        <v>46188</v>
      </c>
      <c r="B2114" s="46" t="inlineStr">
        <is>
          <t>정기검사</t>
        </is>
      </c>
      <c r="C2114" s="46" t="inlineStr">
        <is>
          <t>김포지역</t>
        </is>
      </c>
      <c r="D2114" s="46" t="inlineStr">
        <is>
          <t>E현한세상태널시티</t>
        </is>
      </c>
      <c r="E2114" s="46" t="inlineStr">
        <is>
          <t>2400/682</t>
        </is>
      </c>
      <c r="F2114" s="46" t="inlineStr">
        <is>
          <t>장기동</t>
        </is>
      </c>
      <c r="G2114" s="50" t="n">
        <v>0.4166666666666667</v>
      </c>
      <c r="H2114" s="51" t="n">
        <v>1412400</v>
      </c>
      <c r="I2114" s="46" t="inlineStr">
        <is>
          <t>한태희</t>
        </is>
      </c>
      <c r="K2114" s="46" t="n">
        <v>2113</v>
      </c>
      <c r="L2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5">
      <c r="A2115" s="229" t="n">
        <v>46188</v>
      </c>
      <c r="B2115" s="46" t="inlineStr">
        <is>
          <t>정기검사</t>
        </is>
      </c>
      <c r="C2115" s="46" t="inlineStr">
        <is>
          <t>김포지역</t>
        </is>
      </c>
      <c r="D2115" s="46" t="inlineStr">
        <is>
          <t>미담</t>
        </is>
      </c>
      <c r="E2115" s="46" t="n">
        <v>200</v>
      </c>
      <c r="F2115" s="46" t="inlineStr">
        <is>
          <t>옹정리</t>
        </is>
      </c>
      <c r="G2115" s="50" t="n">
        <v>0.4375</v>
      </c>
      <c r="H2115" s="51" t="n">
        <v>456720</v>
      </c>
      <c r="I2115" s="46" t="inlineStr">
        <is>
          <t>김영권</t>
        </is>
      </c>
      <c r="K2115" s="46" t="n">
        <v>2114</v>
      </c>
      <c r="L2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6">
      <c r="A2116" s="229" t="n">
        <v>46188</v>
      </c>
      <c r="B2116" s="46" t="inlineStr">
        <is>
          <t>정기검사</t>
        </is>
      </c>
      <c r="C2116" s="46" t="inlineStr">
        <is>
          <t>김포지역</t>
        </is>
      </c>
      <c r="D2116" s="46" t="inlineStr">
        <is>
          <t>대재테크-오민석</t>
        </is>
      </c>
      <c r="E2116" s="46" t="n">
        <v>250</v>
      </c>
      <c r="F2116" s="46" t="inlineStr">
        <is>
          <t>상마리</t>
        </is>
      </c>
      <c r="G2116" s="50" t="inlineStr">
        <is>
          <t>오후</t>
        </is>
      </c>
      <c r="H2116" s="51" t="n">
        <v>489170</v>
      </c>
      <c r="I2116" s="46" t="inlineStr">
        <is>
          <t>서수형</t>
        </is>
      </c>
      <c r="K2116" s="46" t="n">
        <v>2115</v>
      </c>
      <c r="L2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7">
      <c r="A2117" s="229" t="n">
        <v>46188</v>
      </c>
      <c r="B2117" s="46" t="inlineStr">
        <is>
          <t>정기검사</t>
        </is>
      </c>
      <c r="C2117" s="46" t="inlineStr">
        <is>
          <t>김포지역</t>
        </is>
      </c>
      <c r="D2117" s="46" t="inlineStr">
        <is>
          <t>에치에스켐</t>
        </is>
      </c>
      <c r="E2117" s="46" t="n">
        <v>700</v>
      </c>
      <c r="F2117" s="46" t="inlineStr">
        <is>
          <t>학운리</t>
        </is>
      </c>
      <c r="G2117" s="50" t="n">
        <v>0.4583333333333333</v>
      </c>
      <c r="H2117" s="51" t="n">
        <v>804760</v>
      </c>
      <c r="I2117" s="46" t="inlineStr">
        <is>
          <t>서수형</t>
        </is>
      </c>
      <c r="K2117" s="46" t="n">
        <v>2116</v>
      </c>
      <c r="L2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8">
      <c r="A2118" s="229" t="n">
        <v>46188</v>
      </c>
      <c r="B2118" s="46" t="inlineStr">
        <is>
          <t>정기검사</t>
        </is>
      </c>
      <c r="C2118" s="46" t="inlineStr">
        <is>
          <t>김포지역</t>
        </is>
      </c>
      <c r="D2118" s="46" t="inlineStr">
        <is>
          <t>폐기물재활용</t>
        </is>
      </c>
      <c r="E2118" s="46" t="n">
        <v>499</v>
      </c>
      <c r="F2118" s="46" t="inlineStr">
        <is>
          <t>가현리</t>
        </is>
      </c>
      <c r="G2118" s="50" t="n">
        <v>0.3958333333333333</v>
      </c>
      <c r="H2118" s="51" t="n">
        <v>532620</v>
      </c>
      <c r="I2118" s="46" t="inlineStr">
        <is>
          <t>서수형</t>
        </is>
      </c>
      <c r="K2118" s="46" t="n">
        <v>2117</v>
      </c>
      <c r="L2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9">
      <c r="A2119" s="229" t="n">
        <v>46188</v>
      </c>
      <c r="B2119" s="46" t="inlineStr">
        <is>
          <t>정기검사</t>
        </is>
      </c>
      <c r="C2119" s="46" t="inlineStr">
        <is>
          <t>김포지역</t>
        </is>
      </c>
      <c r="D2119" s="46" t="inlineStr">
        <is>
          <t>디아이엔텍-솔잎같은</t>
        </is>
      </c>
      <c r="E2119" s="46" t="n">
        <v>250</v>
      </c>
      <c r="F2119" s="46" t="inlineStr">
        <is>
          <t>학운리</t>
        </is>
      </c>
      <c r="G2119" s="50" t="n">
        <v>0.4791666666666667</v>
      </c>
      <c r="H2119" s="51" t="n">
        <v>489170</v>
      </c>
      <c r="I2119" s="46" t="inlineStr">
        <is>
          <t>송두기</t>
        </is>
      </c>
      <c r="K2119" s="46" t="n">
        <v>2118</v>
      </c>
      <c r="L2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0">
      <c r="A2120" s="229" t="n">
        <v>46188</v>
      </c>
      <c r="B2120" s="46" t="inlineStr">
        <is>
          <t>정기검사</t>
        </is>
      </c>
      <c r="C2120" s="46" t="inlineStr">
        <is>
          <t>김포지역</t>
        </is>
      </c>
      <c r="D2120" s="46" t="inlineStr">
        <is>
          <t>솔잎식품</t>
        </is>
      </c>
      <c r="E2120" s="46" t="n">
        <v>290</v>
      </c>
      <c r="F2120" s="46" t="inlineStr">
        <is>
          <t>마송리</t>
        </is>
      </c>
      <c r="G2120" s="50" t="n">
        <v>0.5208333333333334</v>
      </c>
      <c r="H2120" s="51" t="n">
        <v>515130</v>
      </c>
      <c r="I2120" s="46" t="inlineStr">
        <is>
          <t>김영권</t>
        </is>
      </c>
      <c r="K2120" s="46" t="n">
        <v>2119</v>
      </c>
      <c r="L2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1">
      <c r="A2121" s="229" t="n">
        <v>46188</v>
      </c>
      <c r="B2121" s="46" t="inlineStr">
        <is>
          <t>사용전검사</t>
        </is>
      </c>
      <c r="C2121" s="46" t="inlineStr">
        <is>
          <t>부천지역</t>
        </is>
      </c>
      <c r="D2121" s="46" t="inlineStr">
        <is>
          <t>정진한솔보습</t>
        </is>
      </c>
      <c r="E2121" s="46" t="n">
        <v>25</v>
      </c>
      <c r="F2121" s="46" t="inlineStr">
        <is>
          <t>소사동</t>
        </is>
      </c>
      <c r="G2121" s="50" t="n"/>
      <c r="H2121" s="51" t="n"/>
      <c r="I2121" s="46" t="inlineStr">
        <is>
          <t>정성관</t>
        </is>
      </c>
      <c r="K2121" s="46" t="n">
        <v>2120</v>
      </c>
      <c r="L2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2">
      <c r="A2122" s="229" t="n">
        <v>46188</v>
      </c>
      <c r="B2122" s="46" t="inlineStr">
        <is>
          <t>메모</t>
        </is>
      </c>
      <c r="C2122" s="46" t="inlineStr">
        <is>
          <t>부천지역</t>
        </is>
      </c>
      <c r="D2122" s="46" t="inlineStr">
        <is>
          <t>송낙명-정성관</t>
        </is>
      </c>
      <c r="E2122" s="46" t="n"/>
      <c r="F2122" s="46" t="n"/>
      <c r="G2122" s="50" t="n"/>
      <c r="H2122" s="51" t="n"/>
      <c r="I2122" s="46" t="n"/>
      <c r="K2122" s="46" t="n">
        <v>2121</v>
      </c>
      <c r="L2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3">
      <c r="A2123" s="229" t="n">
        <v>46188</v>
      </c>
      <c r="B2123" s="46" t="inlineStr">
        <is>
          <t>메모</t>
        </is>
      </c>
      <c r="C2123" s="46" t="inlineStr">
        <is>
          <t>부천지역</t>
        </is>
      </c>
      <c r="D2123" s="46" t="inlineStr">
        <is>
          <t>정신배휴가</t>
        </is>
      </c>
      <c r="E2123" s="46" t="n"/>
      <c r="F2123" s="46" t="n"/>
      <c r="G2123" s="50" t="n"/>
      <c r="H2123" s="51" t="n"/>
      <c r="I2123" s="46" t="n"/>
      <c r="K2123" s="46" t="n">
        <v>2122</v>
      </c>
      <c r="L2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4">
      <c r="A2124" s="229" t="n">
        <v>46188</v>
      </c>
      <c r="B2124" s="46" t="inlineStr">
        <is>
          <t>사용전검사</t>
        </is>
      </c>
      <c r="C2124" s="46" t="inlineStr">
        <is>
          <t>김포지역</t>
        </is>
      </c>
      <c r="D2124" s="46" t="inlineStr">
        <is>
          <t>실내테니스장</t>
        </is>
      </c>
      <c r="E2124" s="46" t="n">
        <v>420</v>
      </c>
      <c r="F2124" s="46" t="inlineStr">
        <is>
          <t>마산동</t>
        </is>
      </c>
      <c r="G2124" s="50" t="n"/>
      <c r="H2124" s="51" t="n"/>
      <c r="I2124" s="46" t="inlineStr">
        <is>
          <t>이덕기</t>
        </is>
      </c>
      <c r="K2124" s="46" t="n">
        <v>2123</v>
      </c>
      <c r="L2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5">
      <c r="A2125" s="229" t="n">
        <v>46188</v>
      </c>
      <c r="B2125" s="46" t="inlineStr">
        <is>
          <t>사용전검사</t>
        </is>
      </c>
      <c r="C2125" s="46" t="inlineStr">
        <is>
          <t>김포지역</t>
        </is>
      </c>
      <c r="D2125" s="46" t="inlineStr">
        <is>
          <t>참돈엔지니어링</t>
        </is>
      </c>
      <c r="E2125" s="46" t="n">
        <v>110</v>
      </c>
      <c r="F2125" s="46" t="inlineStr">
        <is>
          <t>거물대리</t>
        </is>
      </c>
      <c r="G2125" s="50" t="n"/>
      <c r="H2125" s="51" t="n"/>
      <c r="I2125" s="46" t="inlineStr">
        <is>
          <t>당효진</t>
        </is>
      </c>
      <c r="K2125" s="46" t="n">
        <v>2124</v>
      </c>
      <c r="L2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6">
      <c r="A2126" s="229" t="n">
        <v>46188</v>
      </c>
      <c r="B2126" s="46" t="inlineStr">
        <is>
          <t>사용전검사</t>
        </is>
      </c>
      <c r="C2126" s="46" t="inlineStr">
        <is>
          <t>김포지역</t>
        </is>
      </c>
      <c r="D2126" s="46" t="inlineStr">
        <is>
          <t>김광수</t>
        </is>
      </c>
      <c r="E2126" s="46" t="n">
        <v>40</v>
      </c>
      <c r="F2126" s="46" t="inlineStr">
        <is>
          <t>석정리</t>
        </is>
      </c>
      <c r="G2126" s="50" t="n"/>
      <c r="H2126" s="51" t="n"/>
      <c r="I2126" s="46" t="inlineStr">
        <is>
          <t>당효진</t>
        </is>
      </c>
      <c r="K2126" s="46" t="n">
        <v>2125</v>
      </c>
      <c r="L2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7">
      <c r="A2127" s="229" t="n">
        <v>46189</v>
      </c>
      <c r="B2127" s="46" t="inlineStr">
        <is>
          <t>정기검사</t>
        </is>
      </c>
      <c r="C2127" s="46" t="inlineStr">
        <is>
          <t>부천지역</t>
        </is>
      </c>
      <c r="D2127" s="46" t="inlineStr">
        <is>
          <t>뉴월드타운</t>
        </is>
      </c>
      <c r="E2127" s="46" t="n">
        <v>400</v>
      </c>
      <c r="F2127" s="46" t="inlineStr">
        <is>
          <t>중동</t>
        </is>
      </c>
      <c r="G2127" s="50" t="n">
        <v>0.625</v>
      </c>
      <c r="H2127" s="51" t="n">
        <v>703120</v>
      </c>
      <c r="I2127" s="46" t="inlineStr">
        <is>
          <t>이덕기</t>
        </is>
      </c>
      <c r="K2127" s="46" t="n">
        <v>2126</v>
      </c>
      <c r="L2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8">
      <c r="A2128" s="229" t="n">
        <v>46189</v>
      </c>
      <c r="B2128" s="46" t="inlineStr">
        <is>
          <t>정기검사</t>
        </is>
      </c>
      <c r="C2128" s="46" t="inlineStr">
        <is>
          <t>부천지역</t>
        </is>
      </c>
      <c r="D2128" s="46" t="inlineStr">
        <is>
          <t>뉴월드타운</t>
        </is>
      </c>
      <c r="E2128" s="46" t="n">
        <v>401</v>
      </c>
      <c r="F2128" s="46" t="inlineStr">
        <is>
          <t>중동</t>
        </is>
      </c>
      <c r="G2128" s="50" t="n">
        <v>0.6458333333333334</v>
      </c>
      <c r="H2128" s="51" t="n">
        <v>703120</v>
      </c>
      <c r="I2128" s="46" t="inlineStr">
        <is>
          <t>한태희</t>
        </is>
      </c>
      <c r="K2128" s="46" t="n">
        <v>2127</v>
      </c>
      <c r="L2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9">
      <c r="A2129" s="229" t="n">
        <v>46189</v>
      </c>
      <c r="B2129" s="46" t="inlineStr">
        <is>
          <t>정기검사</t>
        </is>
      </c>
      <c r="C2129" s="46" t="inlineStr">
        <is>
          <t>부천지역</t>
        </is>
      </c>
      <c r="D2129" s="46" t="inlineStr">
        <is>
          <t>옥길센트리뷰</t>
        </is>
      </c>
      <c r="E2129" s="46" t="inlineStr">
        <is>
          <t>4650/1300</t>
        </is>
      </c>
      <c r="F2129" s="46" t="inlineStr">
        <is>
          <t>옥길동</t>
        </is>
      </c>
      <c r="G2129" s="50" t="n">
        <v>0.4166666666666667</v>
      </c>
      <c r="H2129" s="51" t="n">
        <v>1878360</v>
      </c>
      <c r="I2129" s="46" t="inlineStr">
        <is>
          <t>민경수</t>
        </is>
      </c>
      <c r="K2129" s="46" t="n">
        <v>2128</v>
      </c>
      <c r="L2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0">
      <c r="A2130" s="229" t="n">
        <v>46189</v>
      </c>
      <c r="B2130" s="46" t="inlineStr">
        <is>
          <t>정기검사</t>
        </is>
      </c>
      <c r="C2130" s="46" t="inlineStr">
        <is>
          <t>부천지역</t>
        </is>
      </c>
      <c r="D2130" s="46" t="inlineStr">
        <is>
          <t>혜성</t>
        </is>
      </c>
      <c r="E2130" s="46" t="n">
        <v>280</v>
      </c>
      <c r="F2130" s="46" t="inlineStr">
        <is>
          <t>원미동</t>
        </is>
      </c>
      <c r="G2130" s="50" t="n">
        <v>0.4375</v>
      </c>
      <c r="H2130" s="51" t="n">
        <v>508640</v>
      </c>
      <c r="I2130" s="46" t="inlineStr">
        <is>
          <t>송두기-한태희</t>
        </is>
      </c>
      <c r="K2130" s="46" t="n">
        <v>2129</v>
      </c>
      <c r="L2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1">
      <c r="A2131" s="229" t="n">
        <v>46189</v>
      </c>
      <c r="B2131" s="46" t="inlineStr">
        <is>
          <t>정기검사</t>
        </is>
      </c>
      <c r="C2131" s="46" t="inlineStr">
        <is>
          <t>부천지역</t>
        </is>
      </c>
      <c r="D2131" s="46" t="inlineStr">
        <is>
          <t>대경엔지니어링</t>
        </is>
      </c>
      <c r="E2131" s="46" t="n">
        <v>250</v>
      </c>
      <c r="F2131" s="46" t="inlineStr">
        <is>
          <t>삼정동</t>
        </is>
      </c>
      <c r="G2131" s="50" t="n">
        <v>0.5</v>
      </c>
      <c r="H2131" s="51" t="n">
        <v>489170</v>
      </c>
      <c r="I2131" s="46" t="inlineStr">
        <is>
          <t>민재홍</t>
        </is>
      </c>
      <c r="K2131" s="46" t="n">
        <v>2130</v>
      </c>
      <c r="L2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2">
      <c r="A2132" s="229" t="n">
        <v>46189</v>
      </c>
      <c r="B2132" s="46" t="inlineStr">
        <is>
          <t>정기검사</t>
        </is>
      </c>
      <c r="C2132" s="46" t="inlineStr">
        <is>
          <t>부천지역</t>
        </is>
      </c>
      <c r="D2132" s="46" t="inlineStr">
        <is>
          <t>오승빌딩</t>
        </is>
      </c>
      <c r="E2132" s="46" t="n">
        <v>500</v>
      </c>
      <c r="F2132" s="46" t="inlineStr">
        <is>
          <t>삼정동</t>
        </is>
      </c>
      <c r="G2132" s="50" t="n">
        <v>0.5</v>
      </c>
      <c r="H2132" s="51" t="n">
        <v>737000</v>
      </c>
      <c r="I2132" s="46" t="inlineStr">
        <is>
          <t>송두기-한태희</t>
        </is>
      </c>
      <c r="K2132" s="46" t="n">
        <v>2131</v>
      </c>
      <c r="L2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3">
      <c r="A2133" s="229" t="n">
        <v>46189</v>
      </c>
      <c r="B2133" s="46" t="inlineStr">
        <is>
          <t>정기검사</t>
        </is>
      </c>
      <c r="C2133" s="46" t="inlineStr">
        <is>
          <t>부천지역</t>
        </is>
      </c>
      <c r="D2133" s="46" t="inlineStr">
        <is>
          <t>대한예수교 열방교회-오민석</t>
        </is>
      </c>
      <c r="E2133" s="46" t="n">
        <v>200</v>
      </c>
      <c r="F2133" s="46" t="inlineStr">
        <is>
          <t>여월동</t>
        </is>
      </c>
      <c r="G2133" s="50" t="n">
        <v>0.3958333333333333</v>
      </c>
      <c r="H2133" s="51" t="n">
        <v>456720</v>
      </c>
      <c r="I2133" s="46" t="inlineStr">
        <is>
          <t>한태희</t>
        </is>
      </c>
      <c r="K2133" s="46" t="n">
        <v>2132</v>
      </c>
      <c r="L2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4">
      <c r="A2134" s="229" t="n">
        <v>46189</v>
      </c>
      <c r="B2134" s="46" t="inlineStr">
        <is>
          <t>정기검사</t>
        </is>
      </c>
      <c r="C2134" s="46" t="inlineStr">
        <is>
          <t>부천지역</t>
        </is>
      </c>
      <c r="D2134" s="46" t="inlineStr">
        <is>
          <t>인천교통공사</t>
        </is>
      </c>
      <c r="E2134" s="46" t="inlineStr">
        <is>
          <t>ups</t>
        </is>
      </c>
      <c r="F2134" s="46" t="inlineStr">
        <is>
          <t>종합운동장</t>
        </is>
      </c>
      <c r="G2134" s="50" t="n">
        <v>0.6458333333333334</v>
      </c>
      <c r="H2134" s="51" t="n">
        <v>252560</v>
      </c>
      <c r="I2134" s="46" t="inlineStr">
        <is>
          <t>민재홍</t>
        </is>
      </c>
      <c r="K2134" s="46" t="n">
        <v>2133</v>
      </c>
      <c r="L2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5">
      <c r="A2135" s="229" t="n">
        <v>46189</v>
      </c>
      <c r="B2135" s="46" t="inlineStr">
        <is>
          <t>정기검사</t>
        </is>
      </c>
      <c r="C2135" s="46" t="inlineStr">
        <is>
          <t>김포지역</t>
        </is>
      </c>
      <c r="D2135" s="46" t="inlineStr">
        <is>
          <t>대진금형</t>
        </is>
      </c>
      <c r="E2135" s="46" t="n">
        <v>500</v>
      </c>
      <c r="F2135" s="46" t="inlineStr">
        <is>
          <t>초원지리</t>
        </is>
      </c>
      <c r="G2135" s="50" t="n">
        <v>0.5</v>
      </c>
      <c r="H2135" s="51" t="n">
        <v>737000</v>
      </c>
      <c r="I2135" s="46" t="inlineStr">
        <is>
          <t>정성관</t>
        </is>
      </c>
      <c r="K2135" s="46" t="n">
        <v>2134</v>
      </c>
      <c r="L2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6">
      <c r="A2136" s="229" t="n">
        <v>46189</v>
      </c>
      <c r="B2136" s="46" t="inlineStr">
        <is>
          <t>정기검사</t>
        </is>
      </c>
      <c r="C2136" s="46" t="inlineStr">
        <is>
          <t>김포지역</t>
        </is>
      </c>
      <c r="D2136" s="46" t="inlineStr">
        <is>
          <t>광일섬유</t>
        </is>
      </c>
      <c r="E2136" s="46" t="n">
        <v>300</v>
      </c>
      <c r="F2136" s="46" t="inlineStr">
        <is>
          <t>초원지리</t>
        </is>
      </c>
      <c r="G2136" s="50" t="n">
        <v>0.4791666666666667</v>
      </c>
      <c r="H2136" s="51" t="n">
        <v>521730</v>
      </c>
      <c r="I2136" s="46" t="inlineStr">
        <is>
          <t>이종석</t>
        </is>
      </c>
      <c r="K2136" s="46" t="n">
        <v>2135</v>
      </c>
      <c r="L2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7">
      <c r="A2137" s="229" t="n">
        <v>46189</v>
      </c>
      <c r="B2137" s="46" t="inlineStr">
        <is>
          <t>정기검사</t>
        </is>
      </c>
      <c r="C2137" s="46" t="inlineStr">
        <is>
          <t>김포지역</t>
        </is>
      </c>
      <c r="D2137" s="46" t="inlineStr">
        <is>
          <t>연미산업</t>
        </is>
      </c>
      <c r="E2137" s="46" t="n">
        <v>300</v>
      </c>
      <c r="F2137" s="46" t="inlineStr">
        <is>
          <t>약암리</t>
        </is>
      </c>
      <c r="G2137" s="50" t="n">
        <v>0.4791666666666667</v>
      </c>
      <c r="H2137" s="51" t="n">
        <v>521730</v>
      </c>
      <c r="I2137" s="46" t="inlineStr">
        <is>
          <t>서수형</t>
        </is>
      </c>
      <c r="K2137" s="46" t="n">
        <v>2136</v>
      </c>
      <c r="L2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8">
      <c r="A2138" s="229" t="n">
        <v>46189</v>
      </c>
      <c r="B2138" s="46" t="inlineStr">
        <is>
          <t>정기검사</t>
        </is>
      </c>
      <c r="C2138" s="46" t="inlineStr">
        <is>
          <t>김포지역</t>
        </is>
      </c>
      <c r="D2138" s="46" t="inlineStr">
        <is>
          <t>현대아파트</t>
        </is>
      </c>
      <c r="E2138" s="46" t="inlineStr">
        <is>
          <t>전기차</t>
        </is>
      </c>
      <c r="F2138" s="46" t="inlineStr">
        <is>
          <t>마송리</t>
        </is>
      </c>
      <c r="G2138" s="50" t="n">
        <v>0.4166666666666667</v>
      </c>
      <c r="H2138" s="51" t="n">
        <v>148940</v>
      </c>
      <c r="I2138" s="46" t="inlineStr">
        <is>
          <t>정신배</t>
        </is>
      </c>
      <c r="K2138" s="46" t="n">
        <v>2137</v>
      </c>
      <c r="L2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9">
      <c r="A2139" s="229" t="n">
        <v>46189</v>
      </c>
      <c r="B2139" s="46" t="inlineStr">
        <is>
          <t>정기검사</t>
        </is>
      </c>
      <c r="C2139" s="46" t="inlineStr">
        <is>
          <t>김포지역</t>
        </is>
      </c>
      <c r="D2139" s="46" t="inlineStr">
        <is>
          <t>정오미디어</t>
        </is>
      </c>
      <c r="E2139" s="46" t="n">
        <v>150</v>
      </c>
      <c r="F2139" s="46" t="inlineStr">
        <is>
          <t>대능리</t>
        </is>
      </c>
      <c r="G2139" s="50" t="n">
        <v>0.5208333333333334</v>
      </c>
      <c r="H2139" s="51" t="n">
        <v>424160</v>
      </c>
      <c r="I2139" s="46" t="inlineStr">
        <is>
          <t>당효진</t>
        </is>
      </c>
      <c r="K2139" s="46" t="n">
        <v>2138</v>
      </c>
      <c r="L2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0">
      <c r="A2140" s="229" t="n">
        <v>46189</v>
      </c>
      <c r="B2140" s="46" t="inlineStr">
        <is>
          <t>정기검사</t>
        </is>
      </c>
      <c r="C2140" s="46" t="inlineStr">
        <is>
          <t>김포지역</t>
        </is>
      </c>
      <c r="D2140" s="46" t="inlineStr">
        <is>
          <t>삼일태양광</t>
        </is>
      </c>
      <c r="E2140" s="46" t="n">
        <v>98</v>
      </c>
      <c r="F2140" s="46" t="inlineStr">
        <is>
          <t>마곡리</t>
        </is>
      </c>
      <c r="G2140" s="50" t="n">
        <v>0.5833333333333334</v>
      </c>
      <c r="H2140" s="51" t="n">
        <v>253990</v>
      </c>
      <c r="I2140" s="46" t="inlineStr">
        <is>
          <t>허창수</t>
        </is>
      </c>
      <c r="K2140" s="46" t="n">
        <v>2139</v>
      </c>
      <c r="L2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1">
      <c r="A2141" s="229" t="n">
        <v>46189</v>
      </c>
      <c r="B2141" s="46" t="inlineStr">
        <is>
          <t>정기검사</t>
        </is>
      </c>
      <c r="C2141" s="46" t="inlineStr">
        <is>
          <t>김포지역</t>
        </is>
      </c>
      <c r="D2141" s="46" t="inlineStr">
        <is>
          <t>삼일태양광</t>
        </is>
      </c>
      <c r="E2141" s="46" t="n">
        <v>99</v>
      </c>
      <c r="F2141" s="46" t="inlineStr">
        <is>
          <t>마곡리</t>
        </is>
      </c>
      <c r="G2141" s="50" t="n">
        <v>0.625</v>
      </c>
      <c r="H2141" s="51" t="n">
        <v>248600</v>
      </c>
      <c r="I2141" s="46" t="inlineStr">
        <is>
          <t>허창수</t>
        </is>
      </c>
      <c r="K2141" s="46" t="n">
        <v>2140</v>
      </c>
      <c r="L2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2">
      <c r="A2142" s="229" t="n">
        <v>46189</v>
      </c>
      <c r="B2142" s="46" t="inlineStr">
        <is>
          <t>정기검사</t>
        </is>
      </c>
      <c r="C2142" s="46" t="inlineStr">
        <is>
          <t>김포지역</t>
        </is>
      </c>
      <c r="D2142" s="46" t="inlineStr">
        <is>
          <t>영성메탈</t>
        </is>
      </c>
      <c r="E2142" s="46" t="n">
        <v>880</v>
      </c>
      <c r="F2142" s="46" t="inlineStr">
        <is>
          <t>고양리</t>
        </is>
      </c>
      <c r="G2142" s="50" t="n">
        <v>0.625</v>
      </c>
      <c r="H2142" s="51" t="n">
        <v>865700</v>
      </c>
      <c r="I2142" s="46" t="inlineStr">
        <is>
          <t>허창수</t>
        </is>
      </c>
      <c r="K2142" s="46" t="n">
        <v>2141</v>
      </c>
      <c r="L2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3">
      <c r="A2143" s="229" t="n">
        <v>46189</v>
      </c>
      <c r="B2143" s="46" t="inlineStr">
        <is>
          <t>정기검사</t>
        </is>
      </c>
      <c r="C2143" s="46" t="inlineStr">
        <is>
          <t>김포지역</t>
        </is>
      </c>
      <c r="D2143" s="46" t="inlineStr">
        <is>
          <t>현대아파트</t>
        </is>
      </c>
      <c r="E2143" s="46" t="inlineStr">
        <is>
          <t>1700/275</t>
        </is>
      </c>
      <c r="F2143" s="46" t="inlineStr">
        <is>
          <t>마송리</t>
        </is>
      </c>
      <c r="G2143" s="50" t="n">
        <v>0.4166666666666667</v>
      </c>
      <c r="H2143" s="51" t="n">
        <v>1226720</v>
      </c>
      <c r="I2143" s="46" t="inlineStr">
        <is>
          <t>정신배</t>
        </is>
      </c>
      <c r="K2143" s="46" t="n">
        <v>2142</v>
      </c>
      <c r="L2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4">
      <c r="A2144" s="229" t="n">
        <v>46189</v>
      </c>
      <c r="B2144" s="46" t="inlineStr">
        <is>
          <t>정기검사</t>
        </is>
      </c>
      <c r="C2144" s="46" t="inlineStr">
        <is>
          <t>김포지역</t>
        </is>
      </c>
      <c r="D2144" s="46" t="inlineStr">
        <is>
          <t>이명희태양광</t>
        </is>
      </c>
      <c r="E2144" s="46" t="n">
        <v>14</v>
      </c>
      <c r="F2144" s="46" t="inlineStr">
        <is>
          <t>오니산리</t>
        </is>
      </c>
      <c r="G2144" s="50" t="n">
        <v>0.6041666666666666</v>
      </c>
      <c r="H2144" s="51" t="n">
        <v>92840</v>
      </c>
      <c r="I2144" s="46" t="inlineStr">
        <is>
          <t>당효진</t>
        </is>
      </c>
      <c r="K2144" s="46" t="n">
        <v>2143</v>
      </c>
      <c r="L2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5">
      <c r="A2145" s="229" t="n">
        <v>46189</v>
      </c>
      <c r="B2145" s="46" t="inlineStr">
        <is>
          <t>사용전검사</t>
        </is>
      </c>
      <c r="C2145" s="46" t="inlineStr">
        <is>
          <t>부천지역</t>
        </is>
      </c>
      <c r="D2145" s="46" t="inlineStr">
        <is>
          <t>건우아파트</t>
        </is>
      </c>
      <c r="E2145" s="46" t="n">
        <v>65</v>
      </c>
      <c r="F2145" s="46" t="inlineStr">
        <is>
          <t>고강동</t>
        </is>
      </c>
      <c r="G2145" s="50" t="n"/>
      <c r="H2145" s="51" t="n"/>
      <c r="I2145" s="46" t="inlineStr">
        <is>
          <t>한태희</t>
        </is>
      </c>
      <c r="K2145" s="46" t="n">
        <v>2144</v>
      </c>
      <c r="L2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6">
      <c r="A2146" s="229" t="n">
        <v>46189</v>
      </c>
      <c r="B2146" s="46" t="inlineStr">
        <is>
          <t>메모</t>
        </is>
      </c>
      <c r="C2146" s="46" t="inlineStr">
        <is>
          <t>부천지역</t>
        </is>
      </c>
      <c r="D2146" s="46" t="inlineStr">
        <is>
          <t>송낙명-송두기</t>
        </is>
      </c>
      <c r="E2146" s="46" t="n"/>
      <c r="F2146" s="46" t="n"/>
      <c r="G2146" s="50" t="n"/>
      <c r="H2146" s="51" t="n"/>
      <c r="I2146" s="46" t="n"/>
      <c r="K2146" s="46" t="n">
        <v>2145</v>
      </c>
      <c r="L2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7">
      <c r="A2147" s="229" t="n">
        <v>46189</v>
      </c>
      <c r="B2147" s="46" t="inlineStr">
        <is>
          <t>메모</t>
        </is>
      </c>
      <c r="C2147" s="46" t="inlineStr">
        <is>
          <t>부천지역</t>
        </is>
      </c>
      <c r="D2147" s="46" t="inlineStr">
        <is>
          <t>김영권휴가</t>
        </is>
      </c>
      <c r="E2147" s="46" t="n"/>
      <c r="F2147" s="46" t="n"/>
      <c r="G2147" s="50" t="n"/>
      <c r="H2147" s="51" t="n"/>
      <c r="I2147" s="46" t="n"/>
      <c r="K2147" s="46" t="n">
        <v>2146</v>
      </c>
      <c r="L2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8">
      <c r="A2148" s="229" t="n">
        <v>46190</v>
      </c>
      <c r="B2148" s="46" t="inlineStr">
        <is>
          <t>정기검사</t>
        </is>
      </c>
      <c r="C2148" s="46" t="inlineStr">
        <is>
          <t>부천지역</t>
        </is>
      </c>
      <c r="D2148" s="46" t="inlineStr">
        <is>
          <t>송내지하차도</t>
        </is>
      </c>
      <c r="E2148" s="46" t="inlineStr">
        <is>
          <t>400/327</t>
        </is>
      </c>
      <c r="F2148" s="46" t="inlineStr">
        <is>
          <t>송내동</t>
        </is>
      </c>
      <c r="G2148" s="50" t="n">
        <v>0.3958333333333333</v>
      </c>
      <c r="H2148" s="51" t="n">
        <v>923120</v>
      </c>
      <c r="I2148" s="46" t="inlineStr">
        <is>
          <t>송두기</t>
        </is>
      </c>
      <c r="K2148" s="46" t="n">
        <v>2147</v>
      </c>
      <c r="L2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9">
      <c r="A2149" s="229" t="n">
        <v>46190</v>
      </c>
      <c r="B2149" s="46" t="inlineStr">
        <is>
          <t>정기검사</t>
        </is>
      </c>
      <c r="C2149" s="46" t="inlineStr">
        <is>
          <t>부천지역</t>
        </is>
      </c>
      <c r="D2149" s="46" t="inlineStr">
        <is>
          <t>역곡지하차도</t>
        </is>
      </c>
      <c r="E2149" s="46" t="n">
        <v>45</v>
      </c>
      <c r="F2149" s="46" t="inlineStr">
        <is>
          <t>역곡동</t>
        </is>
      </c>
      <c r="G2149" s="50" t="n">
        <v>0.4375</v>
      </c>
      <c r="H2149" s="51" t="n">
        <v>149930</v>
      </c>
      <c r="I2149" s="46" t="inlineStr">
        <is>
          <t>김영권</t>
        </is>
      </c>
      <c r="K2149" s="46" t="n">
        <v>2148</v>
      </c>
      <c r="L2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0">
      <c r="A2150" s="229" t="n">
        <v>46190</v>
      </c>
      <c r="B2150" s="46" t="inlineStr">
        <is>
          <t>정기검사</t>
        </is>
      </c>
      <c r="C2150" s="46" t="inlineStr">
        <is>
          <t>부천지역</t>
        </is>
      </c>
      <c r="D2150" s="46" t="inlineStr">
        <is>
          <t>상록센트럴타워</t>
        </is>
      </c>
      <c r="E2150" s="46" t="inlineStr">
        <is>
          <t>700/155</t>
        </is>
      </c>
      <c r="F2150" s="46" t="inlineStr">
        <is>
          <t>중동</t>
        </is>
      </c>
      <c r="G2150" s="50" t="n">
        <v>0.2708333333333333</v>
      </c>
      <c r="H2150" s="51" t="n">
        <v>1283370</v>
      </c>
      <c r="I2150" s="46" t="inlineStr">
        <is>
          <t>김영권</t>
        </is>
      </c>
      <c r="K2150" s="46" t="n">
        <v>2149</v>
      </c>
      <c r="L2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1">
      <c r="A2151" s="229" t="n">
        <v>46190</v>
      </c>
      <c r="B2151" s="46" t="inlineStr">
        <is>
          <t>정기검사</t>
        </is>
      </c>
      <c r="C2151" s="46" t="inlineStr">
        <is>
          <t>부천지역</t>
        </is>
      </c>
      <c r="D2151" s="46" t="inlineStr">
        <is>
          <t>창원태양광</t>
        </is>
      </c>
      <c r="E2151" s="46" t="n">
        <v>249</v>
      </c>
      <c r="F2151" s="46" t="inlineStr">
        <is>
          <t>석정리</t>
        </is>
      </c>
      <c r="G2151" s="50" t="n"/>
      <c r="H2151" s="51" t="n">
        <v>423720</v>
      </c>
      <c r="I2151" s="46" t="inlineStr">
        <is>
          <t>정신배</t>
        </is>
      </c>
      <c r="K2151" s="46" t="n">
        <v>2150</v>
      </c>
      <c r="L2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2">
      <c r="A2152" s="229" t="n">
        <v>46190</v>
      </c>
      <c r="B2152" s="46" t="inlineStr">
        <is>
          <t>정기검사</t>
        </is>
      </c>
      <c r="C2152" s="46" t="inlineStr">
        <is>
          <t>부천지역</t>
        </is>
      </c>
      <c r="D2152" s="46" t="inlineStr">
        <is>
          <t>원미도서관</t>
        </is>
      </c>
      <c r="E2152" s="46" t="n">
        <v>99</v>
      </c>
      <c r="F2152" s="46" t="inlineStr">
        <is>
          <t>원미동</t>
        </is>
      </c>
      <c r="G2152" s="50" t="n"/>
      <c r="H2152" s="51" t="n">
        <v>255530</v>
      </c>
      <c r="I2152" s="46" t="inlineStr">
        <is>
          <t>정신배</t>
        </is>
      </c>
      <c r="K2152" s="46" t="n">
        <v>2151</v>
      </c>
      <c r="L2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3">
      <c r="A2153" s="229" t="n">
        <v>46190</v>
      </c>
      <c r="B2153" s="46" t="inlineStr">
        <is>
          <t>정기검사</t>
        </is>
      </c>
      <c r="C2153" s="46" t="inlineStr">
        <is>
          <t>부천지역</t>
        </is>
      </c>
      <c r="D2153" s="46" t="inlineStr">
        <is>
          <t>옥길제일풍경채</t>
        </is>
      </c>
      <c r="E2153" s="46" t="inlineStr">
        <is>
          <t>3000/682</t>
        </is>
      </c>
      <c r="F2153" s="46" t="inlineStr">
        <is>
          <t>옥길동</t>
        </is>
      </c>
      <c r="G2153" s="50" t="n">
        <v>0.5833333333333334</v>
      </c>
      <c r="H2153" s="51" t="n">
        <v>1500180</v>
      </c>
      <c r="I2153" s="46" t="inlineStr">
        <is>
          <t>이덕기</t>
        </is>
      </c>
      <c r="K2153" s="46" t="n">
        <v>2152</v>
      </c>
      <c r="L2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4">
      <c r="A2154" s="229" t="n">
        <v>46190</v>
      </c>
      <c r="B2154" s="46" t="inlineStr">
        <is>
          <t>정기검사</t>
        </is>
      </c>
      <c r="C2154" s="46" t="inlineStr">
        <is>
          <t>부천지역</t>
        </is>
      </c>
      <c r="D2154" s="46" t="inlineStr">
        <is>
          <t>창보아파트</t>
        </is>
      </c>
      <c r="E2154" s="46" t="inlineStr">
        <is>
          <t>1200/290</t>
        </is>
      </c>
      <c r="F2154" s="46" t="inlineStr">
        <is>
          <t>상동</t>
        </is>
      </c>
      <c r="G2154" s="50" t="n">
        <v>0.4166666666666667</v>
      </c>
      <c r="H2154" s="51" t="n">
        <v>1143450</v>
      </c>
      <c r="I2154" s="46" t="inlineStr">
        <is>
          <t>한태희</t>
        </is>
      </c>
      <c r="K2154" s="46" t="n">
        <v>2153</v>
      </c>
      <c r="L2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5">
      <c r="A2155" s="229" t="n">
        <v>46190</v>
      </c>
      <c r="B2155" s="46" t="inlineStr">
        <is>
          <t>정기검사</t>
        </is>
      </c>
      <c r="C2155" s="46" t="inlineStr">
        <is>
          <t>부천지역</t>
        </is>
      </c>
      <c r="D2155" s="46" t="inlineStr">
        <is>
          <t>창보아파트</t>
        </is>
      </c>
      <c r="E2155" s="46" t="inlineStr">
        <is>
          <t>전기차</t>
        </is>
      </c>
      <c r="F2155" s="46" t="inlineStr">
        <is>
          <t>상동</t>
        </is>
      </c>
      <c r="G2155" s="50" t="n">
        <v>0.4166666666666667</v>
      </c>
      <c r="H2155" s="51" t="n">
        <v>81180</v>
      </c>
      <c r="I2155" s="46" t="inlineStr">
        <is>
          <t>한태희</t>
        </is>
      </c>
      <c r="K2155" s="46" t="n">
        <v>2154</v>
      </c>
      <c r="L2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6">
      <c r="A2156" s="229" t="n">
        <v>46190</v>
      </c>
      <c r="B2156" s="46" t="inlineStr">
        <is>
          <t>정기검사</t>
        </is>
      </c>
      <c r="C2156" s="46" t="inlineStr">
        <is>
          <t>부천지역</t>
        </is>
      </c>
      <c r="D2156" s="46" t="inlineStr">
        <is>
          <t>미래</t>
        </is>
      </c>
      <c r="E2156" s="46" t="n">
        <v>350</v>
      </c>
      <c r="F2156" s="46" t="inlineStr">
        <is>
          <t>도당동</t>
        </is>
      </c>
      <c r="G2156" s="50" t="n">
        <v>0.5</v>
      </c>
      <c r="H2156" s="51" t="n">
        <v>686180</v>
      </c>
      <c r="I2156" s="46" t="inlineStr">
        <is>
          <t>정신배-정성관</t>
        </is>
      </c>
      <c r="K2156" s="46" t="n">
        <v>2155</v>
      </c>
      <c r="L2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7">
      <c r="A2157" s="229" t="n">
        <v>46190</v>
      </c>
      <c r="B2157" s="46" t="inlineStr">
        <is>
          <t>정기검사</t>
        </is>
      </c>
      <c r="C2157" s="46" t="inlineStr">
        <is>
          <t>김포지역</t>
        </is>
      </c>
      <c r="D2157" s="46" t="inlineStr">
        <is>
          <t>장기1관리소</t>
        </is>
      </c>
      <c r="E2157" s="46" t="inlineStr">
        <is>
          <t>1850/550</t>
        </is>
      </c>
      <c r="F2157" s="46" t="inlineStr">
        <is>
          <t>장기동</t>
        </is>
      </c>
      <c r="G2157" s="50" t="n">
        <v>0.5833333333333334</v>
      </c>
      <c r="H2157" s="51" t="n">
        <v>1307240</v>
      </c>
      <c r="I2157" s="46" t="inlineStr">
        <is>
          <t>당효진</t>
        </is>
      </c>
      <c r="K2157" s="46" t="n">
        <v>2156</v>
      </c>
      <c r="L2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8">
      <c r="A2158" s="229" t="n">
        <v>46190</v>
      </c>
      <c r="B2158" s="46" t="inlineStr">
        <is>
          <t>정기검사</t>
        </is>
      </c>
      <c r="C2158" s="46" t="inlineStr">
        <is>
          <t>김포지역</t>
        </is>
      </c>
      <c r="D2158" s="46" t="inlineStr">
        <is>
          <t>LH솔터바을</t>
        </is>
      </c>
      <c r="E2158" s="46" t="inlineStr">
        <is>
          <t>3245/1000</t>
        </is>
      </c>
      <c r="F2158" s="46" t="inlineStr">
        <is>
          <t>마산동</t>
        </is>
      </c>
      <c r="G2158" s="50" t="n">
        <v>0.4166666666666667</v>
      </c>
      <c r="H2158" s="51" t="n">
        <v>1625470</v>
      </c>
      <c r="I2158" s="46" t="inlineStr">
        <is>
          <t>서수형</t>
        </is>
      </c>
      <c r="K2158" s="46" t="n">
        <v>2157</v>
      </c>
      <c r="L2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9">
      <c r="A2159" s="229" t="n">
        <v>46190</v>
      </c>
      <c r="B2159" s="46" t="inlineStr">
        <is>
          <t>정기검사</t>
        </is>
      </c>
      <c r="C2159" s="46" t="inlineStr">
        <is>
          <t>김포지역</t>
        </is>
      </c>
      <c r="D2159" s="46" t="inlineStr">
        <is>
          <t>진성테크</t>
        </is>
      </c>
      <c r="E2159" s="46" t="n">
        <v>500</v>
      </c>
      <c r="F2159" s="46" t="inlineStr">
        <is>
          <t>가현리</t>
        </is>
      </c>
      <c r="G2159" s="50" t="n">
        <v>0.4791666666666667</v>
      </c>
      <c r="H2159" s="51" t="n">
        <v>737000</v>
      </c>
      <c r="I2159" s="46" t="inlineStr">
        <is>
          <t>이종석</t>
        </is>
      </c>
      <c r="K2159" s="46" t="n">
        <v>2158</v>
      </c>
      <c r="L2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0">
      <c r="A2160" s="229" t="n">
        <v>46190</v>
      </c>
      <c r="B2160" s="46" t="inlineStr">
        <is>
          <t>정기검사</t>
        </is>
      </c>
      <c r="C2160" s="46" t="inlineStr">
        <is>
          <t>김포지역</t>
        </is>
      </c>
      <c r="D2160" s="46" t="inlineStr">
        <is>
          <t>에버리치</t>
        </is>
      </c>
      <c r="E2160" s="46" t="inlineStr">
        <is>
          <t>900/182</t>
        </is>
      </c>
      <c r="F2160" s="46" t="inlineStr">
        <is>
          <t>유현리</t>
        </is>
      </c>
      <c r="G2160" s="50" t="n">
        <v>0.2708333333333333</v>
      </c>
      <c r="H2160" s="51" t="n">
        <v>1381820</v>
      </c>
      <c r="I2160" s="46" t="inlineStr">
        <is>
          <t>민재홍</t>
        </is>
      </c>
      <c r="K2160" s="46" t="n">
        <v>2159</v>
      </c>
      <c r="L2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1">
      <c r="A2161" s="229" t="n">
        <v>46190</v>
      </c>
      <c r="B2161" s="46" t="inlineStr">
        <is>
          <t>정기검사</t>
        </is>
      </c>
      <c r="C2161" s="46" t="inlineStr">
        <is>
          <t>김포지역</t>
        </is>
      </c>
      <c r="D2161" s="46" t="inlineStr">
        <is>
          <t>한세미크론</t>
        </is>
      </c>
      <c r="E2161" s="46" t="n">
        <v>400</v>
      </c>
      <c r="F2161" s="46" t="inlineStr">
        <is>
          <t>학운리</t>
        </is>
      </c>
      <c r="G2161" s="50" t="n">
        <v>0.4791666666666667</v>
      </c>
      <c r="H2161" s="51" t="n">
        <v>703120</v>
      </c>
      <c r="I2161" s="46" t="inlineStr">
        <is>
          <t>민재홍</t>
        </is>
      </c>
      <c r="K2161" s="46" t="n">
        <v>2160</v>
      </c>
      <c r="L2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2">
      <c r="A2162" s="229" t="n">
        <v>46190</v>
      </c>
      <c r="B2162" s="46" t="inlineStr">
        <is>
          <t>정기검사</t>
        </is>
      </c>
      <c r="C2162" s="46" t="inlineStr">
        <is>
          <t>김포지역</t>
        </is>
      </c>
      <c r="D2162" s="46" t="inlineStr">
        <is>
          <t>디에이치메탈</t>
        </is>
      </c>
      <c r="E2162" s="46" t="n">
        <v>41</v>
      </c>
      <c r="F2162" s="46" t="inlineStr">
        <is>
          <t>학운리</t>
        </is>
      </c>
      <c r="G2162" s="50" t="n">
        <v>0.4791666666666667</v>
      </c>
      <c r="H2162" s="51" t="n">
        <v>194810</v>
      </c>
      <c r="I2162" s="46" t="inlineStr">
        <is>
          <t>민경수</t>
        </is>
      </c>
      <c r="K2162" s="46" t="n">
        <v>2161</v>
      </c>
      <c r="L2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3">
      <c r="A2163" s="229" t="n">
        <v>46190</v>
      </c>
      <c r="B2163" s="46" t="inlineStr">
        <is>
          <t>정기검사</t>
        </is>
      </c>
      <c r="C2163" s="46" t="inlineStr">
        <is>
          <t>김포지역</t>
        </is>
      </c>
      <c r="D2163" s="46" t="inlineStr">
        <is>
          <t>진성테크</t>
        </is>
      </c>
      <c r="E2163" s="46" t="n">
        <v>500</v>
      </c>
      <c r="F2163" s="46" t="inlineStr">
        <is>
          <t>가현리</t>
        </is>
      </c>
      <c r="G2163" s="50" t="n">
        <v>0.4791666666666667</v>
      </c>
      <c r="H2163" s="51" t="n">
        <v>737000</v>
      </c>
      <c r="I2163" s="46" t="inlineStr">
        <is>
          <t>허창수</t>
        </is>
      </c>
      <c r="K2163" s="46" t="n">
        <v>2162</v>
      </c>
      <c r="L2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4">
      <c r="A2164" s="229" t="n">
        <v>46190</v>
      </c>
      <c r="B2164" s="46" t="inlineStr">
        <is>
          <t>정기검사</t>
        </is>
      </c>
      <c r="C2164" s="46" t="inlineStr">
        <is>
          <t>김포지역</t>
        </is>
      </c>
      <c r="D2164" s="46" t="inlineStr">
        <is>
          <t>신김포농협</t>
        </is>
      </c>
      <c r="E2164" s="46" t="n">
        <v>600</v>
      </c>
      <c r="F2164" s="46" t="inlineStr">
        <is>
          <t>마곡리</t>
        </is>
      </c>
      <c r="G2164" s="50" t="n">
        <v>0.875</v>
      </c>
      <c r="H2164" s="51" t="n">
        <v>1002100</v>
      </c>
      <c r="I2164" s="46" t="inlineStr">
        <is>
          <t>정성관</t>
        </is>
      </c>
      <c r="K2164" s="46" t="n">
        <v>2163</v>
      </c>
      <c r="L2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5">
      <c r="A2165" s="229" t="n">
        <v>46190</v>
      </c>
      <c r="B2165" s="46" t="inlineStr">
        <is>
          <t>정기검사</t>
        </is>
      </c>
      <c r="C2165" s="46" t="inlineStr">
        <is>
          <t>김포지역</t>
        </is>
      </c>
      <c r="D2165" s="46" t="inlineStr">
        <is>
          <t>캐슬앤파밀리에시티</t>
        </is>
      </c>
      <c r="E2165" s="46" t="inlineStr">
        <is>
          <t>전기차</t>
        </is>
      </c>
      <c r="F2165" s="46" t="inlineStr">
        <is>
          <t>태리</t>
        </is>
      </c>
      <c r="G2165" s="50" t="n">
        <v>0.3958333333333333</v>
      </c>
      <c r="H2165" s="51" t="n">
        <v>440440</v>
      </c>
      <c r="I2165" s="46" t="inlineStr">
        <is>
          <t>이종석</t>
        </is>
      </c>
      <c r="K2165" s="46" t="n">
        <v>2164</v>
      </c>
      <c r="L2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6">
      <c r="A2166" s="229" t="n">
        <v>46190</v>
      </c>
      <c r="B2166" s="46" t="inlineStr">
        <is>
          <t>사용전검사</t>
        </is>
      </c>
      <c r="C2166" s="46" t="inlineStr">
        <is>
          <t>부천지역</t>
        </is>
      </c>
      <c r="D2166" s="46" t="inlineStr">
        <is>
          <t>부촌</t>
        </is>
      </c>
      <c r="E2166" s="46" t="inlineStr">
        <is>
          <t>부분</t>
        </is>
      </c>
      <c r="F2166" s="46" t="inlineStr">
        <is>
          <t>오정동</t>
        </is>
      </c>
      <c r="G2166" s="50" t="n"/>
      <c r="H2166" s="51" t="n"/>
      <c r="I2166" s="46" t="inlineStr">
        <is>
          <t>송두기</t>
        </is>
      </c>
      <c r="K2166" s="46" t="n">
        <v>2165</v>
      </c>
      <c r="L2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7">
      <c r="A2167" s="229" t="n">
        <v>46190</v>
      </c>
      <c r="B2167" s="46" t="inlineStr">
        <is>
          <t>사용전검사</t>
        </is>
      </c>
      <c r="C2167" s="46" t="inlineStr">
        <is>
          <t>김포지역</t>
        </is>
      </c>
      <c r="D2167" s="46" t="inlineStr">
        <is>
          <t>대흥플라텍</t>
        </is>
      </c>
      <c r="E2167" s="46" t="n">
        <v>212</v>
      </c>
      <c r="F2167" s="46" t="inlineStr">
        <is>
          <t>학운리</t>
        </is>
      </c>
      <c r="G2167" s="50" t="n"/>
      <c r="H2167" s="51" t="n"/>
      <c r="I2167" s="46" t="inlineStr">
        <is>
          <t>허창수</t>
        </is>
      </c>
      <c r="K2167" s="46" t="n">
        <v>2166</v>
      </c>
      <c r="L2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8">
      <c r="A2168" s="229" t="n">
        <v>46191</v>
      </c>
      <c r="B2168" s="46" t="inlineStr">
        <is>
          <t>정기검사</t>
        </is>
      </c>
      <c r="C2168" s="46" t="inlineStr">
        <is>
          <t>부천지역</t>
        </is>
      </c>
      <c r="D2168" s="46" t="inlineStr">
        <is>
          <t>보람월드프라자</t>
        </is>
      </c>
      <c r="E2168" s="46" t="inlineStr">
        <is>
          <t>350/105</t>
        </is>
      </c>
      <c r="F2168" s="46" t="inlineStr">
        <is>
          <t>범박동</t>
        </is>
      </c>
      <c r="G2168" s="50" t="n">
        <v>0.2916666666666667</v>
      </c>
      <c r="H2168" s="51" t="n">
        <v>1110010</v>
      </c>
      <c r="I2168" s="46" t="inlineStr">
        <is>
          <t>이덕기</t>
        </is>
      </c>
      <c r="K2168" s="46" t="n">
        <v>2167</v>
      </c>
      <c r="L2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9">
      <c r="A2169" s="229" t="n">
        <v>46191</v>
      </c>
      <c r="B2169" s="46" t="inlineStr">
        <is>
          <t>정기검사</t>
        </is>
      </c>
      <c r="C2169" s="46" t="inlineStr">
        <is>
          <t>부천지역</t>
        </is>
      </c>
      <c r="D2169" s="46" t="inlineStr">
        <is>
          <t>위브3단지</t>
        </is>
      </c>
      <c r="E2169" s="46" t="inlineStr">
        <is>
          <t>900/273</t>
        </is>
      </c>
      <c r="F2169" s="46" t="inlineStr">
        <is>
          <t>약대동</t>
        </is>
      </c>
      <c r="G2169" s="50" t="n">
        <v>0.4166666666666667</v>
      </c>
      <c r="H2169" s="51" t="n">
        <v>1089880</v>
      </c>
      <c r="I2169" s="46" t="inlineStr">
        <is>
          <t>이종석</t>
        </is>
      </c>
      <c r="K2169" s="46" t="n">
        <v>2168</v>
      </c>
      <c r="L2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0">
      <c r="A2170" s="229" t="n">
        <v>46191</v>
      </c>
      <c r="B2170" s="46" t="inlineStr">
        <is>
          <t>정기검사</t>
        </is>
      </c>
      <c r="C2170" s="46" t="inlineStr">
        <is>
          <t>부천지역</t>
        </is>
      </c>
      <c r="D2170" s="46" t="inlineStr">
        <is>
          <t>금강KCC</t>
        </is>
      </c>
      <c r="E2170" s="46" t="inlineStr">
        <is>
          <t>1960/360</t>
        </is>
      </c>
      <c r="F2170" s="46" t="inlineStr">
        <is>
          <t>상동</t>
        </is>
      </c>
      <c r="G2170" s="50" t="n">
        <v>0.4166666666666667</v>
      </c>
      <c r="H2170" s="51" t="n">
        <v>1446830</v>
      </c>
      <c r="I2170" s="46" t="inlineStr">
        <is>
          <t>정성관</t>
        </is>
      </c>
      <c r="K2170" s="46" t="n">
        <v>2169</v>
      </c>
      <c r="L2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1">
      <c r="A2171" s="229" t="n">
        <v>46191</v>
      </c>
      <c r="B2171" s="46" t="inlineStr">
        <is>
          <t>정기검사</t>
        </is>
      </c>
      <c r="C2171" s="46" t="inlineStr">
        <is>
          <t>부천지역</t>
        </is>
      </c>
      <c r="D2171" s="46" t="inlineStr">
        <is>
          <t>사랑마을 청구아파트</t>
        </is>
      </c>
      <c r="E2171" s="46" t="inlineStr">
        <is>
          <t>1650/327</t>
        </is>
      </c>
      <c r="F2171" s="46" t="inlineStr">
        <is>
          <t>상동</t>
        </is>
      </c>
      <c r="G2171" s="50" t="n">
        <v>0.5833333333333334</v>
      </c>
      <c r="H2171" s="51" t="n">
        <v>1221550</v>
      </c>
      <c r="I2171" s="46" t="inlineStr">
        <is>
          <t>정신배</t>
        </is>
      </c>
      <c r="K2171" s="46" t="n">
        <v>2170</v>
      </c>
      <c r="L2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2">
      <c r="A2172" s="229" t="n">
        <v>46191</v>
      </c>
      <c r="B2172" s="46" t="inlineStr">
        <is>
          <t>정기검사</t>
        </is>
      </c>
      <c r="C2172" s="46" t="inlineStr">
        <is>
          <t>부천지역</t>
        </is>
      </c>
      <c r="D2172" s="46" t="inlineStr">
        <is>
          <t>인천교구천주교회</t>
        </is>
      </c>
      <c r="E2172" s="46" t="n"/>
      <c r="F2172" s="46" t="inlineStr">
        <is>
          <t>중동</t>
        </is>
      </c>
      <c r="G2172" s="50" t="n">
        <v>0.3958333333333333</v>
      </c>
      <c r="H2172" s="51" t="n">
        <v>521730</v>
      </c>
      <c r="I2172" s="46" t="inlineStr">
        <is>
          <t>이덕기-허창수</t>
        </is>
      </c>
      <c r="K2172" s="46" t="n">
        <v>2171</v>
      </c>
      <c r="L2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3">
      <c r="A2173" s="229" t="n">
        <v>46191</v>
      </c>
      <c r="B2173" s="46" t="inlineStr">
        <is>
          <t>정기검사</t>
        </is>
      </c>
      <c r="C2173" s="46" t="inlineStr">
        <is>
          <t>부천지역</t>
        </is>
      </c>
      <c r="D2173" s="46" t="inlineStr">
        <is>
          <t>제어에스텍</t>
        </is>
      </c>
      <c r="E2173" s="46" t="n">
        <v>400</v>
      </c>
      <c r="F2173" s="46" t="inlineStr">
        <is>
          <t>도당동</t>
        </is>
      </c>
      <c r="G2173" s="50" t="n">
        <v>0.5</v>
      </c>
      <c r="H2173" s="51" t="n">
        <v>703120</v>
      </c>
      <c r="I2173" s="46" t="inlineStr">
        <is>
          <t>허창수</t>
        </is>
      </c>
      <c r="K2173" s="46" t="n">
        <v>2172</v>
      </c>
      <c r="L2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4">
      <c r="A2174" s="229" t="n">
        <v>46191</v>
      </c>
      <c r="B2174" s="46" t="inlineStr">
        <is>
          <t>정기검사</t>
        </is>
      </c>
      <c r="C2174" s="46" t="inlineStr">
        <is>
          <t>부천지역</t>
        </is>
      </c>
      <c r="D2174" s="46" t="inlineStr">
        <is>
          <t>유림빌딩</t>
        </is>
      </c>
      <c r="E2174" s="46" t="inlineStr">
        <is>
          <t>900/182</t>
        </is>
      </c>
      <c r="F2174" s="46" t="inlineStr">
        <is>
          <t>괴안동</t>
        </is>
      </c>
      <c r="G2174" s="50" t="n">
        <v>0.2708333333333333</v>
      </c>
      <c r="H2174" s="51" t="n">
        <v>1381820</v>
      </c>
      <c r="I2174" s="46" t="inlineStr">
        <is>
          <t>민재홍-민경수</t>
        </is>
      </c>
      <c r="K2174" s="46" t="n">
        <v>2173</v>
      </c>
      <c r="L2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5">
      <c r="A2175" s="229" t="n">
        <v>46191</v>
      </c>
      <c r="B2175" s="46" t="inlineStr">
        <is>
          <t>정기검사</t>
        </is>
      </c>
      <c r="C2175" s="46" t="inlineStr">
        <is>
          <t>부천지역</t>
        </is>
      </c>
      <c r="D2175" s="46" t="inlineStr">
        <is>
          <t>하얀마을주공</t>
        </is>
      </c>
      <c r="E2175" s="46" t="inlineStr">
        <is>
          <t>전기차</t>
        </is>
      </c>
      <c r="F2175" s="46" t="inlineStr">
        <is>
          <t>상동</t>
        </is>
      </c>
      <c r="G2175" s="50" t="n"/>
      <c r="H2175" s="51" t="n">
        <v>165880</v>
      </c>
      <c r="I2175" s="46" t="inlineStr">
        <is>
          <t>이덕기</t>
        </is>
      </c>
      <c r="K2175" s="46" t="n">
        <v>2174</v>
      </c>
      <c r="L2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6">
      <c r="A2176" s="229" t="n">
        <v>46191</v>
      </c>
      <c r="B2176" s="46" t="inlineStr">
        <is>
          <t>정기검사</t>
        </is>
      </c>
      <c r="C2176" s="46" t="inlineStr">
        <is>
          <t>부천지역</t>
        </is>
      </c>
      <c r="D2176" s="46" t="inlineStr">
        <is>
          <t>하얀마을주공</t>
        </is>
      </c>
      <c r="E2176" s="46" t="n"/>
      <c r="F2176" s="46" t="n"/>
      <c r="G2176" s="50" t="n"/>
      <c r="H2176" s="51" t="n">
        <v>1146200</v>
      </c>
      <c r="I2176" s="46" t="inlineStr">
        <is>
          <t>이덕기</t>
        </is>
      </c>
      <c r="K2176" s="46" t="n">
        <v>2175</v>
      </c>
      <c r="L2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7">
      <c r="A2177" s="229" t="n">
        <v>46191</v>
      </c>
      <c r="B2177" s="46" t="inlineStr">
        <is>
          <t>정기검사</t>
        </is>
      </c>
      <c r="C2177" s="46" t="inlineStr">
        <is>
          <t>김포지역</t>
        </is>
      </c>
      <c r="D2177" s="46" t="inlineStr">
        <is>
          <t>은성선재</t>
        </is>
      </c>
      <c r="E2177" s="46" t="n">
        <v>290</v>
      </c>
      <c r="F2177" s="46" t="inlineStr">
        <is>
          <t>송마리</t>
        </is>
      </c>
      <c r="G2177" s="50" t="n">
        <v>0.5208333333333334</v>
      </c>
      <c r="H2177" s="51" t="n">
        <v>515130</v>
      </c>
      <c r="I2177" s="46" t="inlineStr">
        <is>
          <t>서수형</t>
        </is>
      </c>
      <c r="K2177" s="46" t="n">
        <v>2176</v>
      </c>
      <c r="L2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8">
      <c r="A2178" s="229" t="n">
        <v>46191</v>
      </c>
      <c r="B2178" s="46" t="inlineStr">
        <is>
          <t>정기검사</t>
        </is>
      </c>
      <c r="C2178" s="46" t="inlineStr">
        <is>
          <t>김포지역</t>
        </is>
      </c>
      <c r="D2178" s="46" t="inlineStr">
        <is>
          <t>걸고은사람들</t>
        </is>
      </c>
      <c r="E2178" s="46" t="n">
        <v>400</v>
      </c>
      <c r="F2178" s="46" t="inlineStr">
        <is>
          <t>학운리</t>
        </is>
      </c>
      <c r="G2178" s="50" t="n">
        <v>0.5416666666666666</v>
      </c>
      <c r="H2178" s="51" t="n">
        <v>703120</v>
      </c>
      <c r="I2178" s="46" t="inlineStr">
        <is>
          <t>김영권</t>
        </is>
      </c>
      <c r="K2178" s="46" t="n">
        <v>2177</v>
      </c>
      <c r="L2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9">
      <c r="A2179" s="229" t="n">
        <v>46191</v>
      </c>
      <c r="B2179" s="46" t="inlineStr">
        <is>
          <t>정기검사</t>
        </is>
      </c>
      <c r="C2179" s="46" t="inlineStr">
        <is>
          <t>김포지역</t>
        </is>
      </c>
      <c r="D2179" s="46" t="inlineStr">
        <is>
          <t>지성엠에스</t>
        </is>
      </c>
      <c r="E2179" s="46" t="n">
        <v>900</v>
      </c>
      <c r="F2179" s="46" t="inlineStr">
        <is>
          <t>학운리</t>
        </is>
      </c>
      <c r="G2179" s="50" t="n">
        <v>0.4791666666666667</v>
      </c>
      <c r="H2179" s="51" t="n">
        <v>872520</v>
      </c>
      <c r="I2179" s="46" t="inlineStr">
        <is>
          <t>송두기</t>
        </is>
      </c>
      <c r="K2179" s="46" t="n">
        <v>2178</v>
      </c>
      <c r="L2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0">
      <c r="A2180" s="229" t="n">
        <v>46191</v>
      </c>
      <c r="B2180" s="46" t="inlineStr">
        <is>
          <t>정기검사</t>
        </is>
      </c>
      <c r="C2180" s="46" t="inlineStr">
        <is>
          <t>김포지역</t>
        </is>
      </c>
      <c r="D2180" s="46" t="inlineStr">
        <is>
          <t>현대실리콘</t>
        </is>
      </c>
      <c r="E2180" s="46" t="n">
        <v>98</v>
      </c>
      <c r="F2180" s="46" t="inlineStr">
        <is>
          <t>흥신리</t>
        </is>
      </c>
      <c r="G2180" s="50" t="n">
        <v>0.6041666666666666</v>
      </c>
      <c r="H2180" s="51" t="n">
        <v>253880</v>
      </c>
      <c r="I2180" s="46" t="inlineStr">
        <is>
          <t>민경수</t>
        </is>
      </c>
      <c r="K2180" s="46" t="n">
        <v>2179</v>
      </c>
      <c r="L2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1">
      <c r="A2181" s="229" t="n">
        <v>46191</v>
      </c>
      <c r="B2181" s="46" t="inlineStr">
        <is>
          <t>정기검사</t>
        </is>
      </c>
      <c r="C2181" s="46" t="inlineStr">
        <is>
          <t>김포지역</t>
        </is>
      </c>
      <c r="D2181" s="46" t="inlineStr">
        <is>
          <t>코리아마킹</t>
        </is>
      </c>
      <c r="E2181" s="46" t="n">
        <v>149</v>
      </c>
      <c r="F2181" s="46" t="inlineStr">
        <is>
          <t>흥신리</t>
        </is>
      </c>
      <c r="G2181" s="50" t="n">
        <v>0.4791666666666667</v>
      </c>
      <c r="H2181" s="51" t="n">
        <v>231550</v>
      </c>
      <c r="I2181" s="46" t="inlineStr">
        <is>
          <t>민경수</t>
        </is>
      </c>
      <c r="K2181" s="46" t="n">
        <v>2180</v>
      </c>
      <c r="L2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2">
      <c r="A2182" s="229" t="n">
        <v>46191</v>
      </c>
      <c r="B2182" s="46" t="inlineStr">
        <is>
          <t>정기검사</t>
        </is>
      </c>
      <c r="C2182" s="46" t="inlineStr">
        <is>
          <t>김포지역</t>
        </is>
      </c>
      <c r="D2182" s="46" t="inlineStr">
        <is>
          <t>라온-기배부</t>
        </is>
      </c>
      <c r="E2182" s="46" t="n">
        <v>250</v>
      </c>
      <c r="F2182" s="46" t="inlineStr">
        <is>
          <t>석정리</t>
        </is>
      </c>
      <c r="G2182" s="50" t="n">
        <v>0.5</v>
      </c>
      <c r="H2182" s="51" t="n">
        <v>489170</v>
      </c>
      <c r="I2182" s="46" t="inlineStr">
        <is>
          <t>민경수</t>
        </is>
      </c>
      <c r="K2182" s="46" t="n">
        <v>2181</v>
      </c>
      <c r="L2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3">
      <c r="A2183" s="229" t="n">
        <v>46191</v>
      </c>
      <c r="B2183" s="46" t="inlineStr">
        <is>
          <t>정기검사</t>
        </is>
      </c>
      <c r="C2183" s="46" t="inlineStr">
        <is>
          <t>김포지역</t>
        </is>
      </c>
      <c r="D2183" s="46" t="inlineStr">
        <is>
          <t>웅신주차타워</t>
        </is>
      </c>
      <c r="E2183" s="46" t="inlineStr">
        <is>
          <t>전기차</t>
        </is>
      </c>
      <c r="F2183" s="46" t="inlineStr">
        <is>
          <t>유현리</t>
        </is>
      </c>
      <c r="G2183" s="50" t="n">
        <v>0.4166666666666667</v>
      </c>
      <c r="H2183" s="51" t="n">
        <v>92070</v>
      </c>
      <c r="I2183" s="46" t="inlineStr">
        <is>
          <t>김영권</t>
        </is>
      </c>
      <c r="K2183" s="46" t="n">
        <v>2182</v>
      </c>
      <c r="L2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4">
      <c r="A2184" s="229" t="n">
        <v>46191</v>
      </c>
      <c r="B2184" s="46" t="inlineStr">
        <is>
          <t>정기검사</t>
        </is>
      </c>
      <c r="C2184" s="46" t="inlineStr">
        <is>
          <t>김포지역</t>
        </is>
      </c>
      <c r="D2184" s="46" t="inlineStr">
        <is>
          <t>선진네트윅스</t>
        </is>
      </c>
      <c r="E2184" s="46" t="n">
        <v>400</v>
      </c>
      <c r="F2184" s="46" t="inlineStr">
        <is>
          <t>대포리</t>
        </is>
      </c>
      <c r="G2184" s="50" t="n">
        <v>0.4166666666666667</v>
      </c>
      <c r="H2184" s="51" t="n">
        <v>703120</v>
      </c>
      <c r="I2184" s="46" t="inlineStr">
        <is>
          <t>송두기</t>
        </is>
      </c>
      <c r="K2184" s="46" t="n">
        <v>2183</v>
      </c>
      <c r="L2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5">
      <c r="A2185" s="229" t="n">
        <v>46191</v>
      </c>
      <c r="B2185" s="46" t="inlineStr">
        <is>
          <t>정기검사</t>
        </is>
      </c>
      <c r="C2185" s="46" t="inlineStr">
        <is>
          <t>김포지역</t>
        </is>
      </c>
      <c r="D2185" s="46" t="inlineStr">
        <is>
          <t>신안아파트</t>
        </is>
      </c>
      <c r="E2185" s="46" t="inlineStr">
        <is>
          <t>1700/3620</t>
        </is>
      </c>
      <c r="F2185" s="46" t="inlineStr">
        <is>
          <t>북변동</t>
        </is>
      </c>
      <c r="G2185" s="50" t="n">
        <v>0.4166666666666667</v>
      </c>
      <c r="H2185" s="51" t="n">
        <v>1235960</v>
      </c>
      <c r="I2185" s="46" t="inlineStr">
        <is>
          <t>민재홍</t>
        </is>
      </c>
      <c r="K2185" s="46" t="n">
        <v>2184</v>
      </c>
      <c r="L2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6">
      <c r="A2186" s="229" t="n">
        <v>46191</v>
      </c>
      <c r="B2186" s="46" t="inlineStr">
        <is>
          <t>사용전검사</t>
        </is>
      </c>
      <c r="C2186" s="46" t="inlineStr">
        <is>
          <t>부천지역</t>
        </is>
      </c>
      <c r="D2186" s="46" t="inlineStr">
        <is>
          <t>상동하얀마을주공</t>
        </is>
      </c>
      <c r="E2186" s="46" t="n">
        <v>1200</v>
      </c>
      <c r="F2186" s="46" t="inlineStr">
        <is>
          <t>상동</t>
        </is>
      </c>
      <c r="G2186" s="50" t="n"/>
      <c r="H2186" s="51" t="n"/>
      <c r="I2186" s="46" t="inlineStr">
        <is>
          <t>이덕기</t>
        </is>
      </c>
      <c r="K2186" s="46" t="n">
        <v>2185</v>
      </c>
      <c r="L2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7">
      <c r="A2187" s="229" t="n">
        <v>46191</v>
      </c>
      <c r="B2187" s="46" t="inlineStr">
        <is>
          <t>사용전검사</t>
        </is>
      </c>
      <c r="C2187" s="46" t="inlineStr">
        <is>
          <t>부천지역</t>
        </is>
      </c>
      <c r="D2187" s="46" t="inlineStr">
        <is>
          <t>한아름1차</t>
        </is>
      </c>
      <c r="E2187" s="46" t="n">
        <v>3000</v>
      </c>
      <c r="F2187" s="46" t="inlineStr">
        <is>
          <t>상동</t>
        </is>
      </c>
      <c r="G2187" s="50" t="n"/>
      <c r="H2187" s="51" t="n"/>
      <c r="I2187" s="46" t="inlineStr">
        <is>
          <t>허창수</t>
        </is>
      </c>
      <c r="K2187" s="46" t="n">
        <v>2186</v>
      </c>
      <c r="L2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8">
      <c r="A2188" s="229" t="n">
        <v>46191</v>
      </c>
      <c r="B2188" s="46" t="inlineStr">
        <is>
          <t>메모</t>
        </is>
      </c>
      <c r="C2188" s="46" t="inlineStr">
        <is>
          <t>부천지역</t>
        </is>
      </c>
      <c r="D2188" s="46" t="inlineStr">
        <is>
          <t>한태희휴가</t>
        </is>
      </c>
      <c r="E2188" s="46" t="n"/>
      <c r="F2188" s="46" t="n"/>
      <c r="G2188" s="50" t="n"/>
      <c r="H2188" s="51" t="n"/>
      <c r="I2188" s="46" t="n"/>
      <c r="K2188" s="46" t="n">
        <v>2187</v>
      </c>
      <c r="L2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9">
      <c r="A2189" s="229" t="n">
        <v>46191</v>
      </c>
      <c r="B2189" s="46" t="inlineStr">
        <is>
          <t>사용전검사</t>
        </is>
      </c>
      <c r="C2189" s="46" t="inlineStr">
        <is>
          <t>김포지역</t>
        </is>
      </c>
      <c r="D2189" s="46" t="inlineStr">
        <is>
          <t>대양피앤티</t>
        </is>
      </c>
      <c r="E2189" s="46" t="n">
        <v>145</v>
      </c>
      <c r="F2189" s="46" t="inlineStr">
        <is>
          <t>원산리</t>
        </is>
      </c>
      <c r="G2189" s="50" t="n"/>
      <c r="H2189" s="51" t="n"/>
      <c r="I2189" s="46" t="inlineStr">
        <is>
          <t>당효진</t>
        </is>
      </c>
      <c r="K2189" s="46" t="n">
        <v>2188</v>
      </c>
      <c r="L2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0">
      <c r="A2190" s="229" t="n">
        <v>46191</v>
      </c>
      <c r="B2190" s="46" t="inlineStr">
        <is>
          <t>사용전검사</t>
        </is>
      </c>
      <c r="C2190" s="46" t="inlineStr">
        <is>
          <t>김포지역</t>
        </is>
      </c>
      <c r="D2190" s="46" t="inlineStr">
        <is>
          <t>필에버</t>
        </is>
      </c>
      <c r="E2190" s="46" t="n">
        <v>32</v>
      </c>
      <c r="F2190" s="46" t="inlineStr">
        <is>
          <t>석탄리</t>
        </is>
      </c>
      <c r="G2190" s="50" t="n"/>
      <c r="H2190" s="51" t="n"/>
      <c r="I2190" s="46" t="inlineStr">
        <is>
          <t>당효진</t>
        </is>
      </c>
      <c r="K2190" s="46" t="n">
        <v>2189</v>
      </c>
      <c r="L2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1">
      <c r="A2191" s="229" t="n">
        <v>46191</v>
      </c>
      <c r="B2191" s="46" t="inlineStr">
        <is>
          <t>사용전검사</t>
        </is>
      </c>
      <c r="C2191" s="46" t="inlineStr">
        <is>
          <t>김포지역</t>
        </is>
      </c>
      <c r="D2191" s="46" t="inlineStr">
        <is>
          <t>보국태양광</t>
        </is>
      </c>
      <c r="E2191" s="46" t="n">
        <v>88</v>
      </c>
      <c r="F2191" s="46" t="inlineStr">
        <is>
          <t>고정리</t>
        </is>
      </c>
      <c r="G2191" s="50" t="n"/>
      <c r="H2191" s="51" t="n"/>
      <c r="I2191" s="46" t="inlineStr">
        <is>
          <t>당효진</t>
        </is>
      </c>
      <c r="K2191" s="46" t="n">
        <v>2190</v>
      </c>
      <c r="L2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2">
      <c r="A2192" s="229" t="n">
        <v>46191</v>
      </c>
      <c r="B2192" s="46" t="inlineStr">
        <is>
          <t>사용전검사</t>
        </is>
      </c>
      <c r="C2192" s="46" t="inlineStr">
        <is>
          <t>김포지역</t>
        </is>
      </c>
      <c r="D2192" s="46" t="inlineStr">
        <is>
          <t>주화태양광</t>
        </is>
      </c>
      <c r="E2192" s="46" t="n">
        <v>42</v>
      </c>
      <c r="F2192" s="46" t="inlineStr">
        <is>
          <t>상마리</t>
        </is>
      </c>
      <c r="G2192" s="50" t="n"/>
      <c r="H2192" s="51" t="n"/>
      <c r="I2192" s="46" t="inlineStr">
        <is>
          <t>서수형</t>
        </is>
      </c>
      <c r="K2192" s="46" t="n">
        <v>2191</v>
      </c>
      <c r="L2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3">
      <c r="A2193" s="229" t="n">
        <v>46192</v>
      </c>
      <c r="B2193" s="46" t="inlineStr">
        <is>
          <t>정기검사</t>
        </is>
      </c>
      <c r="C2193" s="46" t="inlineStr">
        <is>
          <t>부천지역</t>
        </is>
      </c>
      <c r="D2193" s="46" t="inlineStr">
        <is>
          <t>박준재전기</t>
        </is>
      </c>
      <c r="E2193" s="46" t="n">
        <v>290</v>
      </c>
      <c r="F2193" s="46" t="inlineStr">
        <is>
          <t>내동</t>
        </is>
      </c>
      <c r="G2193" s="50" t="n">
        <v>0.5</v>
      </c>
      <c r="H2193" s="51" t="n">
        <v>515130</v>
      </c>
      <c r="I2193" s="46" t="inlineStr">
        <is>
          <t>김영권</t>
        </is>
      </c>
      <c r="K2193" s="46" t="n">
        <v>2192</v>
      </c>
      <c r="L2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4">
      <c r="A2194" s="229" t="n">
        <v>46192</v>
      </c>
      <c r="B2194" s="46" t="inlineStr">
        <is>
          <t>정기검사</t>
        </is>
      </c>
      <c r="C2194" s="46" t="inlineStr">
        <is>
          <t>부천지역</t>
        </is>
      </c>
      <c r="D2194" s="46" t="inlineStr">
        <is>
          <t>에이스타워-g</t>
        </is>
      </c>
      <c r="E2194" s="46" t="n">
        <v>309</v>
      </c>
      <c r="F2194" s="46" t="inlineStr">
        <is>
          <t>심곡동</t>
        </is>
      </c>
      <c r="G2194" s="50" t="n">
        <v>0.4375</v>
      </c>
      <c r="H2194" s="51" t="n">
        <v>216150</v>
      </c>
      <c r="I2194" s="46" t="inlineStr">
        <is>
          <t>송두기</t>
        </is>
      </c>
      <c r="K2194" s="46" t="n">
        <v>2193</v>
      </c>
      <c r="L2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5">
      <c r="A2195" s="229" t="n">
        <v>46192</v>
      </c>
      <c r="B2195" s="46" t="inlineStr">
        <is>
          <t>정기검사</t>
        </is>
      </c>
      <c r="C2195" s="46" t="inlineStr">
        <is>
          <t>부천지역</t>
        </is>
      </c>
      <c r="D2195" s="46" t="inlineStr">
        <is>
          <t>포비스타오피스텔</t>
        </is>
      </c>
      <c r="E2195" s="46" t="inlineStr">
        <is>
          <t>2100/500</t>
        </is>
      </c>
      <c r="F2195" s="46" t="inlineStr">
        <is>
          <t>중동</t>
        </is>
      </c>
      <c r="G2195" s="50" t="n">
        <v>0.3958333333333333</v>
      </c>
      <c r="H2195" s="51" t="n">
        <v>1324510</v>
      </c>
      <c r="I2195" s="46" t="inlineStr">
        <is>
          <t>이덕기-김영권</t>
        </is>
      </c>
      <c r="K2195" s="46" t="n">
        <v>2194</v>
      </c>
      <c r="L2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6">
      <c r="A2196" s="229" t="n">
        <v>46192</v>
      </c>
      <c r="B2196" s="46" t="inlineStr">
        <is>
          <t>정기검사</t>
        </is>
      </c>
      <c r="C2196" s="46" t="inlineStr">
        <is>
          <t>부천지역</t>
        </is>
      </c>
      <c r="D2196" s="46" t="inlineStr">
        <is>
          <t>신성오토텍</t>
        </is>
      </c>
      <c r="E2196" s="46" t="n">
        <v>290</v>
      </c>
      <c r="F2196" s="46" t="inlineStr">
        <is>
          <t>내동</t>
        </is>
      </c>
      <c r="G2196" s="50" t="n">
        <v>0.5277777777777778</v>
      </c>
      <c r="H2196" s="51" t="n">
        <v>515130</v>
      </c>
      <c r="I2196" s="46" t="inlineStr">
        <is>
          <t>이덕기-김영권</t>
        </is>
      </c>
      <c r="K2196" s="46" t="n">
        <v>2195</v>
      </c>
      <c r="L2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7">
      <c r="A2197" s="229" t="n">
        <v>46192</v>
      </c>
      <c r="B2197" s="46" t="inlineStr">
        <is>
          <t>정기검사</t>
        </is>
      </c>
      <c r="C2197" s="46" t="inlineStr">
        <is>
          <t>부천지역</t>
        </is>
      </c>
      <c r="D2197" s="46" t="inlineStr">
        <is>
          <t>포비스타오피스텔</t>
        </is>
      </c>
      <c r="E2197" s="46" t="inlineStr">
        <is>
          <t>전기차</t>
        </is>
      </c>
      <c r="F2197" s="46" t="inlineStr">
        <is>
          <t>원미동</t>
        </is>
      </c>
      <c r="G2197" s="50" t="n">
        <v>0.3958333333333333</v>
      </c>
      <c r="H2197" s="51" t="n">
        <v>98120</v>
      </c>
      <c r="I2197" s="46" t="inlineStr">
        <is>
          <t>이덕기-김영권</t>
        </is>
      </c>
      <c r="K2197" s="46" t="n">
        <v>2196</v>
      </c>
      <c r="L2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8">
      <c r="A2198" s="229" t="n">
        <v>46192</v>
      </c>
      <c r="B2198" s="46" t="inlineStr">
        <is>
          <t>정기검사</t>
        </is>
      </c>
      <c r="C2198" s="46" t="inlineStr">
        <is>
          <t>김포지역</t>
        </is>
      </c>
      <c r="D2198" s="46" t="inlineStr">
        <is>
          <t>보헌타워</t>
        </is>
      </c>
      <c r="E2198" s="46" t="inlineStr">
        <is>
          <t>400/182</t>
        </is>
      </c>
      <c r="F2198" s="46" t="inlineStr">
        <is>
          <t>장기동</t>
        </is>
      </c>
      <c r="G2198" s="50" t="n">
        <v>0.7708333333333334</v>
      </c>
      <c r="H2198" s="51" t="n">
        <v>1161600</v>
      </c>
      <c r="I2198" s="46" t="inlineStr">
        <is>
          <t>서수형</t>
        </is>
      </c>
      <c r="K2198" s="46" t="n">
        <v>2197</v>
      </c>
      <c r="L2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9">
      <c r="A2199" s="229" t="n">
        <v>46192</v>
      </c>
      <c r="B2199" s="46" t="inlineStr">
        <is>
          <t>정기검사</t>
        </is>
      </c>
      <c r="C2199" s="46" t="inlineStr">
        <is>
          <t>김포지역</t>
        </is>
      </c>
      <c r="D2199" s="46" t="inlineStr">
        <is>
          <t>듀엘코리아</t>
        </is>
      </c>
      <c r="E2199" s="46" t="inlineStr">
        <is>
          <t>750/182</t>
        </is>
      </c>
      <c r="F2199" s="46" t="inlineStr">
        <is>
          <t>구래동</t>
        </is>
      </c>
      <c r="G2199" s="50" t="n">
        <v>0.4375</v>
      </c>
      <c r="H2199" s="51" t="n">
        <v>1011560</v>
      </c>
      <c r="I2199" s="46" t="inlineStr">
        <is>
          <t>민경수</t>
        </is>
      </c>
      <c r="K2199" s="46" t="n">
        <v>2198</v>
      </c>
      <c r="L2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0">
      <c r="A2200" s="229" t="n">
        <v>46192</v>
      </c>
      <c r="B2200" s="46" t="inlineStr">
        <is>
          <t>정기검사</t>
        </is>
      </c>
      <c r="C2200" s="46" t="inlineStr">
        <is>
          <t>김포지역</t>
        </is>
      </c>
      <c r="D2200" s="46" t="inlineStr">
        <is>
          <t>에스제이씨</t>
        </is>
      </c>
      <c r="E2200" s="46" t="n">
        <v>600</v>
      </c>
      <c r="F2200" s="46" t="inlineStr">
        <is>
          <t>원산리</t>
        </is>
      </c>
      <c r="G2200" s="50" t="n">
        <v>0.4166666666666667</v>
      </c>
      <c r="H2200" s="51" t="n">
        <v>770880</v>
      </c>
      <c r="I2200" s="46" t="inlineStr">
        <is>
          <t>허창수</t>
        </is>
      </c>
      <c r="K2200" s="46" t="n">
        <v>2199</v>
      </c>
      <c r="L2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1">
      <c r="A2201" s="229" t="n">
        <v>46192</v>
      </c>
      <c r="B2201" s="46" t="inlineStr">
        <is>
          <t>정기검사</t>
        </is>
      </c>
      <c r="C2201" s="46" t="inlineStr">
        <is>
          <t>김포지역</t>
        </is>
      </c>
      <c r="D2201" s="46" t="inlineStr">
        <is>
          <t>에스제이씨</t>
        </is>
      </c>
      <c r="E2201" s="46" t="n">
        <v>601</v>
      </c>
      <c r="F2201" s="46" t="inlineStr">
        <is>
          <t>원산리</t>
        </is>
      </c>
      <c r="G2201" s="50" t="n">
        <v>0.4583333333333333</v>
      </c>
      <c r="H2201" s="51" t="n">
        <v>770880</v>
      </c>
      <c r="I2201" s="46" t="inlineStr">
        <is>
          <t>이종석</t>
        </is>
      </c>
      <c r="K2201" s="46" t="n">
        <v>2200</v>
      </c>
      <c r="L2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2">
      <c r="A2202" s="229" t="n">
        <v>46192</v>
      </c>
      <c r="B2202" s="46" t="inlineStr">
        <is>
          <t>정기검사</t>
        </is>
      </c>
      <c r="C2202" s="46" t="inlineStr">
        <is>
          <t>김포지역</t>
        </is>
      </c>
      <c r="D2202" s="46" t="inlineStr">
        <is>
          <t>행복에너지</t>
        </is>
      </c>
      <c r="E2202" s="46" t="n">
        <v>69</v>
      </c>
      <c r="F2202" s="46" t="inlineStr">
        <is>
          <t>학운리</t>
        </is>
      </c>
      <c r="G2202" s="50" t="n">
        <v>0.6666666666666666</v>
      </c>
      <c r="H2202" s="51" t="n">
        <v>156970</v>
      </c>
      <c r="I2202" s="46" t="inlineStr">
        <is>
          <t>당효진</t>
        </is>
      </c>
      <c r="K2202" s="46" t="n">
        <v>2201</v>
      </c>
      <c r="L2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3">
      <c r="A2203" s="229" t="n">
        <v>46192</v>
      </c>
      <c r="B2203" s="46" t="inlineStr">
        <is>
          <t>정기검사</t>
        </is>
      </c>
      <c r="C2203" s="46" t="inlineStr">
        <is>
          <t>김포지역</t>
        </is>
      </c>
      <c r="D2203" s="46" t="inlineStr">
        <is>
          <t>풍경채</t>
        </is>
      </c>
      <c r="E2203" s="46" t="inlineStr">
        <is>
          <t>전기차</t>
        </is>
      </c>
      <c r="F2203" s="46" t="inlineStr">
        <is>
          <t>구래동</t>
        </is>
      </c>
      <c r="G2203" s="50" t="n">
        <v>0.4166666666666667</v>
      </c>
      <c r="H2203" s="51" t="n">
        <v>81180</v>
      </c>
      <c r="I2203" s="46" t="inlineStr">
        <is>
          <t>정신배</t>
        </is>
      </c>
      <c r="K2203" s="46" t="n">
        <v>2202</v>
      </c>
      <c r="L2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4">
      <c r="A2204" s="229" t="n">
        <v>46192</v>
      </c>
      <c r="B2204" s="46" t="inlineStr">
        <is>
          <t>정기검사</t>
        </is>
      </c>
      <c r="C2204" s="46" t="inlineStr">
        <is>
          <t>김포지역</t>
        </is>
      </c>
      <c r="D2204" s="46" t="inlineStr">
        <is>
          <t>대산부화장</t>
        </is>
      </c>
      <c r="E2204" s="46" t="inlineStr">
        <is>
          <t>400/181</t>
        </is>
      </c>
      <c r="F2204" s="46" t="inlineStr">
        <is>
          <t>송마리</t>
        </is>
      </c>
      <c r="G2204" s="50" t="n">
        <v>0.4583333333333333</v>
      </c>
      <c r="H2204" s="51" t="n">
        <v>893200</v>
      </c>
      <c r="I2204" s="46" t="inlineStr">
        <is>
          <t>정성관</t>
        </is>
      </c>
      <c r="K2204" s="46" t="n">
        <v>2203</v>
      </c>
      <c r="L2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5">
      <c r="A2205" s="229" t="n">
        <v>46192</v>
      </c>
      <c r="B2205" s="46" t="inlineStr">
        <is>
          <t>정기검사</t>
        </is>
      </c>
      <c r="C2205" s="46" t="inlineStr">
        <is>
          <t>김포지역</t>
        </is>
      </c>
      <c r="D2205" s="46" t="inlineStr">
        <is>
          <t>광장프라자</t>
        </is>
      </c>
      <c r="E2205" s="46" t="inlineStr">
        <is>
          <t>전기차</t>
        </is>
      </c>
      <c r="F2205" s="46" t="inlineStr">
        <is>
          <t>운양동</t>
        </is>
      </c>
      <c r="G2205" s="50" t="n">
        <v>0.4791666666666667</v>
      </c>
      <c r="H2205" s="51" t="n">
        <v>72710</v>
      </c>
      <c r="I2205" s="46" t="inlineStr">
        <is>
          <t>정성관</t>
        </is>
      </c>
      <c r="K2205" s="46" t="n">
        <v>2204</v>
      </c>
      <c r="L2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6">
      <c r="A2206" s="229" t="n">
        <v>46192</v>
      </c>
      <c r="B2206" s="46" t="inlineStr">
        <is>
          <t>사용전검사</t>
        </is>
      </c>
      <c r="C2206" s="46" t="inlineStr">
        <is>
          <t>부천지역</t>
        </is>
      </c>
      <c r="D2206" s="46" t="inlineStr">
        <is>
          <t>카페블룸</t>
        </is>
      </c>
      <c r="E2206" s="46" t="n">
        <v>15</v>
      </c>
      <c r="F2206" s="46" t="inlineStr">
        <is>
          <t>원미동</t>
        </is>
      </c>
      <c r="G2206" s="50" t="n"/>
      <c r="H2206" s="51" t="n"/>
      <c r="I2206" s="46" t="inlineStr">
        <is>
          <t>허창수</t>
        </is>
      </c>
      <c r="K2206" s="46" t="n">
        <v>2205</v>
      </c>
      <c r="L2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7">
      <c r="A2207" s="229" t="n">
        <v>46192</v>
      </c>
      <c r="B2207" s="46" t="inlineStr">
        <is>
          <t>사용전검사</t>
        </is>
      </c>
      <c r="C2207" s="46" t="inlineStr">
        <is>
          <t>부천지역</t>
        </is>
      </c>
      <c r="D2207" s="46" t="inlineStr">
        <is>
          <t>김용권전기설비</t>
        </is>
      </c>
      <c r="E2207" s="46" t="n">
        <v>65</v>
      </c>
      <c r="F2207" s="46" t="inlineStr">
        <is>
          <t>상동</t>
        </is>
      </c>
      <c r="G2207" s="50" t="n"/>
      <c r="H2207" s="51" t="n"/>
      <c r="I2207" s="46" t="inlineStr">
        <is>
          <t>송두기</t>
        </is>
      </c>
      <c r="K2207" s="46" t="n">
        <v>2206</v>
      </c>
      <c r="L2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8">
      <c r="A2208" s="229" t="n">
        <v>46192</v>
      </c>
      <c r="B2208" s="46" t="inlineStr">
        <is>
          <t>사용전검사</t>
        </is>
      </c>
      <c r="C2208" s="46" t="inlineStr">
        <is>
          <t>부천지역</t>
        </is>
      </c>
      <c r="D2208" s="46" t="inlineStr">
        <is>
          <t>동부전기</t>
        </is>
      </c>
      <c r="E2208" s="46" t="n">
        <v>130</v>
      </c>
      <c r="F2208" s="46" t="n"/>
      <c r="G2208" s="50" t="n"/>
      <c r="H2208" s="51" t="n"/>
      <c r="I2208" s="46" t="inlineStr">
        <is>
          <t>허창수</t>
        </is>
      </c>
      <c r="K2208" s="46" t="n">
        <v>2207</v>
      </c>
      <c r="L2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9">
      <c r="A2209" s="229" t="n">
        <v>46192</v>
      </c>
      <c r="B2209" s="46" t="inlineStr">
        <is>
          <t>메모</t>
        </is>
      </c>
      <c r="C2209" s="46" t="inlineStr">
        <is>
          <t>부천지역</t>
        </is>
      </c>
      <c r="D2209" s="46" t="inlineStr">
        <is>
          <t>한태희휴가</t>
        </is>
      </c>
      <c r="E2209" s="46" t="n"/>
      <c r="F2209" s="46" t="n"/>
      <c r="G2209" s="50" t="n"/>
      <c r="H2209" s="51" t="n"/>
      <c r="I2209" s="46" t="n"/>
      <c r="K2209" s="46" t="n">
        <v>2208</v>
      </c>
      <c r="L2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0">
      <c r="A2210" s="229" t="n">
        <v>46192</v>
      </c>
      <c r="B2210" s="46" t="inlineStr">
        <is>
          <t>사용전검사</t>
        </is>
      </c>
      <c r="C2210" s="46" t="inlineStr">
        <is>
          <t>김포지역</t>
        </is>
      </c>
      <c r="D2210" s="46" t="inlineStr">
        <is>
          <t>명인화장품</t>
        </is>
      </c>
      <c r="E2210" s="46" t="inlineStr">
        <is>
          <t>950/273</t>
        </is>
      </c>
      <c r="F2210" s="46" t="inlineStr">
        <is>
          <t>학운리</t>
        </is>
      </c>
      <c r="G2210" s="50" t="n"/>
      <c r="H2210" s="51" t="n"/>
      <c r="I2210" s="46" t="inlineStr">
        <is>
          <t>당효진</t>
        </is>
      </c>
      <c r="K2210" s="46" t="n">
        <v>2209</v>
      </c>
      <c r="L2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1">
      <c r="A2211" s="229" t="n">
        <v>46192</v>
      </c>
      <c r="B2211" s="46" t="inlineStr">
        <is>
          <t>사용전검사</t>
        </is>
      </c>
      <c r="C2211" s="46" t="inlineStr">
        <is>
          <t>김포지역</t>
        </is>
      </c>
      <c r="D2211" s="46" t="inlineStr">
        <is>
          <t>에프씨테크</t>
        </is>
      </c>
      <c r="E2211" s="46" t="n">
        <v>114</v>
      </c>
      <c r="F2211" s="46" t="inlineStr">
        <is>
          <t>학운리</t>
        </is>
      </c>
      <c r="G2211" s="50" t="n"/>
      <c r="H2211" s="51" t="n"/>
      <c r="I2211" s="46" t="inlineStr">
        <is>
          <t>민재홍</t>
        </is>
      </c>
      <c r="K2211" s="46" t="n">
        <v>2210</v>
      </c>
      <c r="L2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2">
      <c r="A2212" s="229" t="n">
        <v>46192</v>
      </c>
      <c r="B2212" s="46" t="inlineStr">
        <is>
          <t>사용전검사</t>
        </is>
      </c>
      <c r="C2212" s="46" t="inlineStr">
        <is>
          <t>김포지역</t>
        </is>
      </c>
      <c r="D2212" s="46" t="inlineStr">
        <is>
          <t>삼일기업</t>
        </is>
      </c>
      <c r="E2212" s="46" t="n">
        <v>276.225</v>
      </c>
      <c r="F2212" s="46" t="inlineStr">
        <is>
          <t>후평리</t>
        </is>
      </c>
      <c r="G2212" s="50" t="n"/>
      <c r="H2212" s="51" t="n"/>
      <c r="I2212" s="46" t="inlineStr">
        <is>
          <t>민경수</t>
        </is>
      </c>
      <c r="K2212" s="46" t="n">
        <v>2211</v>
      </c>
      <c r="L2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3">
      <c r="A2213" s="229" t="n">
        <v>46193</v>
      </c>
      <c r="B2213" s="46" t="inlineStr">
        <is>
          <t>정기검사</t>
        </is>
      </c>
      <c r="C2213" s="46" t="inlineStr">
        <is>
          <t>부천지역</t>
        </is>
      </c>
      <c r="D2213" s="46" t="inlineStr">
        <is>
          <t>대전유니온약품</t>
        </is>
      </c>
      <c r="E2213" s="46" t="inlineStr">
        <is>
          <t>2300/227</t>
        </is>
      </c>
      <c r="F2213" s="46" t="inlineStr">
        <is>
          <t>오정동</t>
        </is>
      </c>
      <c r="G2213" s="50" t="n">
        <v>0.4166666666666667</v>
      </c>
      <c r="H2213" s="51" t="n">
        <v>1690480</v>
      </c>
      <c r="I2213" s="46" t="inlineStr">
        <is>
          <t>정성관</t>
        </is>
      </c>
      <c r="K2213" s="46" t="n">
        <v>2212</v>
      </c>
      <c r="L2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4">
      <c r="A2214" s="229" t="n">
        <v>46193</v>
      </c>
      <c r="B2214" s="46" t="inlineStr">
        <is>
          <t>정기검사</t>
        </is>
      </c>
      <c r="C2214" s="46" t="inlineStr">
        <is>
          <t>부천지역</t>
        </is>
      </c>
      <c r="D2214" s="46" t="inlineStr">
        <is>
          <t>정방프라자</t>
        </is>
      </c>
      <c r="E2214" s="46" t="inlineStr">
        <is>
          <t>850/182</t>
        </is>
      </c>
      <c r="F2214" s="46" t="inlineStr">
        <is>
          <t>여월동</t>
        </is>
      </c>
      <c r="G2214" s="50" t="n">
        <v>0.5833333333333334</v>
      </c>
      <c r="H2214" s="51" t="n">
        <v>1359820</v>
      </c>
      <c r="I2214" s="46" t="inlineStr">
        <is>
          <t>김영권</t>
        </is>
      </c>
      <c r="K2214" s="46" t="n">
        <v>2213</v>
      </c>
      <c r="L2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5">
      <c r="A2215" s="229" t="n">
        <v>46193</v>
      </c>
      <c r="B2215" s="46" t="inlineStr">
        <is>
          <t>정기검사</t>
        </is>
      </c>
      <c r="C2215" s="46" t="inlineStr">
        <is>
          <t>부천지역</t>
        </is>
      </c>
      <c r="D2215" s="46" t="inlineStr">
        <is>
          <t>심곡행정복지</t>
        </is>
      </c>
      <c r="E2215" s="46" t="inlineStr">
        <is>
          <t>300/68</t>
        </is>
      </c>
      <c r="F2215" s="46" t="inlineStr">
        <is>
          <t>심곡동</t>
        </is>
      </c>
      <c r="G2215" s="50" t="n">
        <v>0.4166666666666667</v>
      </c>
      <c r="H2215" s="51" t="n">
        <v>881980</v>
      </c>
      <c r="I2215" s="46" t="inlineStr">
        <is>
          <t>송두기</t>
        </is>
      </c>
      <c r="K2215" s="46" t="n">
        <v>2214</v>
      </c>
      <c r="L2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6">
      <c r="A2216" s="229" t="n">
        <v>46193</v>
      </c>
      <c r="B2216" s="46" t="inlineStr">
        <is>
          <t>정기검사</t>
        </is>
      </c>
      <c r="C2216" s="46" t="inlineStr">
        <is>
          <t>부천지역</t>
        </is>
      </c>
      <c r="D2216" s="46" t="inlineStr">
        <is>
          <t>이원빌딩</t>
        </is>
      </c>
      <c r="E2216" s="46" t="inlineStr">
        <is>
          <t>500/225</t>
        </is>
      </c>
      <c r="F2216" s="46" t="inlineStr">
        <is>
          <t>중동</t>
        </is>
      </c>
      <c r="G2216" s="50" t="n">
        <v>0.3333333333333333</v>
      </c>
      <c r="H2216" s="51" t="n">
        <v>1226060</v>
      </c>
      <c r="I2216" s="46" t="inlineStr">
        <is>
          <t>정신배</t>
        </is>
      </c>
      <c r="K2216" s="46" t="n">
        <v>2215</v>
      </c>
      <c r="L2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7">
      <c r="A2217" s="229" t="n">
        <v>46193</v>
      </c>
      <c r="B2217" s="46" t="inlineStr">
        <is>
          <t>정기검사</t>
        </is>
      </c>
      <c r="C2217" s="46" t="inlineStr">
        <is>
          <t>부천지역</t>
        </is>
      </c>
      <c r="D2217" s="46" t="inlineStr">
        <is>
          <t>부천만화창작</t>
        </is>
      </c>
      <c r="E2217" s="46" t="n">
        <v>400</v>
      </c>
      <c r="F2217" s="46" t="inlineStr">
        <is>
          <t>원미동</t>
        </is>
      </c>
      <c r="G2217" s="50" t="n">
        <v>0.375</v>
      </c>
      <c r="H2217" s="51" t="n">
        <v>913990</v>
      </c>
      <c r="I2217" s="46" t="inlineStr">
        <is>
          <t>송두기</t>
        </is>
      </c>
      <c r="K2217" s="46" t="n">
        <v>2216</v>
      </c>
      <c r="L2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8">
      <c r="A2218" s="229" t="n">
        <v>46193</v>
      </c>
      <c r="B2218" s="46" t="inlineStr">
        <is>
          <t>정기검사</t>
        </is>
      </c>
      <c r="C2218" s="46" t="inlineStr">
        <is>
          <t>김포지역</t>
        </is>
      </c>
      <c r="D2218" s="46" t="inlineStr">
        <is>
          <t>전원마을</t>
        </is>
      </c>
      <c r="E2218" s="46" t="n">
        <v>7</v>
      </c>
      <c r="F2218" s="46" t="inlineStr">
        <is>
          <t>운양동</t>
        </is>
      </c>
      <c r="G2218" s="50" t="n">
        <v>0.4166666666666667</v>
      </c>
      <c r="H2218" s="51" t="n">
        <v>13200</v>
      </c>
      <c r="I2218" s="46" t="inlineStr">
        <is>
          <t>민경수</t>
        </is>
      </c>
      <c r="K2218" s="46" t="n">
        <v>2217</v>
      </c>
      <c r="L2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9">
      <c r="A2219" s="229" t="n">
        <v>46193</v>
      </c>
      <c r="B2219" s="46" t="inlineStr">
        <is>
          <t>정기검사</t>
        </is>
      </c>
      <c r="C2219" s="46" t="inlineStr">
        <is>
          <t>김포지역</t>
        </is>
      </c>
      <c r="D2219" s="46" t="inlineStr">
        <is>
          <t>제우스프라자</t>
        </is>
      </c>
      <c r="E2219" s="46" t="inlineStr">
        <is>
          <t>500/144</t>
        </is>
      </c>
      <c r="F2219" s="46" t="inlineStr">
        <is>
          <t>사우동</t>
        </is>
      </c>
      <c r="G2219" s="50" t="n">
        <v>0.2708333333333333</v>
      </c>
      <c r="H2219" s="51" t="n">
        <v>1191080</v>
      </c>
      <c r="I2219" s="46" t="inlineStr">
        <is>
          <t>민경수</t>
        </is>
      </c>
      <c r="K2219" s="46" t="n">
        <v>2218</v>
      </c>
      <c r="L2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0">
      <c r="A2220" s="229" t="n">
        <v>46193</v>
      </c>
      <c r="B2220" s="46" t="inlineStr">
        <is>
          <t>정기검사</t>
        </is>
      </c>
      <c r="C2220" s="46" t="inlineStr">
        <is>
          <t>김포지역</t>
        </is>
      </c>
      <c r="D2220" s="46" t="inlineStr">
        <is>
          <t>부성정밀</t>
        </is>
      </c>
      <c r="E2220" s="46" t="n">
        <v>200</v>
      </c>
      <c r="F2220" s="46" t="inlineStr">
        <is>
          <t>학운리</t>
        </is>
      </c>
      <c r="G2220" s="50" t="n">
        <v>0.3958333333333333</v>
      </c>
      <c r="H2220" s="51" t="n">
        <v>593670</v>
      </c>
      <c r="I2220" s="46" t="inlineStr">
        <is>
          <t>민재홍</t>
        </is>
      </c>
      <c r="K2220" s="46" t="n">
        <v>2219</v>
      </c>
      <c r="L2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1">
      <c r="A2221" s="229" t="n">
        <v>46193</v>
      </c>
      <c r="B2221" s="46" t="inlineStr">
        <is>
          <t>정기검사</t>
        </is>
      </c>
      <c r="C2221" s="46" t="inlineStr">
        <is>
          <t>김포지역</t>
        </is>
      </c>
      <c r="D2221" s="46" t="inlineStr">
        <is>
          <t>김포문화재단</t>
        </is>
      </c>
      <c r="E2221" s="46" t="inlineStr">
        <is>
          <t>1400/400</t>
        </is>
      </c>
      <c r="F2221" s="46" t="inlineStr">
        <is>
          <t>사우동</t>
        </is>
      </c>
      <c r="G2221" s="50" t="n">
        <v>0.75</v>
      </c>
      <c r="H2221" s="51" t="n">
        <v>1560790</v>
      </c>
      <c r="I2221" s="46" t="inlineStr">
        <is>
          <t>이덕기</t>
        </is>
      </c>
      <c r="K2221" s="46" t="n">
        <v>2220</v>
      </c>
      <c r="L2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2">
      <c r="A2222" s="229" t="n">
        <v>46193</v>
      </c>
      <c r="B2222" s="46" t="inlineStr">
        <is>
          <t>정기검사</t>
        </is>
      </c>
      <c r="C2222" s="46" t="inlineStr">
        <is>
          <t>김포지역</t>
        </is>
      </c>
      <c r="D2222" s="46" t="inlineStr">
        <is>
          <t>김포시청</t>
        </is>
      </c>
      <c r="E2222" s="46" t="n">
        <v>200</v>
      </c>
      <c r="F2222" s="46" t="inlineStr">
        <is>
          <t>사우동</t>
        </is>
      </c>
      <c r="G2222" s="50" t="n">
        <v>0.6875</v>
      </c>
      <c r="H2222" s="51" t="n">
        <v>752180</v>
      </c>
      <c r="I2222" s="46" t="inlineStr">
        <is>
          <t>허창수</t>
        </is>
      </c>
      <c r="K2222" s="46" t="n">
        <v>2221</v>
      </c>
      <c r="L2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3">
      <c r="A2223" s="229" t="n">
        <v>46193</v>
      </c>
      <c r="B2223" s="46" t="inlineStr">
        <is>
          <t>정기검사</t>
        </is>
      </c>
      <c r="C2223" s="46" t="inlineStr">
        <is>
          <t>김포지역</t>
        </is>
      </c>
      <c r="D2223" s="46" t="inlineStr">
        <is>
          <t>김포시청</t>
        </is>
      </c>
      <c r="E2223" s="46" t="n">
        <v>201</v>
      </c>
      <c r="F2223" s="46" t="inlineStr">
        <is>
          <t>사우동</t>
        </is>
      </c>
      <c r="G2223" s="50" t="n">
        <v>0.6875</v>
      </c>
      <c r="H2223" s="51" t="n">
        <v>752180</v>
      </c>
      <c r="I2223" s="46" t="inlineStr">
        <is>
          <t>허창수</t>
        </is>
      </c>
      <c r="K2223" s="46" t="n">
        <v>2222</v>
      </c>
      <c r="L2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4">
      <c r="A2224" s="229" t="n">
        <v>46193</v>
      </c>
      <c r="B2224" s="46" t="inlineStr">
        <is>
          <t>메모</t>
        </is>
      </c>
      <c r="C2224" s="46" t="inlineStr">
        <is>
          <t>부천지역</t>
        </is>
      </c>
      <c r="D2224" s="46" t="inlineStr">
        <is>
          <t>서수형휴가</t>
        </is>
      </c>
      <c r="E2224" s="46" t="n"/>
      <c r="F2224" s="46" t="n"/>
      <c r="G2224" s="50" t="n"/>
      <c r="H2224" s="51" t="n"/>
      <c r="I2224" s="46" t="n"/>
      <c r="K2224" s="46" t="n">
        <v>2223</v>
      </c>
      <c r="L2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5">
      <c r="A2225" s="229" t="n">
        <v>46193</v>
      </c>
      <c r="B2225" s="46" t="inlineStr">
        <is>
          <t>메모</t>
        </is>
      </c>
      <c r="C2225" s="46" t="inlineStr">
        <is>
          <t>부천지역</t>
        </is>
      </c>
      <c r="D2225" s="46" t="inlineStr">
        <is>
          <t>한태희휴가</t>
        </is>
      </c>
      <c r="E2225" s="46" t="n"/>
      <c r="F2225" s="46" t="n"/>
      <c r="G2225" s="50" t="n"/>
      <c r="H2225" s="51" t="n"/>
      <c r="I2225" s="46" t="n"/>
      <c r="K2225" s="46" t="n">
        <v>2224</v>
      </c>
      <c r="L2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6">
      <c r="A2226" s="229" t="n">
        <v>46194</v>
      </c>
      <c r="B2226" s="46" t="inlineStr">
        <is>
          <t>메모</t>
        </is>
      </c>
      <c r="C2226" s="46" t="inlineStr">
        <is>
          <t>부천지역</t>
        </is>
      </c>
      <c r="D2226" s="46" t="inlineStr">
        <is>
          <t>한태희휴가</t>
        </is>
      </c>
      <c r="E2226" s="46" t="n"/>
      <c r="F2226" s="46" t="n"/>
      <c r="G2226" s="50" t="n"/>
      <c r="H2226" s="51" t="n"/>
      <c r="I2226" s="46" t="n"/>
      <c r="K2226" s="46" t="n">
        <v>2225</v>
      </c>
      <c r="L2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7">
      <c r="A2227" s="229" t="n">
        <v>46195</v>
      </c>
      <c r="B2227" s="46" t="inlineStr">
        <is>
          <t>정기검사</t>
        </is>
      </c>
      <c r="C2227" s="46" t="inlineStr">
        <is>
          <t>부천지역</t>
        </is>
      </c>
      <c r="D2227" s="46" t="inlineStr">
        <is>
          <t>월드메르디앙</t>
        </is>
      </c>
      <c r="E2227" s="46" t="inlineStr">
        <is>
          <t>950/436</t>
        </is>
      </c>
      <c r="F2227" s="46" t="inlineStr">
        <is>
          <t>심곡본동</t>
        </is>
      </c>
      <c r="G2227" s="50" t="n">
        <v>0.4375</v>
      </c>
      <c r="H2227" s="51" t="n">
        <v>1132890</v>
      </c>
      <c r="I2227" s="46" t="inlineStr">
        <is>
          <t>정성관</t>
        </is>
      </c>
      <c r="K2227" s="46" t="n">
        <v>2226</v>
      </c>
      <c r="L2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8">
      <c r="A2228" s="229" t="n">
        <v>46195</v>
      </c>
      <c r="B2228" s="46" t="inlineStr">
        <is>
          <t>정기검사</t>
        </is>
      </c>
      <c r="C2228" s="46" t="inlineStr">
        <is>
          <t>부천지역</t>
        </is>
      </c>
      <c r="D2228" s="46" t="inlineStr">
        <is>
          <t>월드메르디앙(나이스인프라)</t>
        </is>
      </c>
      <c r="E2228" s="46" t="inlineStr">
        <is>
          <t>전기차</t>
        </is>
      </c>
      <c r="F2228" s="46" t="n"/>
      <c r="G2228" s="50" t="n"/>
      <c r="H2228" s="51" t="n">
        <v>204710</v>
      </c>
      <c r="I2228" s="46" t="inlineStr">
        <is>
          <t>정성관</t>
        </is>
      </c>
      <c r="K2228" s="46" t="n">
        <v>2227</v>
      </c>
      <c r="L2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9">
      <c r="A2229" s="229" t="n">
        <v>46195</v>
      </c>
      <c r="B2229" s="46" t="inlineStr">
        <is>
          <t>정기검사</t>
        </is>
      </c>
      <c r="C2229" s="46" t="inlineStr">
        <is>
          <t>부천지역</t>
        </is>
      </c>
      <c r="D2229" s="46" t="inlineStr">
        <is>
          <t>부성기업</t>
        </is>
      </c>
      <c r="E2229" s="46" t="n">
        <v>150</v>
      </c>
      <c r="F2229" s="46" t="inlineStr">
        <is>
          <t>도당동</t>
        </is>
      </c>
      <c r="G2229" s="50" t="n">
        <v>0.4791666666666667</v>
      </c>
      <c r="H2229" s="51" t="n">
        <v>424160</v>
      </c>
      <c r="I2229" s="46" t="inlineStr">
        <is>
          <t>송낙명</t>
        </is>
      </c>
      <c r="K2229" s="46" t="n">
        <v>2228</v>
      </c>
      <c r="L2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0">
      <c r="A2230" s="229" t="n">
        <v>46195</v>
      </c>
      <c r="B2230" s="46" t="inlineStr">
        <is>
          <t>정기검사</t>
        </is>
      </c>
      <c r="C2230" s="46" t="inlineStr">
        <is>
          <t>부천지역</t>
        </is>
      </c>
      <c r="D2230" s="46" t="inlineStr">
        <is>
          <t>거성스크린</t>
        </is>
      </c>
      <c r="E2230" s="46" t="n">
        <v>250</v>
      </c>
      <c r="F2230" s="46" t="inlineStr">
        <is>
          <t>내동</t>
        </is>
      </c>
      <c r="G2230" s="50" t="n">
        <v>0.5416666666666666</v>
      </c>
      <c r="H2230" s="51" t="n">
        <v>489170</v>
      </c>
      <c r="I2230" s="46" t="inlineStr">
        <is>
          <t>송낙명</t>
        </is>
      </c>
      <c r="K2230" s="46" t="n">
        <v>2229</v>
      </c>
      <c r="L2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1">
      <c r="A2231" s="229" t="n">
        <v>46195</v>
      </c>
      <c r="B2231" s="46" t="inlineStr">
        <is>
          <t>정기검사</t>
        </is>
      </c>
      <c r="C2231" s="46" t="inlineStr">
        <is>
          <t>부천지역</t>
        </is>
      </c>
      <c r="D2231" s="46" t="inlineStr">
        <is>
          <t>케이티</t>
        </is>
      </c>
      <c r="E2231" s="46" t="inlineStr">
        <is>
          <t>5750/1800</t>
        </is>
      </c>
      <c r="F2231" s="46" t="inlineStr">
        <is>
          <t>중동</t>
        </is>
      </c>
      <c r="G2231" s="50" t="n">
        <v>0.2708333333333333</v>
      </c>
      <c r="H2231" s="51" t="n">
        <v>3721190</v>
      </c>
      <c r="I2231" s="46" t="inlineStr">
        <is>
          <t>김영권</t>
        </is>
      </c>
      <c r="K2231" s="46" t="n">
        <v>2230</v>
      </c>
      <c r="L2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2">
      <c r="A2232" s="229" t="n">
        <v>46195</v>
      </c>
      <c r="B2232" s="46" t="inlineStr">
        <is>
          <t>정기검사</t>
        </is>
      </c>
      <c r="C2232" s="46" t="inlineStr">
        <is>
          <t>부천지역</t>
        </is>
      </c>
      <c r="D2232" s="46" t="inlineStr">
        <is>
          <t>아이파크</t>
        </is>
      </c>
      <c r="E2232" s="46" t="inlineStr">
        <is>
          <t>750/350</t>
        </is>
      </c>
      <c r="F2232" s="46" t="inlineStr">
        <is>
          <t>약대동</t>
        </is>
      </c>
      <c r="G2232" s="50" t="n">
        <v>0.4166666666666667</v>
      </c>
      <c r="H2232" s="51" t="n">
        <v>1046650</v>
      </c>
      <c r="I2232" s="46" t="inlineStr">
        <is>
          <t>송두기</t>
        </is>
      </c>
      <c r="K2232" s="46" t="n">
        <v>2231</v>
      </c>
      <c r="L2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3">
      <c r="A2233" s="229" t="n">
        <v>46195</v>
      </c>
      <c r="B2233" s="46" t="inlineStr">
        <is>
          <t>정기검사</t>
        </is>
      </c>
      <c r="C2233" s="46" t="inlineStr">
        <is>
          <t>부천지역</t>
        </is>
      </c>
      <c r="D2233" s="46" t="inlineStr">
        <is>
          <t>부천전화국</t>
        </is>
      </c>
      <c r="E2233" s="46" t="inlineStr">
        <is>
          <t>전기차</t>
        </is>
      </c>
      <c r="F2233" s="46" t="inlineStr">
        <is>
          <t>심곡동</t>
        </is>
      </c>
      <c r="G2233" s="50" t="n">
        <v>0.5416666666666666</v>
      </c>
      <c r="H2233" s="51" t="n">
        <v>98120</v>
      </c>
      <c r="I2233" s="46" t="inlineStr">
        <is>
          <t>송두기</t>
        </is>
      </c>
      <c r="K2233" s="46" t="n">
        <v>2232</v>
      </c>
      <c r="L2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4">
      <c r="A2234" s="229" t="n">
        <v>46195</v>
      </c>
      <c r="B2234" s="46" t="inlineStr">
        <is>
          <t>정기검사</t>
        </is>
      </c>
      <c r="C2234" s="46" t="inlineStr">
        <is>
          <t>김포지역</t>
        </is>
      </c>
      <c r="D2234" s="46" t="inlineStr">
        <is>
          <t>김포전류리태양</t>
        </is>
      </c>
      <c r="E2234" s="46" t="n">
        <v>98</v>
      </c>
      <c r="F2234" s="46" t="inlineStr">
        <is>
          <t>전류리</t>
        </is>
      </c>
      <c r="G2234" s="50" t="n">
        <v>0.3958333333333333</v>
      </c>
      <c r="H2234" s="51" t="n">
        <v>254430</v>
      </c>
      <c r="I2234" s="46" t="inlineStr">
        <is>
          <t>당효진</t>
        </is>
      </c>
      <c r="K2234" s="46" t="n">
        <v>2233</v>
      </c>
      <c r="L2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5">
      <c r="A2235" s="229" t="n">
        <v>46195</v>
      </c>
      <c r="B2235" s="46" t="inlineStr">
        <is>
          <t>정기검사</t>
        </is>
      </c>
      <c r="C2235" s="46" t="inlineStr">
        <is>
          <t>김포지역</t>
        </is>
      </c>
      <c r="D2235" s="46" t="inlineStr">
        <is>
          <t>김포전류리태양</t>
        </is>
      </c>
      <c r="E2235" s="46" t="n">
        <v>99</v>
      </c>
      <c r="F2235" s="46" t="inlineStr">
        <is>
          <t>전류리</t>
        </is>
      </c>
      <c r="G2235" s="50" t="n">
        <v>0.4375</v>
      </c>
      <c r="H2235" s="51" t="n">
        <v>255420</v>
      </c>
      <c r="I2235" s="46" t="inlineStr">
        <is>
          <t>당효진</t>
        </is>
      </c>
      <c r="K2235" s="46" t="n">
        <v>2234</v>
      </c>
      <c r="L2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6">
      <c r="A2236" s="229" t="n">
        <v>46195</v>
      </c>
      <c r="B2236" s="46" t="inlineStr">
        <is>
          <t>정기검사</t>
        </is>
      </c>
      <c r="C2236" s="46" t="inlineStr">
        <is>
          <t>김포지역</t>
        </is>
      </c>
      <c r="D2236" s="46" t="inlineStr">
        <is>
          <t>김포전류리태양</t>
        </is>
      </c>
      <c r="E2236" s="46" t="n">
        <v>100</v>
      </c>
      <c r="F2236" s="46" t="inlineStr">
        <is>
          <t>전류리</t>
        </is>
      </c>
      <c r="G2236" s="50" t="n">
        <v>0.4791666666666667</v>
      </c>
      <c r="H2236" s="51" t="n">
        <v>223300</v>
      </c>
      <c r="I2236" s="46" t="inlineStr">
        <is>
          <t>당효진</t>
        </is>
      </c>
      <c r="K2236" s="46" t="n">
        <v>2235</v>
      </c>
      <c r="L2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7">
      <c r="A2237" s="229" t="n">
        <v>46195</v>
      </c>
      <c r="B2237" s="46" t="inlineStr">
        <is>
          <t>정기검사</t>
        </is>
      </c>
      <c r="C2237" s="46" t="inlineStr">
        <is>
          <t>김포지역</t>
        </is>
      </c>
      <c r="D2237" s="46" t="inlineStr">
        <is>
          <t>길훈아파트</t>
        </is>
      </c>
      <c r="E2237" s="46" t="inlineStr">
        <is>
          <t>300/360</t>
        </is>
      </c>
      <c r="F2237" s="46" t="inlineStr">
        <is>
          <t>사우동</t>
        </is>
      </c>
      <c r="G2237" s="50" t="n">
        <v>0.5625</v>
      </c>
      <c r="H2237" s="51" t="n">
        <v>748880</v>
      </c>
      <c r="I2237" s="46" t="inlineStr">
        <is>
          <t>이종석</t>
        </is>
      </c>
      <c r="K2237" s="46" t="n">
        <v>2236</v>
      </c>
      <c r="L2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8">
      <c r="A2238" s="229" t="n">
        <v>46195</v>
      </c>
      <c r="B2238" s="46" t="inlineStr">
        <is>
          <t>정기검사</t>
        </is>
      </c>
      <c r="C2238" s="46" t="inlineStr">
        <is>
          <t>김포지역</t>
        </is>
      </c>
      <c r="D2238" s="46" t="inlineStr">
        <is>
          <t>은혜메탈</t>
        </is>
      </c>
      <c r="E2238" s="46" t="n">
        <v>295</v>
      </c>
      <c r="F2238" s="46" t="inlineStr">
        <is>
          <t>송마리</t>
        </is>
      </c>
      <c r="G2238" s="50" t="n">
        <v>0.5833333333333334</v>
      </c>
      <c r="H2238" s="51" t="n">
        <v>518430</v>
      </c>
      <c r="I2238" s="46" t="inlineStr">
        <is>
          <t>이덕기</t>
        </is>
      </c>
      <c r="K2238" s="46" t="n">
        <v>2237</v>
      </c>
      <c r="L2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9">
      <c r="A2239" s="229" t="n">
        <v>46195</v>
      </c>
      <c r="B2239" s="46" t="inlineStr">
        <is>
          <t>정기검사</t>
        </is>
      </c>
      <c r="C2239" s="46" t="inlineStr">
        <is>
          <t>김포지역</t>
        </is>
      </c>
      <c r="D2239" s="46" t="inlineStr">
        <is>
          <t>다우몰딩</t>
        </is>
      </c>
      <c r="E2239" s="46" t="inlineStr">
        <is>
          <t>재검사</t>
        </is>
      </c>
      <c r="F2239" s="46" t="inlineStr">
        <is>
          <t>가현리</t>
        </is>
      </c>
      <c r="G2239" s="50" t="n">
        <v>0.3958333333333333</v>
      </c>
      <c r="H2239" s="51" t="n"/>
      <c r="I2239" s="46" t="inlineStr">
        <is>
          <t>민재홍</t>
        </is>
      </c>
      <c r="K2239" s="46" t="n">
        <v>2238</v>
      </c>
      <c r="L2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0">
      <c r="A2240" s="229" t="n">
        <v>46195</v>
      </c>
      <c r="B2240" s="46" t="inlineStr">
        <is>
          <t>정기검사</t>
        </is>
      </c>
      <c r="C2240" s="46" t="inlineStr">
        <is>
          <t>김포지역</t>
        </is>
      </c>
      <c r="D2240" s="46" t="inlineStr">
        <is>
          <t>자동차환경</t>
        </is>
      </c>
      <c r="E2240" s="46" t="inlineStr">
        <is>
          <t>전기차</t>
        </is>
      </c>
      <c r="F2240" s="46" t="inlineStr">
        <is>
          <t>대곶,사우,마송</t>
        </is>
      </c>
      <c r="G2240" s="50" t="n">
        <v>0.3958333333333333</v>
      </c>
      <c r="H2240" s="51" t="n">
        <v>865700</v>
      </c>
      <c r="I2240" s="46" t="inlineStr">
        <is>
          <t>서수형</t>
        </is>
      </c>
      <c r="K2240" s="46" t="n">
        <v>2239</v>
      </c>
      <c r="L2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1">
      <c r="A2241" s="229" t="n">
        <v>46195</v>
      </c>
      <c r="B2241" s="46" t="inlineStr">
        <is>
          <t>정기검사</t>
        </is>
      </c>
      <c r="C2241" s="46" t="inlineStr">
        <is>
          <t>김포지역</t>
        </is>
      </c>
      <c r="D2241" s="46" t="inlineStr">
        <is>
          <t>럭스호텔</t>
        </is>
      </c>
      <c r="E2241" s="46" t="inlineStr">
        <is>
          <t>400/69</t>
        </is>
      </c>
      <c r="F2241" s="46" t="inlineStr">
        <is>
          <t>고촌</t>
        </is>
      </c>
      <c r="G2241" s="50" t="n">
        <v>0.4583333333333333</v>
      </c>
      <c r="H2241" s="51" t="n">
        <v>860090</v>
      </c>
      <c r="I2241" s="46" t="inlineStr">
        <is>
          <t>허창수</t>
        </is>
      </c>
      <c r="K2241" s="46" t="n">
        <v>2240</v>
      </c>
      <c r="L2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2">
      <c r="A2242" s="229" t="n">
        <v>46195</v>
      </c>
      <c r="B2242" s="46" t="inlineStr">
        <is>
          <t>정기검사</t>
        </is>
      </c>
      <c r="C2242" s="46" t="inlineStr">
        <is>
          <t>김포지역</t>
        </is>
      </c>
      <c r="D2242" s="46" t="inlineStr">
        <is>
          <t>다모아산업</t>
        </is>
      </c>
      <c r="E2242" s="46" t="n">
        <v>400</v>
      </c>
      <c r="F2242" s="46" t="inlineStr">
        <is>
          <t>쇄암리</t>
        </is>
      </c>
      <c r="G2242" s="50" t="n">
        <v>0.4791666666666667</v>
      </c>
      <c r="H2242" s="51" t="n">
        <v>703120</v>
      </c>
      <c r="I2242" s="46" t="inlineStr">
        <is>
          <t>한태희</t>
        </is>
      </c>
      <c r="K2242" s="46" t="n">
        <v>2241</v>
      </c>
      <c r="L2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3">
      <c r="A2243" s="229" t="n">
        <v>46195</v>
      </c>
      <c r="B2243" s="46" t="inlineStr">
        <is>
          <t>정기검사</t>
        </is>
      </c>
      <c r="C2243" s="46" t="inlineStr">
        <is>
          <t>김포지역</t>
        </is>
      </c>
      <c r="D2243" s="46" t="inlineStr">
        <is>
          <t>강해옥건물</t>
        </is>
      </c>
      <c r="E2243" s="46" t="n">
        <v>200</v>
      </c>
      <c r="F2243" s="46" t="inlineStr">
        <is>
          <t>북변동</t>
        </is>
      </c>
      <c r="G2243" s="50" t="n">
        <v>0.3958333333333333</v>
      </c>
      <c r="H2243" s="51" t="n">
        <v>456720</v>
      </c>
      <c r="I2243" s="46" t="inlineStr">
        <is>
          <t>이종석</t>
        </is>
      </c>
      <c r="K2243" s="46" t="n">
        <v>2242</v>
      </c>
      <c r="L2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4">
      <c r="A2244" s="229" t="n">
        <v>46195</v>
      </c>
      <c r="B2244" s="46" t="inlineStr">
        <is>
          <t>메모</t>
        </is>
      </c>
      <c r="C2244" s="46" t="inlineStr">
        <is>
          <t>부천지역</t>
        </is>
      </c>
      <c r="D2244" s="46" t="inlineStr">
        <is>
          <t>정성관-송낙명</t>
        </is>
      </c>
      <c r="E2244" s="46" t="n"/>
      <c r="F2244" s="46" t="n"/>
      <c r="G2244" s="50" t="n"/>
      <c r="H2244" s="51" t="n"/>
      <c r="I2244" s="46" t="n"/>
      <c r="K2244" s="46" t="n">
        <v>2243</v>
      </c>
      <c r="L2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5">
      <c r="A2245" s="229" t="n">
        <v>46195</v>
      </c>
      <c r="B2245" s="46" t="inlineStr">
        <is>
          <t>메모</t>
        </is>
      </c>
      <c r="C2245" s="46" t="inlineStr">
        <is>
          <t>부천지역</t>
        </is>
      </c>
      <c r="D2245" s="46" t="inlineStr">
        <is>
          <t>정신배휴가</t>
        </is>
      </c>
      <c r="E2245" s="46" t="n"/>
      <c r="F2245" s="46" t="n"/>
      <c r="G2245" s="50" t="n"/>
      <c r="H2245" s="51" t="n"/>
      <c r="I2245" s="46" t="n"/>
      <c r="K2245" s="46" t="n">
        <v>2244</v>
      </c>
      <c r="L2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6">
      <c r="A2246" s="229" t="n">
        <v>46195</v>
      </c>
      <c r="B2246" s="46" t="inlineStr">
        <is>
          <t>사용전검사</t>
        </is>
      </c>
      <c r="C2246" s="46" t="inlineStr">
        <is>
          <t>김포지역</t>
        </is>
      </c>
      <c r="D2246" s="46" t="inlineStr">
        <is>
          <t>무진환경1</t>
        </is>
      </c>
      <c r="E2246" s="46" t="n">
        <v>40</v>
      </c>
      <c r="F2246" s="46" t="inlineStr">
        <is>
          <t>율생리</t>
        </is>
      </c>
      <c r="G2246" s="50" t="n"/>
      <c r="H2246" s="51" t="n"/>
      <c r="I2246" s="46" t="inlineStr">
        <is>
          <t>민경수</t>
        </is>
      </c>
      <c r="K2246" s="46" t="n">
        <v>2245</v>
      </c>
      <c r="L2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7">
      <c r="A2247" s="229" t="n">
        <v>46195</v>
      </c>
      <c r="B2247" s="46" t="inlineStr">
        <is>
          <t>사용전검사</t>
        </is>
      </c>
      <c r="C2247" s="46" t="inlineStr">
        <is>
          <t>김포지역</t>
        </is>
      </c>
      <c r="D2247" s="46" t="inlineStr">
        <is>
          <t>다우몰딩</t>
        </is>
      </c>
      <c r="E2247" s="46" t="n">
        <v>150</v>
      </c>
      <c r="F2247" s="46" t="inlineStr">
        <is>
          <t>가현리</t>
        </is>
      </c>
      <c r="G2247" s="50" t="n"/>
      <c r="H2247" s="51" t="n"/>
      <c r="I2247" s="46" t="inlineStr">
        <is>
          <t>민재홍</t>
        </is>
      </c>
      <c r="K2247" s="46" t="n">
        <v>2246</v>
      </c>
      <c r="L2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8">
      <c r="A2248" s="229" t="n">
        <v>46195</v>
      </c>
      <c r="B2248" s="46" t="inlineStr">
        <is>
          <t>사용전검사</t>
        </is>
      </c>
      <c r="C2248" s="46" t="inlineStr">
        <is>
          <t>김포지역</t>
        </is>
      </c>
      <c r="D2248" s="46" t="inlineStr">
        <is>
          <t>유진태양광</t>
        </is>
      </c>
      <c r="E2248" s="46" t="n">
        <v>422</v>
      </c>
      <c r="F2248" s="46" t="inlineStr">
        <is>
          <t>학운리</t>
        </is>
      </c>
      <c r="G2248" s="50" t="n"/>
      <c r="H2248" s="51" t="n"/>
      <c r="I2248" s="46" t="inlineStr">
        <is>
          <t>민경수</t>
        </is>
      </c>
      <c r="K2248" s="46" t="n">
        <v>2247</v>
      </c>
      <c r="L2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9">
      <c r="A2249" s="229" t="n">
        <v>46195</v>
      </c>
      <c r="B2249" s="46" t="inlineStr">
        <is>
          <t>사용전검사</t>
        </is>
      </c>
      <c r="C2249" s="46" t="inlineStr">
        <is>
          <t>김포지역</t>
        </is>
      </c>
      <c r="D2249" s="46" t="inlineStr">
        <is>
          <t>마디미</t>
        </is>
      </c>
      <c r="E2249" s="46" t="n">
        <v>165</v>
      </c>
      <c r="F2249" s="46" t="inlineStr">
        <is>
          <t>학운리</t>
        </is>
      </c>
      <c r="G2249" s="50" t="n"/>
      <c r="H2249" s="51" t="n"/>
      <c r="I2249" s="46" t="inlineStr">
        <is>
          <t>한태희</t>
        </is>
      </c>
      <c r="K2249" s="46" t="n">
        <v>2248</v>
      </c>
      <c r="L2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0">
      <c r="A2250" s="229" t="n">
        <v>46195</v>
      </c>
      <c r="B2250" s="46" t="inlineStr">
        <is>
          <t>사용전검사</t>
        </is>
      </c>
      <c r="C2250" s="46" t="inlineStr">
        <is>
          <t>김포지역</t>
        </is>
      </c>
      <c r="D2250" s="46" t="inlineStr">
        <is>
          <t>에스더블유</t>
        </is>
      </c>
      <c r="E2250" s="46" t="n">
        <v>41</v>
      </c>
      <c r="F2250" s="46" t="inlineStr">
        <is>
          <t>학운리</t>
        </is>
      </c>
      <c r="G2250" s="50" t="n"/>
      <c r="H2250" s="51" t="n"/>
      <c r="I2250" s="46" t="inlineStr">
        <is>
          <t>이덕기</t>
        </is>
      </c>
      <c r="K2250" s="46" t="n">
        <v>2249</v>
      </c>
      <c r="L2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1">
      <c r="A2251" s="229" t="n">
        <v>46196</v>
      </c>
      <c r="B2251" s="46" t="inlineStr">
        <is>
          <t>정기검사</t>
        </is>
      </c>
      <c r="C2251" s="46" t="inlineStr">
        <is>
          <t>부천지역</t>
        </is>
      </c>
      <c r="D2251" s="46" t="inlineStr">
        <is>
          <t>이이홈아파트</t>
        </is>
      </c>
      <c r="E2251" s="46" t="inlineStr">
        <is>
          <t>500/409</t>
        </is>
      </c>
      <c r="F2251" s="46" t="inlineStr">
        <is>
          <t>송내동</t>
        </is>
      </c>
      <c r="G2251" s="50" t="n">
        <v>0.3958333333333333</v>
      </c>
      <c r="H2251" s="51" t="n">
        <v>974600</v>
      </c>
      <c r="I2251" s="46" t="inlineStr">
        <is>
          <t>민재홍</t>
        </is>
      </c>
      <c r="K2251" s="46" t="n">
        <v>2250</v>
      </c>
      <c r="L2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2">
      <c r="A2252" s="229" t="n">
        <v>46196</v>
      </c>
      <c r="B2252" s="46" t="inlineStr">
        <is>
          <t>정기검사</t>
        </is>
      </c>
      <c r="C2252" s="46" t="inlineStr">
        <is>
          <t>부천지역</t>
        </is>
      </c>
      <c r="D2252" s="46" t="inlineStr">
        <is>
          <t>은하마을 대우동부</t>
        </is>
      </c>
      <c r="E2252" s="46" t="inlineStr">
        <is>
          <t>전기차</t>
        </is>
      </c>
      <c r="F2252" s="46" t="inlineStr">
        <is>
          <t>중동</t>
        </is>
      </c>
      <c r="G2252" s="50" t="n">
        <v>0.625</v>
      </c>
      <c r="H2252" s="51" t="n">
        <v>301400</v>
      </c>
      <c r="I2252" s="46" t="inlineStr">
        <is>
          <t>송낙명</t>
        </is>
      </c>
      <c r="K2252" s="46" t="n">
        <v>2251</v>
      </c>
      <c r="L2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3">
      <c r="A2253" s="229" t="n">
        <v>46196</v>
      </c>
      <c r="B2253" s="46" t="inlineStr">
        <is>
          <t>정기검사</t>
        </is>
      </c>
      <c r="C2253" s="46" t="inlineStr">
        <is>
          <t>부천지역</t>
        </is>
      </c>
      <c r="D2253" s="46" t="inlineStr">
        <is>
          <t>씨엘오피스텔</t>
        </is>
      </c>
      <c r="E2253" s="46" t="n">
        <v>400</v>
      </c>
      <c r="F2253" s="46" t="inlineStr">
        <is>
          <t>심곡동</t>
        </is>
      </c>
      <c r="G2253" s="50" t="n">
        <v>0.4375</v>
      </c>
      <c r="H2253" s="51" t="n">
        <v>703120</v>
      </c>
      <c r="I2253" s="46" t="inlineStr">
        <is>
          <t>민재홍</t>
        </is>
      </c>
      <c r="K2253" s="46" t="n">
        <v>2252</v>
      </c>
      <c r="L2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4">
      <c r="A2254" s="229" t="n">
        <v>46196</v>
      </c>
      <c r="B2254" s="46" t="inlineStr">
        <is>
          <t>정기검사</t>
        </is>
      </c>
      <c r="C2254" s="46" t="inlineStr">
        <is>
          <t>부천지역</t>
        </is>
      </c>
      <c r="D2254" s="46" t="inlineStr">
        <is>
          <t>신성미소지음</t>
        </is>
      </c>
      <c r="E2254" s="46" t="inlineStr">
        <is>
          <t>2500/600</t>
        </is>
      </c>
      <c r="F2254" s="46" t="inlineStr">
        <is>
          <t>상동</t>
        </is>
      </c>
      <c r="G2254" s="50" t="n">
        <v>0.5625</v>
      </c>
      <c r="H2254" s="51" t="n">
        <v>1411740</v>
      </c>
      <c r="I2254" s="46" t="inlineStr">
        <is>
          <t>허창수</t>
        </is>
      </c>
      <c r="K2254" s="46" t="n">
        <v>2253</v>
      </c>
      <c r="L2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5">
      <c r="A2255" s="229" t="n">
        <v>46196</v>
      </c>
      <c r="B2255" s="46" t="inlineStr">
        <is>
          <t>정기검사</t>
        </is>
      </c>
      <c r="C2255" s="46" t="inlineStr">
        <is>
          <t>부천지역</t>
        </is>
      </c>
      <c r="D2255" s="46" t="inlineStr">
        <is>
          <t>풍진산업</t>
        </is>
      </c>
      <c r="E2255" s="46" t="n">
        <v>200</v>
      </c>
      <c r="F2255" s="46" t="inlineStr">
        <is>
          <t>삼정동</t>
        </is>
      </c>
      <c r="G2255" s="50" t="n">
        <v>0.5</v>
      </c>
      <c r="H2255" s="51" t="n">
        <v>456720</v>
      </c>
      <c r="I2255" s="46" t="inlineStr">
        <is>
          <t>이종석</t>
        </is>
      </c>
      <c r="K2255" s="46" t="n">
        <v>2254</v>
      </c>
      <c r="L2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6">
      <c r="A2256" s="229" t="n">
        <v>46196</v>
      </c>
      <c r="B2256" s="46" t="inlineStr">
        <is>
          <t>정기검사</t>
        </is>
      </c>
      <c r="C2256" s="46" t="inlineStr">
        <is>
          <t>부천지역</t>
        </is>
      </c>
      <c r="D2256" s="46" t="inlineStr">
        <is>
          <t>성가소비녀회</t>
        </is>
      </c>
      <c r="E2256" s="46" t="inlineStr">
        <is>
          <t>g125</t>
        </is>
      </c>
      <c r="F2256" s="46" t="inlineStr">
        <is>
          <t>송내동</t>
        </is>
      </c>
      <c r="G2256" s="50" t="n">
        <v>0.3958333333333333</v>
      </c>
      <c r="H2256" s="51" t="n">
        <v>173580</v>
      </c>
      <c r="I2256" s="46" t="inlineStr">
        <is>
          <t>허창수</t>
        </is>
      </c>
      <c r="K2256" s="46" t="n">
        <v>2255</v>
      </c>
      <c r="L2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7">
      <c r="A2257" s="229" t="n">
        <v>46196</v>
      </c>
      <c r="B2257" s="46" t="inlineStr">
        <is>
          <t>정기검사</t>
        </is>
      </c>
      <c r="C2257" s="46" t="inlineStr">
        <is>
          <t>부천지역</t>
        </is>
      </c>
      <c r="D2257" s="46" t="inlineStr">
        <is>
          <t>코리아마트</t>
        </is>
      </c>
      <c r="E2257" s="46" t="n">
        <v>225</v>
      </c>
      <c r="F2257" s="46" t="inlineStr">
        <is>
          <t>송내동</t>
        </is>
      </c>
      <c r="G2257" s="50" t="n"/>
      <c r="H2257" s="51" t="n">
        <v>614790</v>
      </c>
      <c r="I2257" s="46" t="inlineStr">
        <is>
          <t>민경수</t>
        </is>
      </c>
      <c r="K2257" s="46" t="n">
        <v>2256</v>
      </c>
      <c r="L2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8">
      <c r="A2258" s="229" t="n">
        <v>46196</v>
      </c>
      <c r="B2258" s="46" t="inlineStr">
        <is>
          <t>정기검사</t>
        </is>
      </c>
      <c r="C2258" s="46" t="inlineStr">
        <is>
          <t>부천지역</t>
        </is>
      </c>
      <c r="D2258" s="46" t="inlineStr">
        <is>
          <t>kcc엠파이어오피스텔</t>
        </is>
      </c>
      <c r="E2258" s="46" t="inlineStr">
        <is>
          <t>1800/455</t>
        </is>
      </c>
      <c r="F2258" s="46" t="inlineStr">
        <is>
          <t>심곡본동</t>
        </is>
      </c>
      <c r="G2258" s="50" t="n">
        <v>0.4375</v>
      </c>
      <c r="H2258" s="51" t="n">
        <v>1270940</v>
      </c>
      <c r="I2258" s="46" t="inlineStr">
        <is>
          <t>이종석</t>
        </is>
      </c>
      <c r="K2258" s="46" t="n">
        <v>2257</v>
      </c>
      <c r="L2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9">
      <c r="A2259" s="229" t="n">
        <v>46196</v>
      </c>
      <c r="B2259" s="46" t="inlineStr">
        <is>
          <t>정기검사</t>
        </is>
      </c>
      <c r="C2259" s="46" t="inlineStr">
        <is>
          <t>김포지역</t>
        </is>
      </c>
      <c r="D2259" s="46" t="inlineStr">
        <is>
          <t>월드메르디앙</t>
        </is>
      </c>
      <c r="E2259" s="46" t="inlineStr">
        <is>
          <t>5550/1023</t>
        </is>
      </c>
      <c r="F2259" s="46" t="inlineStr">
        <is>
          <t>풍무동</t>
        </is>
      </c>
      <c r="G2259" s="50" t="n">
        <v>0.4375</v>
      </c>
      <c r="H2259" s="51" t="n">
        <v>1921700</v>
      </c>
      <c r="I2259" s="46" t="inlineStr">
        <is>
          <t>당효진</t>
        </is>
      </c>
      <c r="K2259" s="46" t="n">
        <v>2258</v>
      </c>
      <c r="L2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0">
      <c r="A2260" s="229" t="n">
        <v>46196</v>
      </c>
      <c r="B2260" s="46" t="inlineStr">
        <is>
          <t>정기검사</t>
        </is>
      </c>
      <c r="C2260" s="46" t="inlineStr">
        <is>
          <t>김포지역</t>
        </is>
      </c>
      <c r="D2260" s="46" t="inlineStr">
        <is>
          <t>월드메르디앙</t>
        </is>
      </c>
      <c r="E2260" s="46" t="inlineStr">
        <is>
          <t>전기차</t>
        </is>
      </c>
      <c r="F2260" s="46" t="inlineStr">
        <is>
          <t>풍무동</t>
        </is>
      </c>
      <c r="G2260" s="50" t="n"/>
      <c r="H2260" s="51" t="n">
        <v>377630</v>
      </c>
      <c r="I2260" s="46" t="inlineStr">
        <is>
          <t>당효진</t>
        </is>
      </c>
      <c r="K2260" s="46" t="n">
        <v>2259</v>
      </c>
      <c r="L2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1">
      <c r="A2261" s="229" t="n">
        <v>46196</v>
      </c>
      <c r="B2261" s="46" t="inlineStr">
        <is>
          <t>정기검사</t>
        </is>
      </c>
      <c r="C2261" s="46" t="inlineStr">
        <is>
          <t>김포지역</t>
        </is>
      </c>
      <c r="D2261" s="46" t="inlineStr">
        <is>
          <t>조현산업</t>
        </is>
      </c>
      <c r="E2261" s="46" t="n">
        <v>250</v>
      </c>
      <c r="F2261" s="46" t="inlineStr">
        <is>
          <t>고정리</t>
        </is>
      </c>
      <c r="G2261" s="50" t="n">
        <v>0.4791666666666667</v>
      </c>
      <c r="H2261" s="51" t="n">
        <v>489170</v>
      </c>
      <c r="I2261" s="46" t="inlineStr">
        <is>
          <t>한태희</t>
        </is>
      </c>
      <c r="K2261" s="46" t="n">
        <v>2260</v>
      </c>
      <c r="L2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2">
      <c r="A2262" s="229" t="n">
        <v>46196</v>
      </c>
      <c r="B2262" s="46" t="inlineStr">
        <is>
          <t>정기검사</t>
        </is>
      </c>
      <c r="C2262" s="46" t="inlineStr">
        <is>
          <t>김포지역</t>
        </is>
      </c>
      <c r="D2262" s="46" t="inlineStr">
        <is>
          <t>케이이씨</t>
        </is>
      </c>
      <c r="E2262" s="46" t="n">
        <v>400</v>
      </c>
      <c r="F2262" s="46" t="inlineStr">
        <is>
          <t>송마리</t>
        </is>
      </c>
      <c r="G2262" s="50" t="n">
        <v>0.5208333333333334</v>
      </c>
      <c r="H2262" s="51" t="n">
        <v>703120</v>
      </c>
      <c r="I2262" s="46" t="inlineStr">
        <is>
          <t>송두기</t>
        </is>
      </c>
      <c r="K2262" s="46" t="n">
        <v>2261</v>
      </c>
      <c r="L2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3">
      <c r="A2263" s="229" t="n">
        <v>46196</v>
      </c>
      <c r="B2263" s="46" t="inlineStr">
        <is>
          <t>정기검사</t>
        </is>
      </c>
      <c r="C2263" s="46" t="inlineStr">
        <is>
          <t>김포지역</t>
        </is>
      </c>
      <c r="D2263" s="46" t="inlineStr">
        <is>
          <t>누리플랜</t>
        </is>
      </c>
      <c r="E2263" s="46" t="n">
        <v>400</v>
      </c>
      <c r="F2263" s="46" t="inlineStr">
        <is>
          <t>송마리</t>
        </is>
      </c>
      <c r="G2263" s="50" t="n">
        <v>0.4791666666666667</v>
      </c>
      <c r="H2263" s="51" t="n">
        <v>703120</v>
      </c>
      <c r="I2263" s="46" t="inlineStr">
        <is>
          <t>김영권</t>
        </is>
      </c>
      <c r="K2263" s="46" t="n">
        <v>2262</v>
      </c>
      <c r="L2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4">
      <c r="A2264" s="229" t="n">
        <v>46196</v>
      </c>
      <c r="B2264" s="46" t="inlineStr">
        <is>
          <t>정기검사</t>
        </is>
      </c>
      <c r="C2264" s="46" t="inlineStr">
        <is>
          <t>김포지역</t>
        </is>
      </c>
      <c r="D2264" s="46" t="inlineStr">
        <is>
          <t>멀티아이</t>
        </is>
      </c>
      <c r="E2264" s="46" t="n">
        <v>290</v>
      </c>
      <c r="F2264" s="46" t="inlineStr">
        <is>
          <t>대포리</t>
        </is>
      </c>
      <c r="G2264" s="50" t="n">
        <v>0.5</v>
      </c>
      <c r="H2264" s="51" t="n">
        <v>515130</v>
      </c>
      <c r="I2264" s="46" t="inlineStr">
        <is>
          <t>이덕기</t>
        </is>
      </c>
      <c r="K2264" s="46" t="n">
        <v>2263</v>
      </c>
      <c r="L2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5">
      <c r="A2265" s="229" t="n">
        <v>46196</v>
      </c>
      <c r="B2265" s="46" t="inlineStr">
        <is>
          <t>정기검사</t>
        </is>
      </c>
      <c r="C2265" s="46" t="inlineStr">
        <is>
          <t>김포지역</t>
        </is>
      </c>
      <c r="D2265" s="46" t="inlineStr">
        <is>
          <t>영은비철금속</t>
        </is>
      </c>
      <c r="E2265" s="46" t="n">
        <v>500</v>
      </c>
      <c r="F2265" s="46" t="inlineStr">
        <is>
          <t>귀전리</t>
        </is>
      </c>
      <c r="G2265" s="50" t="n">
        <v>0.5</v>
      </c>
      <c r="H2265" s="51" t="n">
        <v>737000</v>
      </c>
      <c r="I2265" s="46" t="inlineStr">
        <is>
          <t>정신배</t>
        </is>
      </c>
      <c r="K2265" s="46" t="n">
        <v>2264</v>
      </c>
      <c r="L2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6">
      <c r="A2266" s="229" t="n">
        <v>46196</v>
      </c>
      <c r="B2266" s="46" t="inlineStr">
        <is>
          <t>정기검사</t>
        </is>
      </c>
      <c r="C2266" s="46" t="inlineStr">
        <is>
          <t>김포지역</t>
        </is>
      </c>
      <c r="D2266" s="46" t="inlineStr">
        <is>
          <t>남정민</t>
        </is>
      </c>
      <c r="E2266" s="46" t="n">
        <v>300</v>
      </c>
      <c r="F2266" s="46" t="inlineStr">
        <is>
          <t>사우동</t>
        </is>
      </c>
      <c r="G2266" s="50" t="n">
        <v>0.3958333333333333</v>
      </c>
      <c r="H2266" s="51" t="n">
        <v>521730</v>
      </c>
      <c r="I2266" s="46" t="inlineStr">
        <is>
          <t>정성관</t>
        </is>
      </c>
      <c r="K2266" s="46" t="n">
        <v>2265</v>
      </c>
      <c r="L2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7">
      <c r="A2267" s="229" t="n">
        <v>46196</v>
      </c>
      <c r="B2267" s="46" t="inlineStr">
        <is>
          <t>사용전검사</t>
        </is>
      </c>
      <c r="C2267" s="46" t="inlineStr">
        <is>
          <t>부천지역</t>
        </is>
      </c>
      <c r="D2267" s="46" t="inlineStr">
        <is>
          <t>건우아파트</t>
        </is>
      </c>
      <c r="E2267" s="46" t="n">
        <v>57</v>
      </c>
      <c r="F2267" s="46" t="inlineStr">
        <is>
          <t>고강동</t>
        </is>
      </c>
      <c r="G2267" s="50" t="inlineStr">
        <is>
          <t>민경수</t>
        </is>
      </c>
      <c r="H2267" s="51" t="n"/>
      <c r="I2267" s="46" t="n"/>
      <c r="K2267" s="46" t="n">
        <v>2266</v>
      </c>
      <c r="L2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8">
      <c r="A2268" s="229" t="n">
        <v>46196</v>
      </c>
      <c r="B2268" s="46" t="inlineStr">
        <is>
          <t>사용전검사</t>
        </is>
      </c>
      <c r="C2268" s="46" t="inlineStr">
        <is>
          <t>부천지역</t>
        </is>
      </c>
      <c r="D2268" s="46" t="inlineStr">
        <is>
          <t>김양훈</t>
        </is>
      </c>
      <c r="E2268" s="46" t="n">
        <v>15</v>
      </c>
      <c r="F2268" s="46" t="inlineStr">
        <is>
          <t>역곡동</t>
        </is>
      </c>
      <c r="G2268" s="50" t="inlineStr">
        <is>
          <t>송낙명</t>
        </is>
      </c>
      <c r="H2268" s="51" t="n"/>
      <c r="I2268" s="46" t="n"/>
      <c r="K2268" s="46" t="n">
        <v>2267</v>
      </c>
      <c r="L2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9">
      <c r="A2269" s="229" t="n">
        <v>46196</v>
      </c>
      <c r="B2269" s="46" t="inlineStr">
        <is>
          <t>메모</t>
        </is>
      </c>
      <c r="C2269" s="46" t="inlineStr">
        <is>
          <t>부천지역</t>
        </is>
      </c>
      <c r="D2269" s="46" t="inlineStr">
        <is>
          <t>민재홍호후휴가</t>
        </is>
      </c>
      <c r="E2269" s="46" t="n"/>
      <c r="F2269" s="46" t="n"/>
      <c r="G2269" s="50" t="n"/>
      <c r="H2269" s="51" t="n"/>
      <c r="I2269" s="46" t="n"/>
      <c r="K2269" s="46" t="n">
        <v>2268</v>
      </c>
      <c r="L2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0">
      <c r="A2270" s="229" t="n">
        <v>46197</v>
      </c>
      <c r="B2270" s="46" t="inlineStr">
        <is>
          <t>정기검사</t>
        </is>
      </c>
      <c r="C2270" s="46" t="inlineStr">
        <is>
          <t>부천지역</t>
        </is>
      </c>
      <c r="D2270" s="46" t="inlineStr">
        <is>
          <t>신원빌딩</t>
        </is>
      </c>
      <c r="E2270" s="46" t="inlineStr">
        <is>
          <t>200/69</t>
        </is>
      </c>
      <c r="F2270" s="46" t="inlineStr">
        <is>
          <t>상동</t>
        </is>
      </c>
      <c r="G2270" s="50" t="n">
        <v>0.4166666666666667</v>
      </c>
      <c r="H2270" s="51" t="n">
        <v>613690</v>
      </c>
      <c r="I2270" s="46" t="inlineStr">
        <is>
          <t>이덕기</t>
        </is>
      </c>
      <c r="K2270" s="46" t="n">
        <v>2269</v>
      </c>
      <c r="L2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1">
      <c r="A2271" s="229" t="n">
        <v>46197</v>
      </c>
      <c r="B2271" s="46" t="inlineStr">
        <is>
          <t>정기검사</t>
        </is>
      </c>
      <c r="C2271" s="46" t="inlineStr">
        <is>
          <t>부천지역</t>
        </is>
      </c>
      <c r="D2271" s="46" t="inlineStr">
        <is>
          <t>혜성빌딩</t>
        </is>
      </c>
      <c r="E2271" s="46" t="n">
        <v>250</v>
      </c>
      <c r="F2271" s="46" t="inlineStr">
        <is>
          <t>도당동</t>
        </is>
      </c>
      <c r="G2271" s="50" t="n">
        <v>0.4791666666666667</v>
      </c>
      <c r="H2271" s="51" t="n">
        <v>489170</v>
      </c>
      <c r="I2271" s="46" t="inlineStr">
        <is>
          <t>송낙명</t>
        </is>
      </c>
      <c r="K2271" s="46" t="n">
        <v>2270</v>
      </c>
      <c r="L2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2">
      <c r="A2272" s="229" t="n">
        <v>46197</v>
      </c>
      <c r="B2272" s="46" t="inlineStr">
        <is>
          <t>정기검사</t>
        </is>
      </c>
      <c r="C2272" s="46" t="inlineStr">
        <is>
          <t>부천지역</t>
        </is>
      </c>
      <c r="D2272" s="46" t="inlineStr">
        <is>
          <t>대림아파트</t>
        </is>
      </c>
      <c r="E2272" s="46" t="inlineStr">
        <is>
          <t>1900/455</t>
        </is>
      </c>
      <c r="F2272" s="46" t="inlineStr">
        <is>
          <t>상동</t>
        </is>
      </c>
      <c r="G2272" s="50" t="n">
        <v>0.4166666666666667</v>
      </c>
      <c r="H2272" s="51" t="n">
        <v>1285570</v>
      </c>
      <c r="I2272" s="46" t="inlineStr">
        <is>
          <t>송낙명</t>
        </is>
      </c>
      <c r="K2272" s="46" t="n">
        <v>2271</v>
      </c>
      <c r="L2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3">
      <c r="A2273" s="229" t="n">
        <v>46197</v>
      </c>
      <c r="B2273" s="46" t="inlineStr">
        <is>
          <t>정기검사</t>
        </is>
      </c>
      <c r="C2273" s="46" t="inlineStr">
        <is>
          <t>부천지역</t>
        </is>
      </c>
      <c r="D2273" s="46" t="inlineStr">
        <is>
          <t>도양라비앙오피스텔</t>
        </is>
      </c>
      <c r="E2273" s="46" t="inlineStr">
        <is>
          <t>200/115</t>
        </is>
      </c>
      <c r="F2273" s="46" t="inlineStr">
        <is>
          <t>심곡동</t>
        </is>
      </c>
      <c r="G2273" s="50" t="n">
        <v>0.625</v>
      </c>
      <c r="H2273" s="51" t="n">
        <v>627330</v>
      </c>
      <c r="I2273" s="46" t="inlineStr">
        <is>
          <t>한태희</t>
        </is>
      </c>
      <c r="K2273" s="46" t="n">
        <v>2272</v>
      </c>
      <c r="L2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4">
      <c r="A2274" s="229" t="n">
        <v>46197</v>
      </c>
      <c r="B2274" s="46" t="inlineStr">
        <is>
          <t>정기검사</t>
        </is>
      </c>
      <c r="C2274" s="46" t="inlineStr">
        <is>
          <t>부천지역</t>
        </is>
      </c>
      <c r="D2274" s="46" t="inlineStr">
        <is>
          <t>빈센트타워</t>
        </is>
      </c>
      <c r="E2274" s="46" t="inlineStr">
        <is>
          <t>950/227</t>
        </is>
      </c>
      <c r="F2274" s="46" t="inlineStr">
        <is>
          <t>중동</t>
        </is>
      </c>
      <c r="G2274" s="50" t="n">
        <v>0.5416666666666666</v>
      </c>
      <c r="H2274" s="51" t="n">
        <v>1093180</v>
      </c>
      <c r="I2274" s="46" t="inlineStr">
        <is>
          <t>이종석</t>
        </is>
      </c>
      <c r="K2274" s="46" t="n">
        <v>2273</v>
      </c>
      <c r="L2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5">
      <c r="A2275" s="229" t="n">
        <v>46197</v>
      </c>
      <c r="B2275" s="46" t="inlineStr">
        <is>
          <t>정기검사</t>
        </is>
      </c>
      <c r="C2275" s="46" t="inlineStr">
        <is>
          <t>부천지역</t>
        </is>
      </c>
      <c r="D2275" s="46" t="inlineStr">
        <is>
          <t>테마프라자</t>
        </is>
      </c>
      <c r="E2275" s="46" t="inlineStr">
        <is>
          <t>500/145</t>
        </is>
      </c>
      <c r="F2275" s="46" t="inlineStr">
        <is>
          <t>상동</t>
        </is>
      </c>
      <c r="G2275" s="50" t="n">
        <v>0.25</v>
      </c>
      <c r="H2275" s="51" t="n">
        <v>1191410</v>
      </c>
      <c r="I2275" s="46" t="inlineStr">
        <is>
          <t>민경수</t>
        </is>
      </c>
      <c r="K2275" s="46" t="n">
        <v>2274</v>
      </c>
      <c r="L2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6">
      <c r="A2276" s="229" t="n">
        <v>46197</v>
      </c>
      <c r="B2276" s="46" t="inlineStr">
        <is>
          <t>정기검사</t>
        </is>
      </c>
      <c r="C2276" s="46" t="inlineStr">
        <is>
          <t>부천지역</t>
        </is>
      </c>
      <c r="D2276" s="46" t="inlineStr">
        <is>
          <t>인천교통공사</t>
        </is>
      </c>
      <c r="E2276" s="46" t="inlineStr">
        <is>
          <t>ups</t>
        </is>
      </c>
      <c r="F2276" s="46" t="inlineStr">
        <is>
          <t>상동</t>
        </is>
      </c>
      <c r="G2276" s="50" t="n">
        <v>0.6666666666666666</v>
      </c>
      <c r="H2276" s="51" t="n">
        <v>254760</v>
      </c>
      <c r="I2276" s="46" t="inlineStr">
        <is>
          <t>허창수</t>
        </is>
      </c>
      <c r="K2276" s="46" t="n">
        <v>2275</v>
      </c>
      <c r="L2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7">
      <c r="A2277" s="229" t="n">
        <v>46197</v>
      </c>
      <c r="B2277" s="46" t="inlineStr">
        <is>
          <t>정기검사</t>
        </is>
      </c>
      <c r="C2277" s="46" t="inlineStr">
        <is>
          <t>부천지역</t>
        </is>
      </c>
      <c r="D2277" s="46" t="inlineStr">
        <is>
          <t>인천교통공사</t>
        </is>
      </c>
      <c r="E2277" s="46" t="inlineStr">
        <is>
          <t>ups</t>
        </is>
      </c>
      <c r="F2277" s="46" t="inlineStr">
        <is>
          <t>상동</t>
        </is>
      </c>
      <c r="G2277" s="50" t="n">
        <v>0.7083333333333334</v>
      </c>
      <c r="H2277" s="51" t="n">
        <v>252560</v>
      </c>
      <c r="I2277" s="46" t="inlineStr">
        <is>
          <t>허창수</t>
        </is>
      </c>
      <c r="K2277" s="46" t="n">
        <v>2276</v>
      </c>
      <c r="L2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8">
      <c r="A2278" s="229" t="n">
        <v>46197</v>
      </c>
      <c r="B2278" s="46" t="inlineStr">
        <is>
          <t>정기검사</t>
        </is>
      </c>
      <c r="C2278" s="46" t="inlineStr">
        <is>
          <t>부천지역</t>
        </is>
      </c>
      <c r="D2278" s="46" t="inlineStr">
        <is>
          <t>완전정밀</t>
        </is>
      </c>
      <c r="E2278" s="46" t="n">
        <v>290</v>
      </c>
      <c r="F2278" s="46" t="inlineStr">
        <is>
          <t>삼정동</t>
        </is>
      </c>
      <c r="G2278" s="50" t="n">
        <v>0.5</v>
      </c>
      <c r="H2278" s="51" t="n">
        <v>515130</v>
      </c>
      <c r="I2278" s="46" t="inlineStr">
        <is>
          <t>한태희</t>
        </is>
      </c>
      <c r="K2278" s="46" t="n">
        <v>2277</v>
      </c>
      <c r="L2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9">
      <c r="A2279" s="229" t="n">
        <v>46197</v>
      </c>
      <c r="B2279" s="46" t="inlineStr">
        <is>
          <t>정기검사</t>
        </is>
      </c>
      <c r="C2279" s="46" t="inlineStr">
        <is>
          <t>김포지역</t>
        </is>
      </c>
      <c r="D2279" s="46" t="inlineStr">
        <is>
          <t>lh3단지(전기차포함인프라)</t>
        </is>
      </c>
      <c r="E2279" s="46" t="inlineStr">
        <is>
          <t>1450/650</t>
        </is>
      </c>
      <c r="F2279" s="46" t="inlineStr">
        <is>
          <t>구래동</t>
        </is>
      </c>
      <c r="G2279" s="50" t="n">
        <v>0.4583333333333333</v>
      </c>
      <c r="H2279" s="51" t="n">
        <v>1357070</v>
      </c>
      <c r="I2279" s="46" t="inlineStr">
        <is>
          <t>서수형</t>
        </is>
      </c>
      <c r="K2279" s="46" t="n">
        <v>2278</v>
      </c>
      <c r="L2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0">
      <c r="A2280" s="229" t="n">
        <v>46197</v>
      </c>
      <c r="B2280" s="46" t="inlineStr">
        <is>
          <t>정기검사</t>
        </is>
      </c>
      <c r="C2280" s="46" t="inlineStr">
        <is>
          <t>김포지역</t>
        </is>
      </c>
      <c r="D2280" s="46" t="inlineStr">
        <is>
          <t>레오테크</t>
        </is>
      </c>
      <c r="E2280" s="46" t="n">
        <v>600</v>
      </c>
      <c r="F2280" s="46" t="inlineStr">
        <is>
          <t>구래동</t>
        </is>
      </c>
      <c r="G2280" s="50" t="n">
        <v>0.4375</v>
      </c>
      <c r="H2280" s="51" t="n">
        <v>770880</v>
      </c>
      <c r="I2280" s="46" t="inlineStr">
        <is>
          <t>송두기</t>
        </is>
      </c>
      <c r="K2280" s="46" t="n">
        <v>2279</v>
      </c>
      <c r="L2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1">
      <c r="A2281" s="229" t="n">
        <v>46197</v>
      </c>
      <c r="B2281" s="46" t="inlineStr">
        <is>
          <t>정기검사</t>
        </is>
      </c>
      <c r="C2281" s="46" t="inlineStr">
        <is>
          <t>김포지역</t>
        </is>
      </c>
      <c r="D2281" s="46" t="inlineStr">
        <is>
          <t>한성교구</t>
        </is>
      </c>
      <c r="E2281" s="46" t="n">
        <v>390</v>
      </c>
      <c r="F2281" s="46" t="inlineStr">
        <is>
          <t>가현리</t>
        </is>
      </c>
      <c r="G2281" s="50" t="n">
        <v>0.4166666666666667</v>
      </c>
      <c r="H2281" s="51" t="n">
        <v>699710</v>
      </c>
      <c r="I2281" s="46" t="inlineStr">
        <is>
          <t>김영권</t>
        </is>
      </c>
      <c r="K2281" s="46" t="n">
        <v>2280</v>
      </c>
      <c r="L2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2">
      <c r="A2282" s="229" t="n">
        <v>46197</v>
      </c>
      <c r="B2282" s="46" t="inlineStr">
        <is>
          <t>정기검사</t>
        </is>
      </c>
      <c r="C2282" s="46" t="inlineStr">
        <is>
          <t>김포지역</t>
        </is>
      </c>
      <c r="D2282" s="46" t="inlineStr">
        <is>
          <t>대진아트와이어</t>
        </is>
      </c>
      <c r="E2282" s="46" t="n">
        <v>290</v>
      </c>
      <c r="F2282" s="46" t="inlineStr">
        <is>
          <t>개곡리</t>
        </is>
      </c>
      <c r="G2282" s="50" t="n">
        <v>0.5</v>
      </c>
      <c r="H2282" s="51" t="n">
        <v>515130</v>
      </c>
      <c r="I2282" s="46" t="inlineStr">
        <is>
          <t>송두기</t>
        </is>
      </c>
      <c r="K2282" s="46" t="n">
        <v>2281</v>
      </c>
      <c r="L2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3">
      <c r="A2283" s="229" t="n">
        <v>46197</v>
      </c>
      <c r="B2283" s="46" t="inlineStr">
        <is>
          <t>정기검사</t>
        </is>
      </c>
      <c r="C2283" s="46" t="inlineStr">
        <is>
          <t>김포지역</t>
        </is>
      </c>
      <c r="D2283" s="46" t="inlineStr">
        <is>
          <t>신화태양광</t>
        </is>
      </c>
      <c r="E2283" s="46" t="n">
        <v>61</v>
      </c>
      <c r="F2283" s="46" t="inlineStr">
        <is>
          <t>원산리</t>
        </is>
      </c>
      <c r="G2283" s="50" t="n">
        <v>0.5208333333333334</v>
      </c>
      <c r="H2283" s="51" t="n">
        <v>215820</v>
      </c>
      <c r="I2283" s="46" t="inlineStr">
        <is>
          <t>정신배</t>
        </is>
      </c>
      <c r="K2283" s="46" t="n">
        <v>2282</v>
      </c>
      <c r="L2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4">
      <c r="A2284" s="229" t="n">
        <v>46197</v>
      </c>
      <c r="B2284" s="46" t="inlineStr">
        <is>
          <t>정기검사</t>
        </is>
      </c>
      <c r="C2284" s="46" t="inlineStr">
        <is>
          <t>김포지역</t>
        </is>
      </c>
      <c r="D2284" s="46" t="inlineStr">
        <is>
          <t>신화태양광</t>
        </is>
      </c>
      <c r="E2284" s="46" t="n">
        <v>62</v>
      </c>
      <c r="F2284" s="46" t="inlineStr">
        <is>
          <t>원산리</t>
        </is>
      </c>
      <c r="G2284" s="50" t="n">
        <v>0.5625</v>
      </c>
      <c r="H2284" s="51" t="n">
        <v>215820</v>
      </c>
      <c r="I2284" s="46" t="inlineStr">
        <is>
          <t>정신배</t>
        </is>
      </c>
      <c r="K2284" s="46" t="n">
        <v>2283</v>
      </c>
      <c r="L2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5">
      <c r="A2285" s="229" t="n">
        <v>46197</v>
      </c>
      <c r="B2285" s="46" t="inlineStr">
        <is>
          <t>정기검사</t>
        </is>
      </c>
      <c r="C2285" s="46" t="inlineStr">
        <is>
          <t>김포지역</t>
        </is>
      </c>
      <c r="D2285" s="46" t="inlineStr">
        <is>
          <t>군자모라돈</t>
        </is>
      </c>
      <c r="E2285" s="46" t="n">
        <v>300</v>
      </c>
      <c r="F2285" s="46" t="inlineStr">
        <is>
          <t>석탄리</t>
        </is>
      </c>
      <c r="G2285" s="50" t="n">
        <v>0.4375</v>
      </c>
      <c r="H2285" s="51" t="n">
        <v>521730</v>
      </c>
      <c r="I2285" s="46" t="inlineStr">
        <is>
          <t>정성관</t>
        </is>
      </c>
      <c r="K2285" s="46" t="n">
        <v>2284</v>
      </c>
      <c r="L2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6">
      <c r="A2286" s="229" t="n">
        <v>46197</v>
      </c>
      <c r="B2286" s="46" t="inlineStr">
        <is>
          <t>사용전검사</t>
        </is>
      </c>
      <c r="C2286" s="46" t="inlineStr">
        <is>
          <t>부천지역</t>
        </is>
      </c>
      <c r="D2286" s="46" t="inlineStr">
        <is>
          <t>디엘건설</t>
        </is>
      </c>
      <c r="E2286" s="46" t="n">
        <v>500</v>
      </c>
      <c r="F2286" s="46" t="inlineStr">
        <is>
          <t>오정동</t>
        </is>
      </c>
      <c r="G2286" s="50" t="n"/>
      <c r="H2286" s="51" t="n"/>
      <c r="I2286" s="46" t="inlineStr">
        <is>
          <t>민경수</t>
        </is>
      </c>
      <c r="K2286" s="46" t="n">
        <v>2285</v>
      </c>
      <c r="L2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7">
      <c r="A2287" s="229" t="n">
        <v>46197</v>
      </c>
      <c r="B2287" s="46" t="inlineStr">
        <is>
          <t>메모</t>
        </is>
      </c>
      <c r="C2287" s="46" t="inlineStr">
        <is>
          <t>부천지역</t>
        </is>
      </c>
      <c r="D2287" s="46" t="inlineStr">
        <is>
          <t>민재홍휴가</t>
        </is>
      </c>
      <c r="E2287" s="46" t="n"/>
      <c r="F2287" s="46" t="n"/>
      <c r="G2287" s="50" t="n"/>
      <c r="H2287" s="51" t="n"/>
      <c r="I2287" s="46" t="n"/>
      <c r="K2287" s="46" t="n">
        <v>2286</v>
      </c>
      <c r="L2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8">
      <c r="A2288" s="229" t="n">
        <v>46197</v>
      </c>
      <c r="B2288" s="46" t="inlineStr">
        <is>
          <t>메모</t>
        </is>
      </c>
      <c r="C2288" s="46" t="inlineStr">
        <is>
          <t>부천지역</t>
        </is>
      </c>
      <c r="D2288" s="46" t="inlineStr">
        <is>
          <t>민경수-송낙명</t>
        </is>
      </c>
      <c r="E2288" s="46" t="n"/>
      <c r="F2288" s="46" t="n"/>
      <c r="G2288" s="50" t="n"/>
      <c r="H2288" s="51" t="n"/>
      <c r="I2288" s="46" t="n"/>
      <c r="K2288" s="46" t="n">
        <v>2287</v>
      </c>
      <c r="L2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9">
      <c r="A2289" s="229" t="n">
        <v>46198</v>
      </c>
      <c r="B2289" s="46" t="inlineStr">
        <is>
          <t>정기검사</t>
        </is>
      </c>
      <c r="C2289" s="46" t="inlineStr">
        <is>
          <t>부천지역</t>
        </is>
      </c>
      <c r="D2289" s="46" t="inlineStr">
        <is>
          <t>서해아파트</t>
        </is>
      </c>
      <c r="E2289" s="46" t="inlineStr">
        <is>
          <t>1800/455/전기차</t>
        </is>
      </c>
      <c r="F2289" s="46" t="inlineStr">
        <is>
          <t>상동</t>
        </is>
      </c>
      <c r="G2289" s="50" t="n">
        <v>0.5833333333333334</v>
      </c>
      <c r="H2289" s="51" t="n">
        <v>1343650</v>
      </c>
      <c r="I2289" s="46" t="inlineStr">
        <is>
          <t>정성관</t>
        </is>
      </c>
      <c r="K2289" s="46" t="n">
        <v>2288</v>
      </c>
      <c r="L2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0">
      <c r="A2290" s="229" t="n">
        <v>46198</v>
      </c>
      <c r="B2290" s="46" t="inlineStr">
        <is>
          <t>정기검사</t>
        </is>
      </c>
      <c r="C2290" s="46" t="inlineStr">
        <is>
          <t>부천지역</t>
        </is>
      </c>
      <c r="D2290" s="46" t="inlineStr">
        <is>
          <t>영전</t>
        </is>
      </c>
      <c r="E2290" s="46" t="n">
        <v>500</v>
      </c>
      <c r="F2290" s="46" t="inlineStr">
        <is>
          <t>도당동</t>
        </is>
      </c>
      <c r="G2290" s="50" t="n">
        <v>0.4861111111111111</v>
      </c>
      <c r="H2290" s="51" t="n">
        <v>737000</v>
      </c>
      <c r="I2290" s="46" t="inlineStr">
        <is>
          <t>정신배</t>
        </is>
      </c>
      <c r="K2290" s="46" t="n">
        <v>2289</v>
      </c>
      <c r="L2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1">
      <c r="A2291" s="229" t="n">
        <v>46198</v>
      </c>
      <c r="B2291" s="46" t="inlineStr">
        <is>
          <t>정기검사</t>
        </is>
      </c>
      <c r="C2291" s="46" t="inlineStr">
        <is>
          <t>부천지역</t>
        </is>
      </c>
      <c r="D2291" s="46" t="inlineStr">
        <is>
          <t>태영프라자</t>
        </is>
      </c>
      <c r="E2291" s="46" t="inlineStr">
        <is>
          <t>400/145</t>
        </is>
      </c>
      <c r="F2291" s="46" t="inlineStr">
        <is>
          <t>상동</t>
        </is>
      </c>
      <c r="G2291" s="50" t="n">
        <v>0.3958333333333333</v>
      </c>
      <c r="H2291" s="51" t="n">
        <v>882640</v>
      </c>
      <c r="I2291" s="46" t="inlineStr">
        <is>
          <t>정신배</t>
        </is>
      </c>
      <c r="K2291" s="46" t="n">
        <v>2290</v>
      </c>
      <c r="L2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2">
      <c r="A2292" s="229" t="n">
        <v>46198</v>
      </c>
      <c r="B2292" s="46" t="inlineStr">
        <is>
          <t>정기검사</t>
        </is>
      </c>
      <c r="C2292" s="46" t="inlineStr">
        <is>
          <t>부천지역</t>
        </is>
      </c>
      <c r="D2292" s="46" t="inlineStr">
        <is>
          <t>경우산업</t>
        </is>
      </c>
      <c r="E2292" s="46" t="n">
        <v>290</v>
      </c>
      <c r="F2292" s="46" t="inlineStr">
        <is>
          <t>오정동</t>
        </is>
      </c>
      <c r="G2292" s="50" t="n">
        <v>0.5416666666666666</v>
      </c>
      <c r="H2292" s="51" t="n">
        <v>515130</v>
      </c>
      <c r="I2292" s="46" t="inlineStr">
        <is>
          <t>송두기</t>
        </is>
      </c>
      <c r="K2292" s="46" t="n">
        <v>2291</v>
      </c>
      <c r="L2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3">
      <c r="A2293" s="229" t="n">
        <v>46198</v>
      </c>
      <c r="B2293" s="46" t="inlineStr">
        <is>
          <t>정기검사</t>
        </is>
      </c>
      <c r="C2293" s="46" t="inlineStr">
        <is>
          <t>부천지역</t>
        </is>
      </c>
      <c r="D2293" s="46" t="inlineStr">
        <is>
          <t>부천메티홀의원</t>
        </is>
      </c>
      <c r="E2293" s="46" t="inlineStr">
        <is>
          <t>700/228</t>
        </is>
      </c>
      <c r="F2293" s="46" t="inlineStr">
        <is>
          <t>심곡본동</t>
        </is>
      </c>
      <c r="G2293" s="50" t="n">
        <v>0.7708333333333334</v>
      </c>
      <c r="H2293" s="51" t="n">
        <v>1311420</v>
      </c>
      <c r="I2293" s="46" t="inlineStr">
        <is>
          <t>김영권</t>
        </is>
      </c>
      <c r="K2293" s="46" t="n">
        <v>2292</v>
      </c>
      <c r="L2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4">
      <c r="A2294" s="229" t="n">
        <v>46198</v>
      </c>
      <c r="B2294" s="46" t="inlineStr">
        <is>
          <t>정기검사</t>
        </is>
      </c>
      <c r="C2294" s="46" t="inlineStr">
        <is>
          <t>부천지역</t>
        </is>
      </c>
      <c r="D2294" s="46" t="inlineStr">
        <is>
          <t>경수피엔티</t>
        </is>
      </c>
      <c r="E2294" s="46" t="n">
        <v>200</v>
      </c>
      <c r="F2294" s="46" t="inlineStr">
        <is>
          <t>삼정동</t>
        </is>
      </c>
      <c r="G2294" s="50" t="n">
        <v>0.5</v>
      </c>
      <c r="H2294" s="51" t="n">
        <v>456720</v>
      </c>
      <c r="I2294" s="46" t="inlineStr">
        <is>
          <t>김영권</t>
        </is>
      </c>
      <c r="K2294" s="46" t="n">
        <v>2293</v>
      </c>
      <c r="L2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5">
      <c r="A2295" s="229" t="n">
        <v>46198</v>
      </c>
      <c r="B2295" s="46" t="inlineStr">
        <is>
          <t>정기검사</t>
        </is>
      </c>
      <c r="C2295" s="46" t="inlineStr">
        <is>
          <t>부천지역</t>
        </is>
      </c>
      <c r="D2295" s="46" t="inlineStr">
        <is>
          <t>꿈동산신안(전기차포함인프라)</t>
        </is>
      </c>
      <c r="E2295" s="46" t="inlineStr">
        <is>
          <t>2000/350</t>
        </is>
      </c>
      <c r="F2295" s="46" t="inlineStr">
        <is>
          <t>상동</t>
        </is>
      </c>
      <c r="G2295" s="50" t="n">
        <v>0.3958333333333333</v>
      </c>
      <c r="H2295" s="51" t="n">
        <v>1277650</v>
      </c>
      <c r="I2295" s="46" t="inlineStr">
        <is>
          <t>민경수</t>
        </is>
      </c>
      <c r="K2295" s="46" t="n">
        <v>2294</v>
      </c>
      <c r="L2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6">
      <c r="A2296" s="229" t="n">
        <v>46198</v>
      </c>
      <c r="B2296" s="46" t="inlineStr">
        <is>
          <t>정기검사</t>
        </is>
      </c>
      <c r="C2296" s="46" t="inlineStr">
        <is>
          <t>부천지역</t>
        </is>
      </c>
      <c r="D2296" s="46" t="inlineStr">
        <is>
          <t>주사랑교회</t>
        </is>
      </c>
      <c r="E2296" s="46" t="n">
        <v>300</v>
      </c>
      <c r="F2296" s="46" t="inlineStr">
        <is>
          <t>여월동</t>
        </is>
      </c>
      <c r="G2296" s="50" t="n">
        <v>0.6041666666666666</v>
      </c>
      <c r="H2296" s="51" t="n">
        <v>521730</v>
      </c>
      <c r="I2296" s="46" t="inlineStr">
        <is>
          <t>김영권</t>
        </is>
      </c>
      <c r="K2296" s="46" t="n">
        <v>2295</v>
      </c>
      <c r="L2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7">
      <c r="A2297" s="229" t="n">
        <v>46198</v>
      </c>
      <c r="B2297" s="46" t="inlineStr">
        <is>
          <t>정기검사</t>
        </is>
      </c>
      <c r="C2297" s="46" t="inlineStr">
        <is>
          <t>부천지역</t>
        </is>
      </c>
      <c r="D2297" s="46" t="inlineStr">
        <is>
          <t>부천시청</t>
        </is>
      </c>
      <c r="E2297" s="46" t="inlineStr">
        <is>
          <t>전기차,200</t>
        </is>
      </c>
      <c r="F2297" s="46" t="inlineStr">
        <is>
          <t>중동</t>
        </is>
      </c>
      <c r="G2297" s="50" t="n">
        <v>0.4166666666666667</v>
      </c>
      <c r="H2297" s="51" t="n">
        <v>860420</v>
      </c>
      <c r="I2297" s="46" t="inlineStr">
        <is>
          <t>민경수</t>
        </is>
      </c>
      <c r="K2297" s="46" t="n">
        <v>2296</v>
      </c>
      <c r="L2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8">
      <c r="A2298" s="229" t="n">
        <v>46198</v>
      </c>
      <c r="B2298" s="46" t="inlineStr">
        <is>
          <t>정기검사</t>
        </is>
      </c>
      <c r="C2298" s="46" t="inlineStr">
        <is>
          <t>부천지역</t>
        </is>
      </c>
      <c r="D2298" s="46" t="inlineStr">
        <is>
          <t>명진비앤에스</t>
        </is>
      </c>
      <c r="E2298" s="46" t="inlineStr">
        <is>
          <t>전기차1대</t>
        </is>
      </c>
      <c r="F2298" s="46" t="inlineStr">
        <is>
          <t>풍무동</t>
        </is>
      </c>
      <c r="G2298" s="50" t="n">
        <v>0.6041666666666666</v>
      </c>
      <c r="H2298" s="51" t="n">
        <v>55770</v>
      </c>
      <c r="I2298" s="46" t="inlineStr">
        <is>
          <t>허창수</t>
        </is>
      </c>
      <c r="K2298" s="46" t="n">
        <v>2297</v>
      </c>
      <c r="L2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9">
      <c r="A2299" s="229" t="n">
        <v>46198</v>
      </c>
      <c r="B2299" s="46" t="inlineStr">
        <is>
          <t>정기검사</t>
        </is>
      </c>
      <c r="C2299" s="46" t="inlineStr">
        <is>
          <t>김포지역</t>
        </is>
      </c>
      <c r="D2299" s="46" t="inlineStr">
        <is>
          <t>일화스텐레스</t>
        </is>
      </c>
      <c r="E2299" s="46" t="n">
        <v>980</v>
      </c>
      <c r="F2299" s="46" t="inlineStr">
        <is>
          <t>대명리</t>
        </is>
      </c>
      <c r="G2299" s="50" t="n">
        <v>0.4791666666666667</v>
      </c>
      <c r="H2299" s="51" t="n">
        <v>899580</v>
      </c>
      <c r="I2299" s="46" t="inlineStr">
        <is>
          <t>서수형</t>
        </is>
      </c>
      <c r="K2299" s="46" t="n">
        <v>2298</v>
      </c>
      <c r="L2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0">
      <c r="A2300" s="229" t="n">
        <v>46198</v>
      </c>
      <c r="B2300" s="46" t="inlineStr">
        <is>
          <t>정기검사</t>
        </is>
      </c>
      <c r="C2300" s="46" t="inlineStr">
        <is>
          <t>김포지역</t>
        </is>
      </c>
      <c r="D2300" s="46" t="inlineStr">
        <is>
          <t>대명산업기계</t>
        </is>
      </c>
      <c r="E2300" s="46" t="n">
        <v>400</v>
      </c>
      <c r="F2300" s="46" t="inlineStr">
        <is>
          <t>송마리</t>
        </is>
      </c>
      <c r="G2300" s="50" t="n">
        <v>0.4791666666666667</v>
      </c>
      <c r="H2300" s="51" t="n">
        <v>703120</v>
      </c>
      <c r="I2300" s="46" t="inlineStr">
        <is>
          <t>이종석</t>
        </is>
      </c>
      <c r="K2300" s="46" t="n">
        <v>2299</v>
      </c>
      <c r="L2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1">
      <c r="A2301" s="229" t="n">
        <v>46198</v>
      </c>
      <c r="B2301" s="46" t="inlineStr">
        <is>
          <t>정기검사</t>
        </is>
      </c>
      <c r="C2301" s="46" t="inlineStr">
        <is>
          <t>김포지역</t>
        </is>
      </c>
      <c r="D2301" s="46" t="inlineStr">
        <is>
          <t>아이엔건설</t>
        </is>
      </c>
      <c r="E2301" s="46" t="inlineStr">
        <is>
          <t>950/400</t>
        </is>
      </c>
      <c r="F2301" s="46" t="inlineStr">
        <is>
          <t>구래동</t>
        </is>
      </c>
      <c r="G2301" s="50" t="n">
        <v>0.4166666666666667</v>
      </c>
      <c r="H2301" s="51" t="n">
        <v>1125190</v>
      </c>
      <c r="I2301" s="46" t="inlineStr">
        <is>
          <t>이덕기</t>
        </is>
      </c>
      <c r="K2301" s="46" t="n">
        <v>2300</v>
      </c>
      <c r="L2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2">
      <c r="A2302" s="229" t="n">
        <v>46198</v>
      </c>
      <c r="B2302" s="46" t="inlineStr">
        <is>
          <t>정기검사</t>
        </is>
      </c>
      <c r="C2302" s="46" t="inlineStr">
        <is>
          <t>김포지역</t>
        </is>
      </c>
      <c r="D2302" s="46" t="inlineStr">
        <is>
          <t>오에스엔엠</t>
        </is>
      </c>
      <c r="E2302" s="46" t="n">
        <v>150</v>
      </c>
      <c r="F2302" s="46" t="inlineStr">
        <is>
          <t>옹정리</t>
        </is>
      </c>
      <c r="G2302" s="50" t="n">
        <v>0.5625</v>
      </c>
      <c r="H2302" s="51" t="n">
        <v>424160</v>
      </c>
      <c r="I2302" s="46" t="inlineStr">
        <is>
          <t>서수형</t>
        </is>
      </c>
      <c r="K2302" s="46" t="n">
        <v>2301</v>
      </c>
      <c r="L2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3">
      <c r="A2303" s="229" t="n">
        <v>46198</v>
      </c>
      <c r="B2303" s="46" t="inlineStr">
        <is>
          <t>정기검사</t>
        </is>
      </c>
      <c r="C2303" s="46" t="inlineStr">
        <is>
          <t>김포지역</t>
        </is>
      </c>
      <c r="D2303" s="46" t="inlineStr">
        <is>
          <t>유창</t>
        </is>
      </c>
      <c r="E2303" s="46" t="n"/>
      <c r="F2303" s="46" t="inlineStr">
        <is>
          <t>누산리</t>
        </is>
      </c>
      <c r="G2303" s="50" t="n">
        <v>0.5416666666666666</v>
      </c>
      <c r="H2303" s="51" t="n">
        <v>502150</v>
      </c>
      <c r="I2303" s="46" t="inlineStr">
        <is>
          <t>한태희</t>
        </is>
      </c>
      <c r="K2303" s="46" t="n">
        <v>2302</v>
      </c>
      <c r="L2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4">
      <c r="A2304" s="229" t="n">
        <v>46198</v>
      </c>
      <c r="B2304" s="46" t="inlineStr">
        <is>
          <t>정기검사</t>
        </is>
      </c>
      <c r="C2304" s="46" t="inlineStr">
        <is>
          <t>김포지역</t>
        </is>
      </c>
      <c r="D2304" s="46" t="inlineStr">
        <is>
          <t>인천금속</t>
        </is>
      </c>
      <c r="E2304" s="46" t="n">
        <v>590</v>
      </c>
      <c r="F2304" s="46" t="inlineStr">
        <is>
          <t>학운리</t>
        </is>
      </c>
      <c r="G2304" s="50" t="n">
        <v>0.4583333333333333</v>
      </c>
      <c r="H2304" s="51" t="n">
        <v>767470</v>
      </c>
      <c r="I2304" s="46" t="inlineStr">
        <is>
          <t>한태희</t>
        </is>
      </c>
      <c r="K2304" s="46" t="n">
        <v>2303</v>
      </c>
      <c r="L2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5">
      <c r="A2305" s="229" t="n">
        <v>46198</v>
      </c>
      <c r="B2305" s="46" t="inlineStr">
        <is>
          <t>정기검사</t>
        </is>
      </c>
      <c r="C2305" s="46" t="inlineStr">
        <is>
          <t>김포지역</t>
        </is>
      </c>
      <c r="D2305" s="46" t="inlineStr">
        <is>
          <t>지에스메탈</t>
        </is>
      </c>
      <c r="E2305" s="46" t="n">
        <v>590</v>
      </c>
      <c r="F2305" s="46" t="inlineStr">
        <is>
          <t>귀전리</t>
        </is>
      </c>
      <c r="G2305" s="50" t="n">
        <v>0.5</v>
      </c>
      <c r="H2305" s="51" t="n">
        <v>767470</v>
      </c>
      <c r="I2305" s="46" t="inlineStr">
        <is>
          <t>이덕기</t>
        </is>
      </c>
      <c r="K2305" s="46" t="n">
        <v>2304</v>
      </c>
      <c r="L2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6">
      <c r="A2306" s="229" t="n">
        <v>46198</v>
      </c>
      <c r="B2306" s="46" t="inlineStr">
        <is>
          <t>정기검사</t>
        </is>
      </c>
      <c r="C2306" s="46" t="inlineStr">
        <is>
          <t>김포지역</t>
        </is>
      </c>
      <c r="D2306" s="46" t="inlineStr">
        <is>
          <t>한국맥도날드</t>
        </is>
      </c>
      <c r="E2306" s="46" t="n">
        <v>150</v>
      </c>
      <c r="F2306" s="46" t="inlineStr">
        <is>
          <t>장기동</t>
        </is>
      </c>
      <c r="G2306" s="50" t="n">
        <v>0.625</v>
      </c>
      <c r="H2306" s="51" t="n">
        <v>424160</v>
      </c>
      <c r="I2306" s="46" t="inlineStr">
        <is>
          <t>당효진</t>
        </is>
      </c>
      <c r="K2306" s="46" t="n">
        <v>2305</v>
      </c>
      <c r="L2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7">
      <c r="A2307" s="229" t="n">
        <v>46198</v>
      </c>
      <c r="B2307" s="46" t="inlineStr">
        <is>
          <t>정기검사</t>
        </is>
      </c>
      <c r="C2307" s="46" t="inlineStr">
        <is>
          <t>김포지역</t>
        </is>
      </c>
      <c r="D2307" s="46" t="inlineStr">
        <is>
          <t>그린프라자</t>
        </is>
      </c>
      <c r="E2307" s="46" t="n">
        <v>400</v>
      </c>
      <c r="F2307" s="46" t="inlineStr">
        <is>
          <t>장기동</t>
        </is>
      </c>
      <c r="G2307" s="50" t="n">
        <v>0.2916666666666667</v>
      </c>
      <c r="H2307" s="51" t="n">
        <v>913990</v>
      </c>
      <c r="I2307" s="46" t="inlineStr">
        <is>
          <t>허창수</t>
        </is>
      </c>
      <c r="K2307" s="46" t="n">
        <v>2306</v>
      </c>
      <c r="L2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8">
      <c r="A2308" s="229" t="n">
        <v>46198</v>
      </c>
      <c r="B2308" s="46" t="inlineStr">
        <is>
          <t>정기검사</t>
        </is>
      </c>
      <c r="C2308" s="46" t="inlineStr">
        <is>
          <t>김포지역</t>
        </is>
      </c>
      <c r="D2308" s="46" t="inlineStr">
        <is>
          <t>상지프라자</t>
        </is>
      </c>
      <c r="E2308" s="46" t="n">
        <v>400</v>
      </c>
      <c r="F2308" s="46" t="inlineStr">
        <is>
          <t>북변동</t>
        </is>
      </c>
      <c r="G2308" s="50" t="n">
        <v>0.3958333333333333</v>
      </c>
      <c r="H2308" s="51" t="n">
        <v>703120</v>
      </c>
      <c r="I2308" s="46" t="inlineStr">
        <is>
          <t>이종석</t>
        </is>
      </c>
      <c r="K2308" s="46" t="n">
        <v>2307</v>
      </c>
      <c r="L2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9">
      <c r="A2309" s="229" t="n">
        <v>46198</v>
      </c>
      <c r="B2309" s="46" t="inlineStr">
        <is>
          <t>메모</t>
        </is>
      </c>
      <c r="C2309" s="46" t="inlineStr">
        <is>
          <t>부천지역</t>
        </is>
      </c>
      <c r="D2309" s="46" t="inlineStr">
        <is>
          <t>민경수호후휴가</t>
        </is>
      </c>
      <c r="E2309" s="46" t="n"/>
      <c r="F2309" s="46" t="n"/>
      <c r="G2309" s="50" t="n"/>
      <c r="H2309" s="51" t="n"/>
      <c r="I2309" s="46" t="n"/>
      <c r="K2309" s="46" t="n">
        <v>2308</v>
      </c>
      <c r="L2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0">
      <c r="A2310" s="229" t="n">
        <v>46198</v>
      </c>
      <c r="B2310" s="46" t="inlineStr">
        <is>
          <t>메모</t>
        </is>
      </c>
      <c r="C2310" s="46" t="inlineStr">
        <is>
          <t>부천지역</t>
        </is>
      </c>
      <c r="D2310" s="46" t="inlineStr">
        <is>
          <t>이종석 휴가</t>
        </is>
      </c>
      <c r="E2310" s="46" t="n"/>
      <c r="F2310" s="46" t="n"/>
      <c r="G2310" s="50" t="n"/>
      <c r="H2310" s="51" t="n"/>
      <c r="I2310" s="46" t="n"/>
      <c r="K2310" s="46" t="n">
        <v>2309</v>
      </c>
      <c r="L2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1">
      <c r="A2311" s="229" t="n">
        <v>46198</v>
      </c>
      <c r="B2311" s="46" t="inlineStr">
        <is>
          <t>메모</t>
        </is>
      </c>
      <c r="C2311" s="46" t="inlineStr">
        <is>
          <t>부천지역</t>
        </is>
      </c>
      <c r="D2311" s="46" t="inlineStr">
        <is>
          <t>송낙명-허창수</t>
        </is>
      </c>
      <c r="E2311" s="46" t="n"/>
      <c r="F2311" s="46" t="n"/>
      <c r="G2311" s="50" t="n"/>
      <c r="H2311" s="51" t="n"/>
      <c r="I2311" s="46" t="n"/>
      <c r="K2311" s="46" t="n">
        <v>2310</v>
      </c>
      <c r="L2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2">
      <c r="A2312" s="229" t="n">
        <v>46198</v>
      </c>
      <c r="B2312" s="46" t="inlineStr">
        <is>
          <t>사용전검사</t>
        </is>
      </c>
      <c r="C2312" s="46" t="inlineStr">
        <is>
          <t>김포지역</t>
        </is>
      </c>
      <c r="D2312" s="46" t="inlineStr">
        <is>
          <t>하이앤드 태양광</t>
        </is>
      </c>
      <c r="E2312" s="46" t="n">
        <v>124.485</v>
      </c>
      <c r="F2312" s="46" t="inlineStr">
        <is>
          <t>석정리</t>
        </is>
      </c>
      <c r="G2312" s="50" t="n"/>
      <c r="H2312" s="51" t="n"/>
      <c r="I2312" s="46" t="inlineStr">
        <is>
          <t>서수형</t>
        </is>
      </c>
      <c r="K2312" s="46" t="n">
        <v>2311</v>
      </c>
      <c r="L2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3">
      <c r="A2313" s="229" t="n">
        <v>46199</v>
      </c>
      <c r="B2313" s="46" t="inlineStr">
        <is>
          <t>정기검사</t>
        </is>
      </c>
      <c r="C2313" s="46" t="inlineStr">
        <is>
          <t>부천지역</t>
        </is>
      </c>
      <c r="D2313" s="46" t="inlineStr">
        <is>
          <t>위브2단지</t>
        </is>
      </c>
      <c r="E2313" s="46" t="inlineStr">
        <is>
          <t>5500/1250</t>
        </is>
      </c>
      <c r="F2313" s="46" t="inlineStr">
        <is>
          <t>중동</t>
        </is>
      </c>
      <c r="G2313" s="50" t="n">
        <v>0.4375</v>
      </c>
      <c r="H2313" s="51" t="n">
        <v>1948870</v>
      </c>
      <c r="I2313" s="46" t="inlineStr">
        <is>
          <t>송낙명</t>
        </is>
      </c>
      <c r="K2313" s="46" t="n">
        <v>2312</v>
      </c>
      <c r="L2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4">
      <c r="A2314" s="229" t="n">
        <v>46199</v>
      </c>
      <c r="B2314" s="46" t="inlineStr">
        <is>
          <t>정기검사</t>
        </is>
      </c>
      <c r="C2314" s="46" t="inlineStr">
        <is>
          <t>부천지역</t>
        </is>
      </c>
      <c r="D2314" s="46" t="inlineStr">
        <is>
          <t>위브2단지</t>
        </is>
      </c>
      <c r="E2314" s="46" t="inlineStr">
        <is>
          <t>전기차</t>
        </is>
      </c>
      <c r="F2314" s="46" t="inlineStr">
        <is>
          <t>중동</t>
        </is>
      </c>
      <c r="G2314" s="50" t="n">
        <v>0.4375</v>
      </c>
      <c r="H2314" s="51" t="n">
        <v>674080</v>
      </c>
      <c r="I2314" s="46" t="inlineStr">
        <is>
          <t>송낙명</t>
        </is>
      </c>
      <c r="K2314" s="46" t="n">
        <v>2313</v>
      </c>
      <c r="L2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5">
      <c r="A2315" s="229" t="n">
        <v>46199</v>
      </c>
      <c r="B2315" s="46" t="inlineStr">
        <is>
          <t>정기검사</t>
        </is>
      </c>
      <c r="C2315" s="46" t="inlineStr">
        <is>
          <t>부천지역</t>
        </is>
      </c>
      <c r="D2315" s="46" t="inlineStr">
        <is>
          <t>합성섬유공업사</t>
        </is>
      </c>
      <c r="E2315" s="46" t="n">
        <v>550</v>
      </c>
      <c r="F2315" s="46" t="inlineStr">
        <is>
          <t>심곡본동</t>
        </is>
      </c>
      <c r="G2315" s="50" t="n">
        <v>0.3958333333333333</v>
      </c>
      <c r="H2315" s="51" t="n">
        <v>753940</v>
      </c>
      <c r="I2315" s="46" t="inlineStr">
        <is>
          <t>김영권</t>
        </is>
      </c>
      <c r="K2315" s="46" t="n">
        <v>2314</v>
      </c>
      <c r="L2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6">
      <c r="A2316" s="229" t="n">
        <v>46199</v>
      </c>
      <c r="B2316" s="46" t="inlineStr">
        <is>
          <t>정기검사</t>
        </is>
      </c>
      <c r="C2316" s="46" t="inlineStr">
        <is>
          <t>부천지역</t>
        </is>
      </c>
      <c r="D2316" s="46" t="inlineStr">
        <is>
          <t>삼성레미안</t>
        </is>
      </c>
      <c r="E2316" s="46" t="inlineStr">
        <is>
          <t>4000/800</t>
        </is>
      </c>
      <c r="F2316" s="46" t="inlineStr">
        <is>
          <t>상동</t>
        </is>
      </c>
      <c r="G2316" s="50" t="n">
        <v>0.4791666666666667</v>
      </c>
      <c r="H2316" s="51" t="n">
        <v>1668590</v>
      </c>
      <c r="I2316" s="46" t="inlineStr">
        <is>
          <t>송두기</t>
        </is>
      </c>
      <c r="K2316" s="46" t="n">
        <v>2315</v>
      </c>
      <c r="L2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7">
      <c r="A2317" s="229" t="n">
        <v>46199</v>
      </c>
      <c r="B2317" s="46" t="inlineStr">
        <is>
          <t>정기검사</t>
        </is>
      </c>
      <c r="C2317" s="46" t="inlineStr">
        <is>
          <t>부천지역</t>
        </is>
      </c>
      <c r="D2317" s="46" t="inlineStr">
        <is>
          <t>삼성레미안</t>
        </is>
      </c>
      <c r="E2317" s="46" t="inlineStr">
        <is>
          <t>전기차</t>
        </is>
      </c>
      <c r="F2317" s="46" t="n"/>
      <c r="G2317" s="50" t="n"/>
      <c r="H2317" s="51" t="n">
        <v>148940</v>
      </c>
      <c r="I2317" s="46" t="inlineStr">
        <is>
          <t>송두기</t>
        </is>
      </c>
      <c r="K2317" s="46" t="n">
        <v>2316</v>
      </c>
      <c r="L2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8">
      <c r="A2318" s="229" t="n">
        <v>46199</v>
      </c>
      <c r="B2318" s="46" t="inlineStr">
        <is>
          <t>정기검사</t>
        </is>
      </c>
      <c r="C2318" s="46" t="inlineStr">
        <is>
          <t>부천지역</t>
        </is>
      </c>
      <c r="D2318" s="46" t="inlineStr">
        <is>
          <t>LG아파트</t>
        </is>
      </c>
      <c r="E2318" s="46" t="inlineStr">
        <is>
          <t>1300/260</t>
        </is>
      </c>
      <c r="F2318" s="46" t="inlineStr">
        <is>
          <t>중동</t>
        </is>
      </c>
      <c r="G2318" s="50" t="n">
        <v>0.4166666666666667</v>
      </c>
      <c r="H2318" s="51" t="n">
        <v>1156430</v>
      </c>
      <c r="I2318" s="46" t="inlineStr">
        <is>
          <t>이덕기</t>
        </is>
      </c>
      <c r="K2318" s="46" t="n">
        <v>2317</v>
      </c>
      <c r="L2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9">
      <c r="A2319" s="229" t="n">
        <v>46199</v>
      </c>
      <c r="B2319" s="46" t="inlineStr">
        <is>
          <t>정기검사</t>
        </is>
      </c>
      <c r="C2319" s="46" t="inlineStr">
        <is>
          <t>부천지역</t>
        </is>
      </c>
      <c r="D2319" s="46" t="inlineStr">
        <is>
          <t>브라운도트호텔</t>
        </is>
      </c>
      <c r="E2319" s="46" t="n">
        <v>250</v>
      </c>
      <c r="F2319" s="46" t="inlineStr">
        <is>
          <t>심곡동</t>
        </is>
      </c>
      <c r="G2319" s="50" t="n">
        <v>0.5625</v>
      </c>
      <c r="H2319" s="51" t="n">
        <v>489170</v>
      </c>
      <c r="I2319" s="46" t="inlineStr">
        <is>
          <t>민재홍</t>
        </is>
      </c>
      <c r="K2319" s="46" t="n">
        <v>2318</v>
      </c>
      <c r="L2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0">
      <c r="A2320" s="229" t="n">
        <v>46199</v>
      </c>
      <c r="B2320" s="46" t="inlineStr">
        <is>
          <t>정기검사</t>
        </is>
      </c>
      <c r="C2320" s="46" t="inlineStr">
        <is>
          <t>부천지역</t>
        </is>
      </c>
      <c r="D2320" s="46" t="inlineStr">
        <is>
          <t>성산태양광</t>
        </is>
      </c>
      <c r="E2320" s="46" t="n">
        <v>92</v>
      </c>
      <c r="F2320" s="46" t="inlineStr">
        <is>
          <t>대벽리</t>
        </is>
      </c>
      <c r="G2320" s="50" t="n">
        <v>0.3958333333333333</v>
      </c>
      <c r="H2320" s="51" t="n">
        <v>247290</v>
      </c>
      <c r="I2320" s="46" t="inlineStr">
        <is>
          <t>송낙명</t>
        </is>
      </c>
      <c r="K2320" s="46" t="n">
        <v>2319</v>
      </c>
      <c r="L2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1">
      <c r="A2321" s="229" t="n">
        <v>46199</v>
      </c>
      <c r="B2321" s="46" t="inlineStr">
        <is>
          <t>정기검사</t>
        </is>
      </c>
      <c r="C2321" s="46" t="inlineStr">
        <is>
          <t>부천지역</t>
        </is>
      </c>
      <c r="D2321" s="46" t="inlineStr">
        <is>
          <t>6060부대(ups)</t>
        </is>
      </c>
      <c r="E2321" s="46" t="n">
        <v>400</v>
      </c>
      <c r="F2321" s="46" t="inlineStr">
        <is>
          <t>석정리</t>
        </is>
      </c>
      <c r="G2321" s="50" t="n">
        <v>0.5625</v>
      </c>
      <c r="H2321" s="51" t="n">
        <v>996820</v>
      </c>
      <c r="I2321" s="46" t="inlineStr">
        <is>
          <t>정신배</t>
        </is>
      </c>
      <c r="K2321" s="46" t="n">
        <v>2320</v>
      </c>
      <c r="L2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2">
      <c r="A2322" s="229" t="n">
        <v>46199</v>
      </c>
      <c r="B2322" s="46" t="inlineStr">
        <is>
          <t>정기검사</t>
        </is>
      </c>
      <c r="C2322" s="46" t="inlineStr">
        <is>
          <t>김포지역</t>
        </is>
      </c>
      <c r="D2322" s="46" t="inlineStr">
        <is>
          <t>E편한세상</t>
        </is>
      </c>
      <c r="E2322" s="46" t="n">
        <v>56</v>
      </c>
      <c r="F2322" s="46" t="inlineStr">
        <is>
          <t>마송리</t>
        </is>
      </c>
      <c r="G2322" s="50" t="n">
        <v>0.5833333333333334</v>
      </c>
      <c r="H2322" s="51" t="n">
        <v>209770</v>
      </c>
      <c r="I2322" s="46" t="inlineStr">
        <is>
          <t>서수형</t>
        </is>
      </c>
      <c r="K2322" s="46" t="n">
        <v>2321</v>
      </c>
      <c r="L2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3">
      <c r="A2323" s="229" t="n">
        <v>46199</v>
      </c>
      <c r="B2323" s="46" t="inlineStr">
        <is>
          <t>정기검사</t>
        </is>
      </c>
      <c r="C2323" s="46" t="inlineStr">
        <is>
          <t>김포지역</t>
        </is>
      </c>
      <c r="D2323" s="46" t="inlineStr">
        <is>
          <t>동일스위트</t>
        </is>
      </c>
      <c r="E2323" s="46" t="inlineStr">
        <is>
          <t>3500/900</t>
        </is>
      </c>
      <c r="F2323" s="46" t="inlineStr">
        <is>
          <t>마산동</t>
        </is>
      </c>
      <c r="G2323" s="50" t="n">
        <v>0.375</v>
      </c>
      <c r="H2323" s="51" t="n">
        <v>1614140</v>
      </c>
      <c r="I2323" s="46" t="inlineStr">
        <is>
          <t>이종석</t>
        </is>
      </c>
      <c r="K2323" s="46" t="n">
        <v>2322</v>
      </c>
      <c r="L2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4">
      <c r="A2324" s="229" t="n">
        <v>46199</v>
      </c>
      <c r="B2324" s="46" t="inlineStr">
        <is>
          <t>정기검사</t>
        </is>
      </c>
      <c r="C2324" s="46" t="inlineStr">
        <is>
          <t>김포지역</t>
        </is>
      </c>
      <c r="D2324" s="46" t="inlineStr">
        <is>
          <t>동일스위트</t>
        </is>
      </c>
      <c r="E2324" s="46" t="inlineStr">
        <is>
          <t>전기차</t>
        </is>
      </c>
      <c r="F2324" s="46" t="inlineStr">
        <is>
          <t>마산동</t>
        </is>
      </c>
      <c r="G2324" s="50" t="n">
        <v>0.3958333333333333</v>
      </c>
      <c r="H2324" s="51" t="n">
        <v>347490</v>
      </c>
      <c r="I2324" s="46" t="inlineStr">
        <is>
          <t>이종석</t>
        </is>
      </c>
      <c r="K2324" s="46" t="n">
        <v>2323</v>
      </c>
      <c r="L2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5">
      <c r="A2325" s="229" t="n">
        <v>46199</v>
      </c>
      <c r="B2325" s="46" t="inlineStr">
        <is>
          <t>정기검사</t>
        </is>
      </c>
      <c r="C2325" s="46" t="inlineStr">
        <is>
          <t>김포지역</t>
        </is>
      </c>
      <c r="D2325" s="46" t="inlineStr">
        <is>
          <t>태화인쇄</t>
        </is>
      </c>
      <c r="E2325" s="46" t="n">
        <v>460</v>
      </c>
      <c r="F2325" s="46" t="inlineStr">
        <is>
          <t>전류리</t>
        </is>
      </c>
      <c r="G2325" s="50" t="n">
        <v>0.5</v>
      </c>
      <c r="H2325" s="51" t="n">
        <v>723360</v>
      </c>
      <c r="I2325" s="46" t="inlineStr">
        <is>
          <t>당효진</t>
        </is>
      </c>
      <c r="K2325" s="46" t="n">
        <v>2324</v>
      </c>
      <c r="L2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6">
      <c r="A2326" s="229" t="n">
        <v>46199</v>
      </c>
      <c r="B2326" s="46" t="inlineStr">
        <is>
          <t>정기검사</t>
        </is>
      </c>
      <c r="C2326" s="46" t="inlineStr">
        <is>
          <t>김포지역</t>
        </is>
      </c>
      <c r="D2326" s="46" t="inlineStr">
        <is>
          <t>한신라벨부착기</t>
        </is>
      </c>
      <c r="E2326" s="46" t="n">
        <v>500</v>
      </c>
      <c r="F2326" s="46" t="inlineStr">
        <is>
          <t>학운리</t>
        </is>
      </c>
      <c r="G2326" s="50" t="n">
        <v>0.5416666666666666</v>
      </c>
      <c r="H2326" s="51" t="n">
        <v>737000</v>
      </c>
      <c r="I2326" s="46" t="inlineStr">
        <is>
          <t>서수형</t>
        </is>
      </c>
      <c r="K2326" s="46" t="n">
        <v>2325</v>
      </c>
      <c r="L2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7">
      <c r="A2327" s="229" t="n">
        <v>46199</v>
      </c>
      <c r="B2327" s="46" t="inlineStr">
        <is>
          <t>정기검사</t>
        </is>
      </c>
      <c r="C2327" s="46" t="inlineStr">
        <is>
          <t>김포지역</t>
        </is>
      </c>
      <c r="D2327" s="46" t="inlineStr">
        <is>
          <t>진양산업</t>
        </is>
      </c>
      <c r="E2327" s="46" t="n">
        <v>150</v>
      </c>
      <c r="F2327" s="46" t="inlineStr">
        <is>
          <t>구래리</t>
        </is>
      </c>
      <c r="G2327" s="50" t="n">
        <v>0.5208333333333334</v>
      </c>
      <c r="H2327" s="51" t="n">
        <v>424160</v>
      </c>
      <c r="I2327" s="46" t="inlineStr">
        <is>
          <t>정성관</t>
        </is>
      </c>
      <c r="K2327" s="46" t="n">
        <v>2326</v>
      </c>
      <c r="L2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8">
      <c r="A2328" s="229" t="n">
        <v>46199</v>
      </c>
      <c r="B2328" s="46" t="inlineStr">
        <is>
          <t>정기검사</t>
        </is>
      </c>
      <c r="C2328" s="46" t="inlineStr">
        <is>
          <t>김포지역</t>
        </is>
      </c>
      <c r="D2328" s="46" t="inlineStr">
        <is>
          <t>한강이엠피</t>
        </is>
      </c>
      <c r="E2328" s="46" t="n">
        <v>290</v>
      </c>
      <c r="F2328" s="46" t="inlineStr">
        <is>
          <t>대벽리</t>
        </is>
      </c>
      <c r="G2328" s="50" t="n">
        <v>0.4791666666666667</v>
      </c>
      <c r="H2328" s="51" t="n">
        <v>515130</v>
      </c>
      <c r="I2328" s="46" t="inlineStr">
        <is>
          <t>허창수</t>
        </is>
      </c>
      <c r="K2328" s="46" t="n">
        <v>2327</v>
      </c>
      <c r="L2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9">
      <c r="A2329" s="229" t="n">
        <v>46199</v>
      </c>
      <c r="B2329" s="46" t="inlineStr">
        <is>
          <t>정기검사</t>
        </is>
      </c>
      <c r="C2329" s="46" t="inlineStr">
        <is>
          <t>김포지역</t>
        </is>
      </c>
      <c r="D2329" s="46" t="inlineStr">
        <is>
          <t>재활용수집소</t>
        </is>
      </c>
      <c r="E2329" s="46" t="n">
        <v>400</v>
      </c>
      <c r="F2329" s="46" t="inlineStr">
        <is>
          <t>걸포동</t>
        </is>
      </c>
      <c r="G2329" s="50" t="n">
        <v>0.6458333333333334</v>
      </c>
      <c r="H2329" s="51" t="n">
        <v>703120</v>
      </c>
      <c r="I2329" s="46" t="inlineStr">
        <is>
          <t>정신배</t>
        </is>
      </c>
      <c r="K2329" s="46" t="n">
        <v>2328</v>
      </c>
      <c r="L2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0">
      <c r="A2330" s="229" t="n">
        <v>46199</v>
      </c>
      <c r="B2330" s="46" t="inlineStr">
        <is>
          <t>정기검사</t>
        </is>
      </c>
      <c r="C2330" s="46" t="inlineStr">
        <is>
          <t>김포지역</t>
        </is>
      </c>
      <c r="D2330" s="46" t="inlineStr">
        <is>
          <t>snp태양광</t>
        </is>
      </c>
      <c r="E2330" s="46" t="n">
        <v>66</v>
      </c>
      <c r="F2330" s="46" t="inlineStr">
        <is>
          <t>귀전리</t>
        </is>
      </c>
      <c r="G2330" s="50" t="n">
        <v>0.4166666666666667</v>
      </c>
      <c r="H2330" s="51" t="n">
        <v>220330</v>
      </c>
      <c r="I2330" s="46" t="inlineStr">
        <is>
          <t>정성관</t>
        </is>
      </c>
      <c r="K2330" s="46" t="n">
        <v>2329</v>
      </c>
      <c r="L2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1">
      <c r="A2331" s="229" t="n">
        <v>46199</v>
      </c>
      <c r="B2331" s="46" t="inlineStr">
        <is>
          <t>정기검사</t>
        </is>
      </c>
      <c r="C2331" s="46" t="inlineStr">
        <is>
          <t>김포지역</t>
        </is>
      </c>
      <c r="D2331" s="46" t="inlineStr">
        <is>
          <t>상성임업</t>
        </is>
      </c>
      <c r="E2331" s="46" t="n">
        <v>500</v>
      </c>
      <c r="F2331" s="46" t="inlineStr">
        <is>
          <t>석정리</t>
        </is>
      </c>
      <c r="G2331" s="50" t="n">
        <v>0.5208333333333334</v>
      </c>
      <c r="H2331" s="51" t="n">
        <v>737000</v>
      </c>
      <c r="I2331" s="46" t="inlineStr">
        <is>
          <t>허창수</t>
        </is>
      </c>
      <c r="K2331" s="46" t="n">
        <v>2330</v>
      </c>
      <c r="L2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2">
      <c r="A2332" s="229" t="n">
        <v>46199</v>
      </c>
      <c r="B2332" s="46" t="inlineStr">
        <is>
          <t>메모</t>
        </is>
      </c>
      <c r="C2332" s="46" t="inlineStr">
        <is>
          <t>부천지역</t>
        </is>
      </c>
      <c r="D2332" s="46" t="inlineStr">
        <is>
          <t>민재홍-송낙명</t>
        </is>
      </c>
      <c r="E2332" s="46" t="n"/>
      <c r="F2332" s="46" t="n"/>
      <c r="G2332" s="50" t="n"/>
      <c r="H2332" s="51" t="n"/>
      <c r="I2332" s="46" t="n"/>
      <c r="K2332" s="46" t="n">
        <v>2331</v>
      </c>
      <c r="L2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3">
      <c r="A2333" s="229" t="n">
        <v>46199</v>
      </c>
      <c r="B2333" s="46" t="inlineStr">
        <is>
          <t>메모</t>
        </is>
      </c>
      <c r="C2333" s="46" t="inlineStr">
        <is>
          <t>부천지역</t>
        </is>
      </c>
      <c r="D2333" s="46" t="inlineStr">
        <is>
          <t>민경수휴가</t>
        </is>
      </c>
      <c r="E2333" s="46" t="n"/>
      <c r="F2333" s="46" t="n"/>
      <c r="G2333" s="50" t="n"/>
      <c r="H2333" s="51" t="n"/>
      <c r="I2333" s="46" t="n"/>
      <c r="K2333" s="46" t="n">
        <v>2332</v>
      </c>
      <c r="L2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4">
      <c r="A2334" s="229" t="n">
        <v>46199</v>
      </c>
      <c r="B2334" s="46" t="inlineStr">
        <is>
          <t>사용전검사</t>
        </is>
      </c>
      <c r="C2334" s="46" t="inlineStr">
        <is>
          <t>김포지역</t>
        </is>
      </c>
      <c r="D2334" s="46" t="inlineStr">
        <is>
          <t>한강시네폴리스개발</t>
        </is>
      </c>
      <c r="E2334" s="46" t="n">
        <v>500</v>
      </c>
      <c r="F2334" s="46" t="inlineStr">
        <is>
          <t>풍무동</t>
        </is>
      </c>
      <c r="G2334" s="50" t="n"/>
      <c r="H2334" s="51" t="n"/>
      <c r="I2334" s="46" t="inlineStr">
        <is>
          <t>정신배</t>
        </is>
      </c>
      <c r="K2334" s="46" t="n">
        <v>2333</v>
      </c>
      <c r="L2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5">
      <c r="A2335" s="229" t="n">
        <v>46199</v>
      </c>
      <c r="B2335" s="46" t="inlineStr">
        <is>
          <t>사용전검사</t>
        </is>
      </c>
      <c r="C2335" s="46" t="inlineStr">
        <is>
          <t>김포지역</t>
        </is>
      </c>
      <c r="D2335" s="46" t="inlineStr">
        <is>
          <t>시엔케이산업</t>
        </is>
      </c>
      <c r="E2335" s="46" t="n">
        <v>52</v>
      </c>
      <c r="F2335" s="46" t="inlineStr">
        <is>
          <t>서암리</t>
        </is>
      </c>
      <c r="G2335" s="50" t="n"/>
      <c r="H2335" s="51" t="n"/>
      <c r="I2335" s="46" t="inlineStr">
        <is>
          <t>당효진</t>
        </is>
      </c>
      <c r="K2335" s="46" t="n">
        <v>2334</v>
      </c>
      <c r="L2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6">
      <c r="A2336" s="229" t="n">
        <v>46199</v>
      </c>
      <c r="B2336" s="46" t="inlineStr">
        <is>
          <t>사용전검사</t>
        </is>
      </c>
      <c r="C2336" s="46" t="inlineStr">
        <is>
          <t>김포지역</t>
        </is>
      </c>
      <c r="D2336" s="46" t="inlineStr">
        <is>
          <t>한국에이부품 태양광</t>
        </is>
      </c>
      <c r="E2336" s="46" t="n">
        <v>258.44</v>
      </c>
      <c r="F2336" s="46" t="inlineStr">
        <is>
          <t>학운리</t>
        </is>
      </c>
      <c r="G2336" s="50" t="n"/>
      <c r="H2336" s="51" t="n"/>
      <c r="I2336" s="46" t="inlineStr">
        <is>
          <t>허창수</t>
        </is>
      </c>
      <c r="K2336" s="46" t="n">
        <v>2335</v>
      </c>
      <c r="L2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7">
      <c r="A2337" s="229" t="n">
        <v>46200</v>
      </c>
      <c r="B2337" s="46" t="inlineStr">
        <is>
          <t>정기검사</t>
        </is>
      </c>
      <c r="C2337" s="46" t="inlineStr">
        <is>
          <t>부천지역</t>
        </is>
      </c>
      <c r="D2337" s="46" t="inlineStr">
        <is>
          <t>재성기업사</t>
        </is>
      </c>
      <c r="E2337" s="46" t="n">
        <v>600</v>
      </c>
      <c r="F2337" s="46" t="inlineStr">
        <is>
          <t>도당동</t>
        </is>
      </c>
      <c r="G2337" s="50" t="n">
        <v>0.6458333333333334</v>
      </c>
      <c r="H2337" s="51" t="n">
        <v>1002100</v>
      </c>
      <c r="I2337" s="46" t="inlineStr">
        <is>
          <t>서수형</t>
        </is>
      </c>
      <c r="K2337" s="46" t="n">
        <v>2336</v>
      </c>
      <c r="L2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8">
      <c r="A2338" s="229" t="n">
        <v>46200</v>
      </c>
      <c r="B2338" s="46" t="inlineStr">
        <is>
          <t>정기검사</t>
        </is>
      </c>
      <c r="C2338" s="46" t="inlineStr">
        <is>
          <t>부천지역</t>
        </is>
      </c>
      <c r="D2338" s="46" t="inlineStr">
        <is>
          <t>드림탑프라자</t>
        </is>
      </c>
      <c r="E2338" s="46" t="n">
        <v>700</v>
      </c>
      <c r="F2338" s="46" t="inlineStr">
        <is>
          <t>옥길동</t>
        </is>
      </c>
      <c r="G2338" s="50" t="n">
        <v>0.2916666666666667</v>
      </c>
      <c r="H2338" s="51" t="n">
        <v>1046100</v>
      </c>
      <c r="I2338" s="46" t="inlineStr">
        <is>
          <t>한태희</t>
        </is>
      </c>
      <c r="K2338" s="46" t="n">
        <v>2337</v>
      </c>
      <c r="L2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9">
      <c r="A2339" s="229" t="n">
        <v>46200</v>
      </c>
      <c r="B2339" s="46" t="inlineStr">
        <is>
          <t>정기검사</t>
        </is>
      </c>
      <c r="C2339" s="46" t="inlineStr">
        <is>
          <t>부천지역</t>
        </is>
      </c>
      <c r="D2339" s="46" t="inlineStr">
        <is>
          <t>영안상사</t>
        </is>
      </c>
      <c r="E2339" s="46" t="n">
        <v>990</v>
      </c>
      <c r="F2339" s="46" t="inlineStr">
        <is>
          <t>도당동</t>
        </is>
      </c>
      <c r="G2339" s="50" t="n">
        <v>0.375</v>
      </c>
      <c r="H2339" s="51" t="n">
        <v>1156210</v>
      </c>
      <c r="I2339" s="46" t="inlineStr">
        <is>
          <t>한태희</t>
        </is>
      </c>
      <c r="K2339" s="46" t="n">
        <v>2338</v>
      </c>
      <c r="L2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0">
      <c r="A2340" s="229" t="n">
        <v>46200</v>
      </c>
      <c r="B2340" s="46" t="inlineStr">
        <is>
          <t>정기검사</t>
        </is>
      </c>
      <c r="C2340" s="46" t="inlineStr">
        <is>
          <t>김포지역</t>
        </is>
      </c>
      <c r="D2340" s="46" t="inlineStr">
        <is>
          <t>동아전기</t>
        </is>
      </c>
      <c r="E2340" s="46" t="n">
        <v>550</v>
      </c>
      <c r="F2340" s="46" t="inlineStr">
        <is>
          <t>양택리</t>
        </is>
      </c>
      <c r="G2340" s="50" t="n">
        <v>0.3958333333333333</v>
      </c>
      <c r="H2340" s="51" t="n">
        <v>980100</v>
      </c>
      <c r="I2340" s="46" t="inlineStr">
        <is>
          <t>정성관</t>
        </is>
      </c>
      <c r="K2340" s="46" t="n">
        <v>2339</v>
      </c>
      <c r="L2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1">
      <c r="A2341" s="229" t="n">
        <v>46200</v>
      </c>
      <c r="B2341" s="46" t="inlineStr">
        <is>
          <t>정기검사</t>
        </is>
      </c>
      <c r="C2341" s="46" t="inlineStr">
        <is>
          <t>김포지역</t>
        </is>
      </c>
      <c r="D2341" s="46" t="inlineStr">
        <is>
          <t>김포세무타운</t>
        </is>
      </c>
      <c r="E2341" s="46" t="n">
        <v>250</v>
      </c>
      <c r="F2341" s="46" t="inlineStr">
        <is>
          <t>장기동</t>
        </is>
      </c>
      <c r="G2341" s="50" t="n">
        <v>0.4583333333333333</v>
      </c>
      <c r="H2341" s="51" t="n">
        <v>635910</v>
      </c>
      <c r="I2341" s="46" t="inlineStr">
        <is>
          <t>당효진</t>
        </is>
      </c>
      <c r="K2341" s="46" t="n">
        <v>2340</v>
      </c>
      <c r="L2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2">
      <c r="A2342" s="229" t="n">
        <v>46200</v>
      </c>
      <c r="B2342" s="46" t="inlineStr">
        <is>
          <t>정기검사</t>
        </is>
      </c>
      <c r="C2342" s="46" t="inlineStr">
        <is>
          <t>김포지역</t>
        </is>
      </c>
      <c r="D2342" s="46" t="inlineStr">
        <is>
          <t>성진금속</t>
        </is>
      </c>
      <c r="E2342" s="46" t="n">
        <v>950</v>
      </c>
      <c r="F2342" s="46" t="inlineStr">
        <is>
          <t>석정리</t>
        </is>
      </c>
      <c r="G2342" s="50" t="n">
        <v>0.625</v>
      </c>
      <c r="H2342" s="51" t="n">
        <v>1156210</v>
      </c>
      <c r="I2342" s="46" t="inlineStr">
        <is>
          <t>이덕기</t>
        </is>
      </c>
      <c r="K2342" s="46" t="n">
        <v>2341</v>
      </c>
      <c r="L2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3">
      <c r="A2343" s="229" t="n">
        <v>46200</v>
      </c>
      <c r="B2343" s="46" t="inlineStr">
        <is>
          <t>정기검사</t>
        </is>
      </c>
      <c r="C2343" s="46" t="inlineStr">
        <is>
          <t>김포지역</t>
        </is>
      </c>
      <c r="D2343" s="46" t="inlineStr">
        <is>
          <t>청우</t>
        </is>
      </c>
      <c r="E2343" s="46" t="n">
        <v>990</v>
      </c>
      <c r="F2343" s="46" t="inlineStr">
        <is>
          <t>가현리</t>
        </is>
      </c>
      <c r="G2343" s="50" t="n">
        <v>0.375</v>
      </c>
      <c r="H2343" s="51" t="n">
        <v>1173810</v>
      </c>
      <c r="I2343" s="46" t="inlineStr">
        <is>
          <t>송낙명</t>
        </is>
      </c>
      <c r="K2343" s="46" t="n">
        <v>2342</v>
      </c>
      <c r="L2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4">
      <c r="A2344" s="229" t="n">
        <v>46200</v>
      </c>
      <c r="B2344" s="46" t="inlineStr">
        <is>
          <t>정기검사</t>
        </is>
      </c>
      <c r="C2344" s="46" t="inlineStr">
        <is>
          <t>김포지역</t>
        </is>
      </c>
      <c r="D2344" s="46" t="inlineStr">
        <is>
          <t>이하정보통신</t>
        </is>
      </c>
      <c r="E2344" s="46" t="inlineStr">
        <is>
          <t>600/136</t>
        </is>
      </c>
      <c r="F2344" s="46" t="inlineStr">
        <is>
          <t>학운리</t>
        </is>
      </c>
      <c r="G2344" s="50" t="n">
        <v>0.4583333333333333</v>
      </c>
      <c r="H2344" s="51" t="n">
        <v>1232000</v>
      </c>
      <c r="I2344" s="46" t="inlineStr">
        <is>
          <t>김영권</t>
        </is>
      </c>
      <c r="K2344" s="46" t="n">
        <v>2343</v>
      </c>
      <c r="L2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5">
      <c r="A2345" s="229" t="n">
        <v>46200</v>
      </c>
      <c r="B2345" s="46" t="inlineStr">
        <is>
          <t>메모</t>
        </is>
      </c>
      <c r="C2345" s="46" t="inlineStr">
        <is>
          <t>부천지역</t>
        </is>
      </c>
      <c r="D2345" s="46" t="inlineStr">
        <is>
          <t>민재홍 휴가</t>
        </is>
      </c>
      <c r="E2345" s="46" t="n"/>
      <c r="F2345" s="46" t="n"/>
      <c r="G2345" s="50" t="n"/>
      <c r="H2345" s="51" t="n"/>
      <c r="I2345" s="46" t="n"/>
      <c r="K2345" s="46" t="n">
        <v>2344</v>
      </c>
      <c r="L2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6">
      <c r="A2346" s="229" t="n">
        <v>46200</v>
      </c>
      <c r="B2346" s="46" t="inlineStr">
        <is>
          <t>메모</t>
        </is>
      </c>
      <c r="C2346" s="46" t="inlineStr">
        <is>
          <t>부천지역</t>
        </is>
      </c>
      <c r="D2346" s="46" t="inlineStr">
        <is>
          <t>민경수 휴가</t>
        </is>
      </c>
      <c r="E2346" s="46" t="n"/>
      <c r="F2346" s="46" t="n"/>
      <c r="G2346" s="50" t="n"/>
      <c r="H2346" s="51" t="n"/>
      <c r="I2346" s="46" t="n"/>
      <c r="K2346" s="46" t="n">
        <v>2345</v>
      </c>
      <c r="L2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7">
      <c r="A2347" s="229" t="n">
        <v>46200</v>
      </c>
      <c r="B2347" s="46" t="inlineStr">
        <is>
          <t>메모</t>
        </is>
      </c>
      <c r="C2347" s="46" t="inlineStr">
        <is>
          <t>부천지역</t>
        </is>
      </c>
      <c r="D2347" s="46" t="inlineStr">
        <is>
          <t>허창수 휴가</t>
        </is>
      </c>
      <c r="E2347" s="46" t="n"/>
      <c r="F2347" s="46" t="n"/>
      <c r="G2347" s="50" t="n"/>
      <c r="H2347" s="51" t="n"/>
      <c r="I2347" s="46" t="n"/>
      <c r="K2347" s="46" t="n">
        <v>2346</v>
      </c>
      <c r="L2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8">
      <c r="A2348" s="229" t="n">
        <v>46200</v>
      </c>
      <c r="B2348" s="46" t="inlineStr">
        <is>
          <t>메모</t>
        </is>
      </c>
      <c r="C2348" s="46" t="inlineStr">
        <is>
          <t>부천지역</t>
        </is>
      </c>
      <c r="D2348" s="46" t="inlineStr">
        <is>
          <t>이종석 휴가</t>
        </is>
      </c>
      <c r="E2348" s="46" t="n"/>
      <c r="F2348" s="46" t="n"/>
      <c r="G2348" s="50" t="n"/>
      <c r="H2348" s="51" t="n"/>
      <c r="I2348" s="46" t="n"/>
      <c r="K2348" s="46" t="n">
        <v>2347</v>
      </c>
      <c r="L2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9">
      <c r="A2349" s="229" t="n">
        <v>46200</v>
      </c>
      <c r="B2349" s="46" t="inlineStr">
        <is>
          <t>사용전검사</t>
        </is>
      </c>
      <c r="C2349" s="46" t="inlineStr">
        <is>
          <t>김포지역</t>
        </is>
      </c>
      <c r="D2349" s="46" t="inlineStr">
        <is>
          <t>삼미레이저</t>
        </is>
      </c>
      <c r="E2349" s="46" t="n">
        <v>290</v>
      </c>
      <c r="F2349" s="46" t="inlineStr">
        <is>
          <t>구래리</t>
        </is>
      </c>
      <c r="G2349" s="50" t="n"/>
      <c r="H2349" s="51" t="n"/>
      <c r="I2349" s="46" t="inlineStr">
        <is>
          <t>당효진</t>
        </is>
      </c>
      <c r="K2349" s="46" t="n">
        <v>2348</v>
      </c>
      <c r="L2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0">
      <c r="A2350" s="229" t="n">
        <v>46200</v>
      </c>
      <c r="B2350" s="46" t="inlineStr">
        <is>
          <t>사용전검사</t>
        </is>
      </c>
      <c r="C2350" s="46" t="inlineStr">
        <is>
          <t>김포지역</t>
        </is>
      </c>
      <c r="D2350" s="46" t="inlineStr">
        <is>
          <t>해병군사경찰대</t>
        </is>
      </c>
      <c r="E2350" s="46" t="n">
        <v>400</v>
      </c>
      <c r="F2350" s="46" t="inlineStr">
        <is>
          <t>마송리</t>
        </is>
      </c>
      <c r="G2350" s="50" t="n"/>
      <c r="H2350" s="51" t="n"/>
      <c r="I2350" s="46" t="inlineStr">
        <is>
          <t>정신배</t>
        </is>
      </c>
      <c r="K2350" s="46" t="n">
        <v>2349</v>
      </c>
      <c r="L2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1">
      <c r="A2351" s="229" t="n">
        <v>46201</v>
      </c>
      <c r="B2351" s="46" t="inlineStr">
        <is>
          <t>메모</t>
        </is>
      </c>
      <c r="C2351" s="46" t="inlineStr">
        <is>
          <t>부천지역</t>
        </is>
      </c>
      <c r="D2351" s="46" t="inlineStr">
        <is>
          <t>이종석 휴가</t>
        </is>
      </c>
      <c r="E2351" s="46" t="n"/>
      <c r="F2351" s="46" t="n"/>
      <c r="G2351" s="50" t="n"/>
      <c r="H2351" s="51" t="n"/>
      <c r="I2351" s="46" t="n"/>
      <c r="K2351" s="46" t="n">
        <v>2350</v>
      </c>
      <c r="L2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2">
      <c r="A2352" s="229" t="n">
        <v>46201</v>
      </c>
      <c r="B2352" s="46" t="inlineStr">
        <is>
          <t>메모</t>
        </is>
      </c>
      <c r="C2352" s="46" t="inlineStr">
        <is>
          <t>부천지역</t>
        </is>
      </c>
      <c r="D2352" s="46" t="inlineStr">
        <is>
          <t>민재홍 휴가</t>
        </is>
      </c>
      <c r="E2352" s="46" t="n"/>
      <c r="F2352" s="46" t="n"/>
      <c r="G2352" s="50" t="n"/>
      <c r="H2352" s="51" t="n"/>
      <c r="I2352" s="46" t="n"/>
      <c r="K2352" s="46" t="n">
        <v>2351</v>
      </c>
      <c r="L2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3">
      <c r="A2353" s="229" t="n">
        <v>46201</v>
      </c>
      <c r="B2353" s="46" t="inlineStr">
        <is>
          <t>메모</t>
        </is>
      </c>
      <c r="C2353" s="46" t="inlineStr">
        <is>
          <t>부천지역</t>
        </is>
      </c>
      <c r="D2353" s="46" t="inlineStr">
        <is>
          <t>이덕기휴가</t>
        </is>
      </c>
      <c r="E2353" s="46" t="n"/>
      <c r="F2353" s="46" t="n"/>
      <c r="G2353" s="50" t="n"/>
      <c r="H2353" s="51" t="n"/>
      <c r="I2353" s="46" t="n"/>
      <c r="K2353" s="46" t="n">
        <v>2352</v>
      </c>
      <c r="L2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4">
      <c r="A2354" s="229" t="n">
        <v>46201</v>
      </c>
      <c r="B2354" s="46" t="inlineStr">
        <is>
          <t>메모</t>
        </is>
      </c>
      <c r="C2354" s="46" t="inlineStr">
        <is>
          <t>부천지역</t>
        </is>
      </c>
      <c r="D2354" s="46" t="inlineStr">
        <is>
          <t>민경수휴가</t>
        </is>
      </c>
      <c r="E2354" s="46" t="n"/>
      <c r="F2354" s="46" t="n"/>
      <c r="G2354" s="50" t="n"/>
      <c r="H2354" s="51" t="n"/>
      <c r="I2354" s="46" t="n"/>
      <c r="K2354" s="46" t="n">
        <v>2353</v>
      </c>
      <c r="L2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5">
      <c r="A2355" s="229" t="n">
        <v>46201</v>
      </c>
      <c r="B2355" s="46" t="inlineStr">
        <is>
          <t>메모</t>
        </is>
      </c>
      <c r="C2355" s="46" t="inlineStr">
        <is>
          <t>부천지역</t>
        </is>
      </c>
      <c r="D2355" s="46" t="inlineStr">
        <is>
          <t>허창수 휴가</t>
        </is>
      </c>
      <c r="E2355" s="46" t="n"/>
      <c r="F2355" s="46" t="n"/>
      <c r="G2355" s="50" t="n"/>
      <c r="H2355" s="51" t="n"/>
      <c r="I2355" s="46" t="n"/>
      <c r="K2355" s="46" t="n">
        <v>2354</v>
      </c>
      <c r="L2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6">
      <c r="A2356" s="229" t="n">
        <v>46202</v>
      </c>
      <c r="B2356" s="46" t="inlineStr">
        <is>
          <t>정기검사</t>
        </is>
      </c>
      <c r="C2356" s="46" t="inlineStr">
        <is>
          <t>부천지역</t>
        </is>
      </c>
      <c r="D2356" s="46" t="inlineStr">
        <is>
          <t>위브E상가</t>
        </is>
      </c>
      <c r="E2356" s="46" t="inlineStr">
        <is>
          <t>1750/364</t>
        </is>
      </c>
      <c r="F2356" s="46" t="inlineStr">
        <is>
          <t>중동</t>
        </is>
      </c>
      <c r="G2356" s="50" t="n">
        <v>0.25</v>
      </c>
      <c r="H2356" s="51" t="n">
        <v>1617330</v>
      </c>
      <c r="I2356" s="46" t="inlineStr">
        <is>
          <t>이종석</t>
        </is>
      </c>
      <c r="K2356" s="46" t="n">
        <v>2355</v>
      </c>
      <c r="L2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7">
      <c r="A2357" s="229" t="n">
        <v>46202</v>
      </c>
      <c r="B2357" s="46" t="inlineStr">
        <is>
          <t>정기검사</t>
        </is>
      </c>
      <c r="C2357" s="46" t="inlineStr">
        <is>
          <t>부천지역</t>
        </is>
      </c>
      <c r="D2357" s="46" t="inlineStr">
        <is>
          <t>그린프라자</t>
        </is>
      </c>
      <c r="E2357" s="46" t="inlineStr">
        <is>
          <t>500/69</t>
        </is>
      </c>
      <c r="F2357" s="46" t="inlineStr">
        <is>
          <t>심곡동</t>
        </is>
      </c>
      <c r="G2357" s="50" t="n">
        <v>0.3958333333333333</v>
      </c>
      <c r="H2357" s="51" t="n">
        <v>893970</v>
      </c>
      <c r="I2357" s="46" t="inlineStr">
        <is>
          <t>허창수</t>
        </is>
      </c>
      <c r="K2357" s="46" t="n">
        <v>2356</v>
      </c>
      <c r="L2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8">
      <c r="A2358" s="229" t="n">
        <v>46202</v>
      </c>
      <c r="B2358" s="46" t="inlineStr">
        <is>
          <t>정기검사</t>
        </is>
      </c>
      <c r="C2358" s="46" t="inlineStr">
        <is>
          <t>부천지역</t>
        </is>
      </c>
      <c r="D2358" s="46" t="inlineStr">
        <is>
          <t>기륭씰</t>
        </is>
      </c>
      <c r="E2358" s="46" t="n">
        <v>290</v>
      </c>
      <c r="F2358" s="46" t="inlineStr">
        <is>
          <t>삼정동</t>
        </is>
      </c>
      <c r="G2358" s="50" t="n">
        <v>0.5104166666666666</v>
      </c>
      <c r="H2358" s="51" t="n">
        <v>515130</v>
      </c>
      <c r="I2358" s="46" t="inlineStr">
        <is>
          <t>허창수</t>
        </is>
      </c>
      <c r="K2358" s="46" t="n">
        <v>2357</v>
      </c>
      <c r="L2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9">
      <c r="A2359" s="229" t="n">
        <v>46202</v>
      </c>
      <c r="B2359" s="46" t="inlineStr">
        <is>
          <t>정기검사</t>
        </is>
      </c>
      <c r="C2359" s="46" t="inlineStr">
        <is>
          <t>부천지역</t>
        </is>
      </c>
      <c r="D2359" s="46" t="inlineStr">
        <is>
          <t>정신금속</t>
        </is>
      </c>
      <c r="E2359" s="46" t="n">
        <v>250</v>
      </c>
      <c r="F2359" s="46" t="inlineStr">
        <is>
          <t>도당동</t>
        </is>
      </c>
      <c r="G2359" s="50" t="n">
        <v>0.4791666666666667</v>
      </c>
      <c r="H2359" s="51" t="n">
        <v>489170</v>
      </c>
      <c r="I2359" s="46" t="inlineStr">
        <is>
          <t>김영권</t>
        </is>
      </c>
      <c r="K2359" s="46" t="n">
        <v>2358</v>
      </c>
      <c r="L2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0">
      <c r="A2360" s="229" t="n">
        <v>46202</v>
      </c>
      <c r="B2360" s="46" t="inlineStr">
        <is>
          <t>정기검사</t>
        </is>
      </c>
      <c r="C2360" s="46" t="inlineStr">
        <is>
          <t>부천지역</t>
        </is>
      </c>
      <c r="D2360" s="46" t="inlineStr">
        <is>
          <t>티엑스알로보틱스</t>
        </is>
      </c>
      <c r="E2360" s="46" t="n">
        <v>650</v>
      </c>
      <c r="F2360" s="46" t="inlineStr">
        <is>
          <t>도당동</t>
        </is>
      </c>
      <c r="G2360" s="50" t="n">
        <v>0.5</v>
      </c>
      <c r="H2360" s="51" t="n">
        <v>787820</v>
      </c>
      <c r="I2360" s="46" t="inlineStr">
        <is>
          <t>한태희</t>
        </is>
      </c>
      <c r="K2360" s="46" t="n">
        <v>2359</v>
      </c>
      <c r="L2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1">
      <c r="A2361" s="229" t="n">
        <v>46202</v>
      </c>
      <c r="B2361" s="46" t="inlineStr">
        <is>
          <t>정기검사</t>
        </is>
      </c>
      <c r="C2361" s="46" t="inlineStr">
        <is>
          <t>부천지역</t>
        </is>
      </c>
      <c r="D2361" s="46" t="inlineStr">
        <is>
          <t>부영빌딩</t>
        </is>
      </c>
      <c r="E2361" s="46" t="n">
        <v>69</v>
      </c>
      <c r="F2361" s="46" t="inlineStr">
        <is>
          <t>심곡동</t>
        </is>
      </c>
      <c r="G2361" s="50" t="n">
        <v>0.3958333333333333</v>
      </c>
      <c r="H2361" s="51" t="n">
        <v>156970</v>
      </c>
      <c r="I2361" s="46" t="inlineStr">
        <is>
          <t>송두기</t>
        </is>
      </c>
      <c r="K2361" s="46" t="n">
        <v>2360</v>
      </c>
      <c r="L2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2">
      <c r="A2362" s="229" t="n">
        <v>46202</v>
      </c>
      <c r="B2362" s="46" t="inlineStr">
        <is>
          <t>정기검사</t>
        </is>
      </c>
      <c r="C2362" s="46" t="inlineStr">
        <is>
          <t>부천지역</t>
        </is>
      </c>
      <c r="D2362" s="46" t="inlineStr">
        <is>
          <t>라라스타찌오네</t>
        </is>
      </c>
      <c r="E2362" s="46" t="n">
        <v>200</v>
      </c>
      <c r="F2362" s="46" t="inlineStr">
        <is>
          <t>송내동</t>
        </is>
      </c>
      <c r="G2362" s="50" t="n">
        <v>0.3958333333333333</v>
      </c>
      <c r="H2362" s="51" t="n">
        <v>456720</v>
      </c>
      <c r="I2362" s="46" t="inlineStr">
        <is>
          <t>송낙명</t>
        </is>
      </c>
      <c r="K2362" s="46" t="n">
        <v>2361</v>
      </c>
      <c r="L2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3">
      <c r="A2363" s="229" t="n">
        <v>46202</v>
      </c>
      <c r="B2363" s="46" t="inlineStr">
        <is>
          <t>정기검사</t>
        </is>
      </c>
      <c r="C2363" s="46" t="inlineStr">
        <is>
          <t>부천지역</t>
        </is>
      </c>
      <c r="D2363" s="46" t="inlineStr">
        <is>
          <t>순천향대</t>
        </is>
      </c>
      <c r="E2363" s="46" t="inlineStr">
        <is>
          <t>ups</t>
        </is>
      </c>
      <c r="F2363" s="46" t="inlineStr">
        <is>
          <t>중동</t>
        </is>
      </c>
      <c r="G2363" s="50" t="n">
        <v>0.5833333333333334</v>
      </c>
      <c r="H2363" s="51" t="n">
        <v>1072280</v>
      </c>
      <c r="I2363" s="46" t="inlineStr">
        <is>
          <t>허창수</t>
        </is>
      </c>
      <c r="K2363" s="46" t="n">
        <v>2362</v>
      </c>
      <c r="L2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4">
      <c r="A2364" s="229" t="n">
        <v>46202</v>
      </c>
      <c r="B2364" s="46" t="inlineStr">
        <is>
          <t>정기검사</t>
        </is>
      </c>
      <c r="C2364" s="46" t="inlineStr">
        <is>
          <t>김포지역</t>
        </is>
      </c>
      <c r="D2364" s="46" t="inlineStr">
        <is>
          <t>청심</t>
        </is>
      </c>
      <c r="E2364" s="46" t="n">
        <v>1300</v>
      </c>
      <c r="F2364" s="46" t="inlineStr">
        <is>
          <t>쇄암리</t>
        </is>
      </c>
      <c r="G2364" s="50" t="n">
        <v>0.4166666666666667</v>
      </c>
      <c r="H2364" s="51" t="n">
        <v>950290</v>
      </c>
      <c r="I2364" s="46" t="inlineStr">
        <is>
          <t>정신배</t>
        </is>
      </c>
      <c r="K2364" s="46" t="n">
        <v>2363</v>
      </c>
      <c r="L2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5">
      <c r="A2365" s="229" t="n">
        <v>46202</v>
      </c>
      <c r="B2365" s="46" t="inlineStr">
        <is>
          <t>정기검사</t>
        </is>
      </c>
      <c r="C2365" s="46" t="inlineStr">
        <is>
          <t>김포지역</t>
        </is>
      </c>
      <c r="D2365" s="46" t="inlineStr">
        <is>
          <t>신도공업</t>
        </is>
      </c>
      <c r="E2365" s="46" t="n">
        <v>500</v>
      </c>
      <c r="F2365" s="46" t="inlineStr">
        <is>
          <t>가현리</t>
        </is>
      </c>
      <c r="G2365" s="50" t="n">
        <v>0.3958333333333333</v>
      </c>
      <c r="H2365" s="51" t="n">
        <v>737000</v>
      </c>
      <c r="I2365" s="46" t="inlineStr">
        <is>
          <t>당효진</t>
        </is>
      </c>
      <c r="K2365" s="46" t="n">
        <v>2364</v>
      </c>
      <c r="L2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6">
      <c r="A2366" s="229" t="n">
        <v>46202</v>
      </c>
      <c r="B2366" s="46" t="inlineStr">
        <is>
          <t>정기검사</t>
        </is>
      </c>
      <c r="C2366" s="46" t="inlineStr">
        <is>
          <t>김포지역</t>
        </is>
      </c>
      <c r="D2366" s="46" t="inlineStr">
        <is>
          <t>성은지기인쇄</t>
        </is>
      </c>
      <c r="E2366" s="46" t="n">
        <v>400</v>
      </c>
      <c r="F2366" s="46" t="inlineStr">
        <is>
          <t>석모리</t>
        </is>
      </c>
      <c r="G2366" s="50" t="n">
        <v>0.5208333333333334</v>
      </c>
      <c r="H2366" s="51" t="n">
        <v>703120</v>
      </c>
      <c r="I2366" s="46" t="inlineStr">
        <is>
          <t>민재홍</t>
        </is>
      </c>
      <c r="K2366" s="46" t="n">
        <v>2365</v>
      </c>
      <c r="L2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7">
      <c r="A2367" s="229" t="n">
        <v>46202</v>
      </c>
      <c r="B2367" s="46" t="inlineStr">
        <is>
          <t>정기검사</t>
        </is>
      </c>
      <c r="C2367" s="46" t="inlineStr">
        <is>
          <t>김포지역</t>
        </is>
      </c>
      <c r="D2367" s="46" t="inlineStr">
        <is>
          <t>서림하이텍태양광</t>
        </is>
      </c>
      <c r="E2367" s="46" t="n">
        <v>201</v>
      </c>
      <c r="F2367" s="46" t="inlineStr">
        <is>
          <t>대벽리</t>
        </is>
      </c>
      <c r="G2367" s="50" t="n">
        <v>0.4166666666666667</v>
      </c>
      <c r="H2367" s="51" t="n">
        <v>362010</v>
      </c>
      <c r="I2367" s="46" t="inlineStr">
        <is>
          <t>정성관</t>
        </is>
      </c>
      <c r="K2367" s="46" t="n">
        <v>2366</v>
      </c>
      <c r="L2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8">
      <c r="A2368" s="229" t="n">
        <v>46202</v>
      </c>
      <c r="B2368" s="46" t="inlineStr">
        <is>
          <t>정기검사</t>
        </is>
      </c>
      <c r="C2368" s="46" t="inlineStr">
        <is>
          <t>김포지역</t>
        </is>
      </c>
      <c r="D2368" s="46" t="inlineStr">
        <is>
          <t>삼영2호기</t>
        </is>
      </c>
      <c r="E2368" s="46" t="n">
        <v>98</v>
      </c>
      <c r="F2368" s="46" t="inlineStr">
        <is>
          <t>대벽리</t>
        </is>
      </c>
      <c r="G2368" s="50" t="n">
        <v>0.4583333333333333</v>
      </c>
      <c r="H2368" s="51" t="n">
        <v>253550</v>
      </c>
      <c r="I2368" s="46" t="inlineStr">
        <is>
          <t>정성관</t>
        </is>
      </c>
      <c r="K2368" s="46" t="n">
        <v>2367</v>
      </c>
      <c r="L2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9">
      <c r="A2369" s="229" t="n">
        <v>46202</v>
      </c>
      <c r="B2369" s="46" t="inlineStr">
        <is>
          <t>정기검사</t>
        </is>
      </c>
      <c r="C2369" s="46" t="inlineStr">
        <is>
          <t>김포지역</t>
        </is>
      </c>
      <c r="D2369" s="46" t="inlineStr">
        <is>
          <t>이지엠</t>
        </is>
      </c>
      <c r="E2369" s="46" t="n">
        <v>2350</v>
      </c>
      <c r="F2369" s="46" t="inlineStr">
        <is>
          <t>전류리</t>
        </is>
      </c>
      <c r="G2369" s="50" t="n">
        <v>0.5</v>
      </c>
      <c r="H2369" s="51" t="n">
        <v>1103850</v>
      </c>
      <c r="I2369" s="46" t="inlineStr">
        <is>
          <t>당효진</t>
        </is>
      </c>
      <c r="K2369" s="46" t="n">
        <v>2368</v>
      </c>
      <c r="L2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0">
      <c r="A2370" s="229" t="n">
        <v>46202</v>
      </c>
      <c r="B2370" s="46" t="inlineStr">
        <is>
          <t>정기검사</t>
        </is>
      </c>
      <c r="C2370" s="46" t="inlineStr">
        <is>
          <t>김포지역</t>
        </is>
      </c>
      <c r="D2370" s="46" t="inlineStr">
        <is>
          <t>우모디자인</t>
        </is>
      </c>
      <c r="E2370" s="46" t="n">
        <v>200</v>
      </c>
      <c r="F2370" s="46" t="inlineStr">
        <is>
          <t>서암리</t>
        </is>
      </c>
      <c r="G2370" s="50" t="n">
        <v>0.5</v>
      </c>
      <c r="H2370" s="51" t="n">
        <v>456720</v>
      </c>
      <c r="I2370" s="46" t="inlineStr">
        <is>
          <t>민경수</t>
        </is>
      </c>
      <c r="K2370" s="46" t="n">
        <v>2369</v>
      </c>
      <c r="L2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1">
      <c r="A2371" s="229" t="n">
        <v>46202</v>
      </c>
      <c r="B2371" s="46" t="inlineStr">
        <is>
          <t>사용전검사</t>
        </is>
      </c>
      <c r="C2371" s="46" t="inlineStr">
        <is>
          <t>부천지역</t>
        </is>
      </c>
      <c r="D2371" s="46" t="inlineStr">
        <is>
          <t>에이치엘디앤아이한라</t>
        </is>
      </c>
      <c r="E2371" s="46" t="n">
        <v>400</v>
      </c>
      <c r="F2371" s="46" t="inlineStr">
        <is>
          <t>원미동</t>
        </is>
      </c>
      <c r="G2371" s="50" t="n"/>
      <c r="H2371" s="51" t="n"/>
      <c r="I2371" s="46" t="inlineStr">
        <is>
          <t>김영권</t>
        </is>
      </c>
      <c r="K2371" s="46" t="n">
        <v>2370</v>
      </c>
      <c r="L2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2">
      <c r="A2372" s="229" t="n">
        <v>46202</v>
      </c>
      <c r="B2372" s="46" t="inlineStr">
        <is>
          <t>메모</t>
        </is>
      </c>
      <c r="C2372" s="46" t="inlineStr">
        <is>
          <t>부천지역</t>
        </is>
      </c>
      <c r="D2372" s="46" t="inlineStr">
        <is>
          <t>이덕기휴가</t>
        </is>
      </c>
      <c r="E2372" s="46" t="n"/>
      <c r="F2372" s="46" t="n"/>
      <c r="G2372" s="50" t="n"/>
      <c r="H2372" s="51" t="n"/>
      <c r="I2372" s="46" t="n"/>
      <c r="K2372" s="46" t="n">
        <v>2371</v>
      </c>
      <c r="L2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3">
      <c r="A2373" s="229" t="n">
        <v>46202</v>
      </c>
      <c r="B2373" s="46" t="inlineStr">
        <is>
          <t>사용전검사</t>
        </is>
      </c>
      <c r="C2373" s="46" t="inlineStr">
        <is>
          <t>김포지역</t>
        </is>
      </c>
      <c r="D2373" s="46" t="inlineStr">
        <is>
          <t>대우건설</t>
        </is>
      </c>
      <c r="E2373" s="46" t="n">
        <v>950</v>
      </c>
      <c r="F2373" s="46" t="inlineStr">
        <is>
          <t>향산리</t>
        </is>
      </c>
      <c r="G2373" s="50" t="n"/>
      <c r="H2373" s="51" t="n"/>
      <c r="I2373" s="46" t="inlineStr">
        <is>
          <t>서수형</t>
        </is>
      </c>
      <c r="K2373" s="46" t="n">
        <v>2372</v>
      </c>
      <c r="L2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4">
      <c r="A2374" s="229" t="n">
        <v>46203</v>
      </c>
      <c r="B2374" s="46" t="inlineStr">
        <is>
          <t>정기검사</t>
        </is>
      </c>
      <c r="C2374" s="46" t="inlineStr">
        <is>
          <t>부천지역</t>
        </is>
      </c>
      <c r="D2374" s="46" t="inlineStr">
        <is>
          <t>쇄경골</t>
        </is>
      </c>
      <c r="E2374" s="46" t="inlineStr">
        <is>
          <t>ups</t>
        </is>
      </c>
      <c r="F2374" s="46" t="inlineStr">
        <is>
          <t>도당동</t>
        </is>
      </c>
      <c r="G2374" s="50" t="n">
        <v>0.4166666666666667</v>
      </c>
      <c r="H2374" s="51" t="n">
        <v>272030</v>
      </c>
      <c r="I2374" s="46" t="inlineStr">
        <is>
          <t>당효진</t>
        </is>
      </c>
      <c r="K2374" s="46" t="n">
        <v>2373</v>
      </c>
      <c r="L2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5">
      <c r="A2375" s="229" t="n">
        <v>46203</v>
      </c>
      <c r="B2375" s="46" t="inlineStr">
        <is>
          <t>정기검사</t>
        </is>
      </c>
      <c r="C2375" s="46" t="inlineStr">
        <is>
          <t>부천지역</t>
        </is>
      </c>
      <c r="D2375" s="46" t="inlineStr">
        <is>
          <t>위브E상가</t>
        </is>
      </c>
      <c r="E2375" s="46" t="inlineStr">
        <is>
          <t>2000/400</t>
        </is>
      </c>
      <c r="F2375" s="46" t="inlineStr">
        <is>
          <t>중동</t>
        </is>
      </c>
      <c r="G2375" s="50" t="n">
        <v>0.25</v>
      </c>
      <c r="H2375" s="51" t="n">
        <v>1674860</v>
      </c>
      <c r="I2375" s="46" t="inlineStr">
        <is>
          <t>서수형</t>
        </is>
      </c>
      <c r="K2375" s="46" t="n">
        <v>2374</v>
      </c>
      <c r="L2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6">
      <c r="A2376" s="229" t="n">
        <v>46203</v>
      </c>
      <c r="B2376" s="46" t="inlineStr">
        <is>
          <t>정기검사</t>
        </is>
      </c>
      <c r="C2376" s="46" t="inlineStr">
        <is>
          <t>부천지역</t>
        </is>
      </c>
      <c r="D2376" s="46" t="inlineStr">
        <is>
          <t>부천시청</t>
        </is>
      </c>
      <c r="E2376" s="46" t="n">
        <v>100</v>
      </c>
      <c r="F2376" s="46" t="inlineStr">
        <is>
          <t>중동</t>
        </is>
      </c>
      <c r="G2376" s="50" t="n"/>
      <c r="H2376" s="51" t="n">
        <v>256410</v>
      </c>
      <c r="I2376" s="46" t="inlineStr">
        <is>
          <t>정성관</t>
        </is>
      </c>
      <c r="K2376" s="46" t="n">
        <v>2375</v>
      </c>
      <c r="L2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7">
      <c r="A2377" s="229" t="n">
        <v>46203</v>
      </c>
      <c r="B2377" s="46" t="inlineStr">
        <is>
          <t>정기검사</t>
        </is>
      </c>
      <c r="C2377" s="46" t="inlineStr">
        <is>
          <t>부천지역</t>
        </is>
      </c>
      <c r="D2377" s="46" t="inlineStr">
        <is>
          <t>아짚모터스</t>
        </is>
      </c>
      <c r="E2377" s="46" t="n">
        <v>225</v>
      </c>
      <c r="F2377" s="46" t="inlineStr">
        <is>
          <t>내동</t>
        </is>
      </c>
      <c r="G2377" s="50" t="n">
        <v>0.5</v>
      </c>
      <c r="H2377" s="51" t="n">
        <v>472890</v>
      </c>
      <c r="I2377" s="46" t="inlineStr">
        <is>
          <t>송낙명</t>
        </is>
      </c>
      <c r="K2377" s="46" t="n">
        <v>2376</v>
      </c>
      <c r="L2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8">
      <c r="A2378" s="229" t="n">
        <v>46203</v>
      </c>
      <c r="B2378" s="46" t="inlineStr">
        <is>
          <t>정기검사</t>
        </is>
      </c>
      <c r="C2378" s="46" t="inlineStr">
        <is>
          <t>부천지역</t>
        </is>
      </c>
      <c r="D2378" s="46" t="inlineStr">
        <is>
          <t>워드프러스타워</t>
        </is>
      </c>
      <c r="E2378" s="46" t="inlineStr">
        <is>
          <t>600/236</t>
        </is>
      </c>
      <c r="F2378" s="46" t="inlineStr">
        <is>
          <t>괴안동</t>
        </is>
      </c>
      <c r="G2378" s="50" t="n">
        <v>0.5416666666666666</v>
      </c>
      <c r="H2378" s="51" t="n">
        <v>977240</v>
      </c>
      <c r="I2378" s="46" t="inlineStr">
        <is>
          <t>이종석</t>
        </is>
      </c>
      <c r="K2378" s="46" t="n">
        <v>2377</v>
      </c>
      <c r="L2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9">
      <c r="A2379" s="229" t="n">
        <v>46203</v>
      </c>
      <c r="B2379" s="46" t="inlineStr">
        <is>
          <t>정기검사</t>
        </is>
      </c>
      <c r="C2379" s="46" t="inlineStr">
        <is>
          <t>부천지역</t>
        </is>
      </c>
      <c r="D2379" s="46" t="inlineStr">
        <is>
          <t>성은프라자</t>
        </is>
      </c>
      <c r="E2379" s="46" t="n">
        <v>350</v>
      </c>
      <c r="F2379" s="46" t="inlineStr">
        <is>
          <t>원종동</t>
        </is>
      </c>
      <c r="G2379" s="50" t="n">
        <v>0.3958333333333333</v>
      </c>
      <c r="H2379" s="51" t="n">
        <v>686180</v>
      </c>
      <c r="I2379" s="46" t="inlineStr">
        <is>
          <t>정성관</t>
        </is>
      </c>
      <c r="K2379" s="46" t="n">
        <v>2378</v>
      </c>
      <c r="L2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0">
      <c r="A2380" s="229" t="n">
        <v>46203</v>
      </c>
      <c r="B2380" s="46" t="inlineStr">
        <is>
          <t>정기검사</t>
        </is>
      </c>
      <c r="C2380" s="46" t="inlineStr">
        <is>
          <t>부천지역</t>
        </is>
      </c>
      <c r="D2380" s="46" t="inlineStr">
        <is>
          <t>성은프라자</t>
        </is>
      </c>
      <c r="E2380" s="46" t="n">
        <v>400</v>
      </c>
      <c r="F2380" s="46" t="inlineStr">
        <is>
          <t>원종동</t>
        </is>
      </c>
      <c r="G2380" s="50" t="n">
        <v>0.2708333333333333</v>
      </c>
      <c r="H2380" s="51" t="n">
        <v>913990</v>
      </c>
      <c r="I2380" s="46" t="inlineStr">
        <is>
          <t>송낙명</t>
        </is>
      </c>
      <c r="K2380" s="46" t="n">
        <v>2379</v>
      </c>
      <c r="L2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1">
      <c r="A2381" s="229" t="n">
        <v>46203</v>
      </c>
      <c r="B2381" s="46" t="inlineStr">
        <is>
          <t>정기검사</t>
        </is>
      </c>
      <c r="C2381" s="46" t="inlineStr">
        <is>
          <t>부천지역</t>
        </is>
      </c>
      <c r="D2381" s="46" t="inlineStr">
        <is>
          <t>대건케이블</t>
        </is>
      </c>
      <c r="E2381" s="46" t="n">
        <v>250</v>
      </c>
      <c r="F2381" s="46" t="inlineStr">
        <is>
          <t>삼정동</t>
        </is>
      </c>
      <c r="G2381" s="50" t="n">
        <v>0.4791666666666667</v>
      </c>
      <c r="H2381" s="51" t="n">
        <v>489170</v>
      </c>
      <c r="I2381" s="46" t="inlineStr">
        <is>
          <t>당효진</t>
        </is>
      </c>
      <c r="K2381" s="46" t="n">
        <v>2380</v>
      </c>
      <c r="L2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2">
      <c r="A2382" s="229" t="n">
        <v>46203</v>
      </c>
      <c r="B2382" s="46" t="inlineStr">
        <is>
          <t>정기검사</t>
        </is>
      </c>
      <c r="C2382" s="46" t="inlineStr">
        <is>
          <t>부천지역</t>
        </is>
      </c>
      <c r="D2382" s="46" t="inlineStr">
        <is>
          <t>거성정밀</t>
        </is>
      </c>
      <c r="E2382" s="46" t="n">
        <v>290</v>
      </c>
      <c r="F2382" s="46" t="inlineStr">
        <is>
          <t>도당동</t>
        </is>
      </c>
      <c r="G2382" s="50" t="n">
        <v>0.4791666666666667</v>
      </c>
      <c r="H2382" s="51" t="n">
        <v>515130</v>
      </c>
      <c r="I2382" s="46" t="inlineStr">
        <is>
          <t>허창수</t>
        </is>
      </c>
      <c r="K2382" s="46" t="n">
        <v>2381</v>
      </c>
      <c r="L2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3">
      <c r="A2383" s="229" t="n">
        <v>46203</v>
      </c>
      <c r="B2383" s="46" t="inlineStr">
        <is>
          <t>정기검사</t>
        </is>
      </c>
      <c r="C2383" s="46" t="inlineStr">
        <is>
          <t>김포지역</t>
        </is>
      </c>
      <c r="D2383" s="46" t="inlineStr">
        <is>
          <t>에버원</t>
        </is>
      </c>
      <c r="E2383" s="46" t="n">
        <v>7</v>
      </c>
      <c r="F2383" s="46" t="inlineStr">
        <is>
          <t>운양동</t>
        </is>
      </c>
      <c r="G2383" s="50" t="n">
        <v>0.4166666666666667</v>
      </c>
      <c r="H2383" s="51" t="n">
        <v>106590</v>
      </c>
      <c r="I2383" s="46" t="inlineStr">
        <is>
          <t>민재홍</t>
        </is>
      </c>
      <c r="K2383" s="46" t="n">
        <v>2382</v>
      </c>
      <c r="L2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4">
      <c r="A2384" s="229" t="n">
        <v>46203</v>
      </c>
      <c r="B2384" s="46" t="inlineStr">
        <is>
          <t>정기검사</t>
        </is>
      </c>
      <c r="C2384" s="46" t="inlineStr">
        <is>
          <t>김포지역</t>
        </is>
      </c>
      <c r="D2384" s="46" t="inlineStr">
        <is>
          <t>리버에일린뜰</t>
        </is>
      </c>
      <c r="E2384" s="46" t="inlineStr">
        <is>
          <t>1950/545</t>
        </is>
      </c>
      <c r="F2384" s="46" t="inlineStr">
        <is>
          <t>운양동</t>
        </is>
      </c>
      <c r="G2384" s="50" t="n">
        <v>0.4166666666666667</v>
      </c>
      <c r="H2384" s="51" t="n">
        <v>1320990</v>
      </c>
      <c r="I2384" s="46" t="inlineStr">
        <is>
          <t>민재홍</t>
        </is>
      </c>
      <c r="K2384" s="46" t="n">
        <v>2383</v>
      </c>
      <c r="L2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5">
      <c r="A2385" s="229" t="n">
        <v>46203</v>
      </c>
      <c r="B2385" s="46" t="inlineStr">
        <is>
          <t>정기검사</t>
        </is>
      </c>
      <c r="C2385" s="46" t="inlineStr">
        <is>
          <t>김포지역</t>
        </is>
      </c>
      <c r="D2385" s="46" t="inlineStr">
        <is>
          <t>한강아이파크</t>
        </is>
      </c>
      <c r="E2385" s="46" t="inlineStr">
        <is>
          <t>4500/725</t>
        </is>
      </c>
      <c r="F2385" s="46" t="inlineStr">
        <is>
          <t>구래동</t>
        </is>
      </c>
      <c r="G2385" s="50" t="n">
        <v>0.3958333333333333</v>
      </c>
      <c r="H2385" s="51" t="n">
        <v>1727660</v>
      </c>
      <c r="I2385" s="46" t="inlineStr">
        <is>
          <t>김영권</t>
        </is>
      </c>
      <c r="K2385" s="46" t="n">
        <v>2384</v>
      </c>
      <c r="L2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6">
      <c r="A2386" s="229" t="n">
        <v>46203</v>
      </c>
      <c r="B2386" s="46" t="inlineStr">
        <is>
          <t>정기검사</t>
        </is>
      </c>
      <c r="C2386" s="46" t="inlineStr">
        <is>
          <t>김포지역</t>
        </is>
      </c>
      <c r="D2386" s="46" t="inlineStr">
        <is>
          <t>유보라6차</t>
        </is>
      </c>
      <c r="E2386" s="46" t="inlineStr">
        <is>
          <t>950/227</t>
        </is>
      </c>
      <c r="F2386" s="46" t="inlineStr">
        <is>
          <t>운양동</t>
        </is>
      </c>
      <c r="G2386" s="50" t="n">
        <v>0.4166666666666667</v>
      </c>
      <c r="H2386" s="51" t="n">
        <v>1093180</v>
      </c>
      <c r="I2386" s="46" t="inlineStr">
        <is>
          <t>이덕기</t>
        </is>
      </c>
      <c r="K2386" s="46" t="n">
        <v>2385</v>
      </c>
      <c r="L2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7">
      <c r="A2387" s="229" t="n">
        <v>46203</v>
      </c>
      <c r="B2387" s="46" t="inlineStr">
        <is>
          <t>정기검사</t>
        </is>
      </c>
      <c r="C2387" s="46" t="inlineStr">
        <is>
          <t>김포지역</t>
        </is>
      </c>
      <c r="D2387" s="46" t="inlineStr">
        <is>
          <t>아라여객터미널ups</t>
        </is>
      </c>
      <c r="E2387" s="46" t="n">
        <v>75</v>
      </c>
      <c r="F2387" s="46" t="inlineStr">
        <is>
          <t>전호리</t>
        </is>
      </c>
      <c r="G2387" s="50" t="n">
        <v>0.4166666666666667</v>
      </c>
      <c r="H2387" s="51" t="n">
        <v>278520</v>
      </c>
      <c r="I2387" s="46" t="inlineStr">
        <is>
          <t>한태희</t>
        </is>
      </c>
      <c r="K2387" s="46" t="n">
        <v>2386</v>
      </c>
      <c r="L2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8">
      <c r="A2388" s="229" t="n">
        <v>46203</v>
      </c>
      <c r="B2388" s="46" t="inlineStr">
        <is>
          <t>정기검사</t>
        </is>
      </c>
      <c r="C2388" s="46" t="inlineStr">
        <is>
          <t>김포지역</t>
        </is>
      </c>
      <c r="D2388" s="46" t="inlineStr">
        <is>
          <t>월드3단지</t>
        </is>
      </c>
      <c r="E2388" s="46" t="inlineStr">
        <is>
          <t>전기차</t>
        </is>
      </c>
      <c r="F2388" s="46" t="inlineStr">
        <is>
          <t>운양동</t>
        </is>
      </c>
      <c r="G2388" s="50" t="n"/>
      <c r="H2388" s="51" t="n">
        <v>132000</v>
      </c>
      <c r="I2388" s="46" t="inlineStr">
        <is>
          <t>한태희</t>
        </is>
      </c>
      <c r="K2388" s="46" t="n">
        <v>2387</v>
      </c>
      <c r="L2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9">
      <c r="A2389" s="229" t="n">
        <v>46203</v>
      </c>
      <c r="B2389" s="46" t="inlineStr">
        <is>
          <t>사용전검사</t>
        </is>
      </c>
      <c r="C2389" s="46" t="inlineStr">
        <is>
          <t>부천지역</t>
        </is>
      </c>
      <c r="D2389" s="46" t="inlineStr">
        <is>
          <t>서부환경</t>
        </is>
      </c>
      <c r="E2389" s="46" t="n">
        <v>1800</v>
      </c>
      <c r="F2389" s="46" t="inlineStr">
        <is>
          <t>중동</t>
        </is>
      </c>
      <c r="G2389" s="50" t="n"/>
      <c r="H2389" s="51" t="n"/>
      <c r="I2389" s="46" t="inlineStr">
        <is>
          <t>허창수</t>
        </is>
      </c>
      <c r="K2389" s="46" t="n">
        <v>2388</v>
      </c>
      <c r="L2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0">
      <c r="A2390" s="229" t="n">
        <v>46203</v>
      </c>
      <c r="B2390" s="46" t="inlineStr">
        <is>
          <t>메모</t>
        </is>
      </c>
      <c r="C2390" s="46" t="inlineStr">
        <is>
          <t>부천지역</t>
        </is>
      </c>
      <c r="D2390" s="46" t="inlineStr">
        <is>
          <t>정신배휴가</t>
        </is>
      </c>
      <c r="E2390" s="46" t="n"/>
      <c r="F2390" s="46" t="n"/>
      <c r="G2390" s="50" t="n"/>
      <c r="H2390" s="51" t="n"/>
      <c r="I2390" s="46" t="n"/>
      <c r="K2390" s="46" t="n">
        <v>2389</v>
      </c>
      <c r="L2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1">
      <c r="A2391" s="229" t="n">
        <v>46203</v>
      </c>
      <c r="B2391" s="46" t="inlineStr">
        <is>
          <t>사용전검사</t>
        </is>
      </c>
      <c r="C2391" s="46" t="inlineStr">
        <is>
          <t>김포지역</t>
        </is>
      </c>
      <c r="D2391" s="46" t="inlineStr">
        <is>
          <t>골드스푼태양광</t>
        </is>
      </c>
      <c r="E2391" s="46" t="n">
        <v>89.655</v>
      </c>
      <c r="F2391" s="46" t="inlineStr">
        <is>
          <t>누산리</t>
        </is>
      </c>
      <c r="G2391" s="50" t="n"/>
      <c r="H2391" s="51" t="n"/>
      <c r="I2391" s="46" t="inlineStr">
        <is>
          <t>송두기</t>
        </is>
      </c>
      <c r="K2391" s="46" t="n">
        <v>2390</v>
      </c>
      <c r="L2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2">
      <c r="A2392" s="229" t="n">
        <v>46203</v>
      </c>
      <c r="B2392" s="46" t="inlineStr">
        <is>
          <t>사용전검사</t>
        </is>
      </c>
      <c r="C2392" s="46" t="inlineStr">
        <is>
          <t>김포지역</t>
        </is>
      </c>
      <c r="D2392" s="46" t="inlineStr">
        <is>
          <t>모햇2349태양광</t>
        </is>
      </c>
      <c r="E2392" s="46" t="n">
        <v>157.3</v>
      </c>
      <c r="F2392" s="46" t="inlineStr">
        <is>
          <t>학운리</t>
        </is>
      </c>
      <c r="G2392" s="50" t="n"/>
      <c r="H2392" s="51" t="n"/>
      <c r="I2392" s="46" t="inlineStr">
        <is>
          <t>한태희</t>
        </is>
      </c>
      <c r="K2392" s="46" t="n">
        <v>2391</v>
      </c>
      <c r="L2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3">
      <c r="A2393" s="229" t="n">
        <v>46203</v>
      </c>
      <c r="B2393" s="46" t="inlineStr">
        <is>
          <t>사용전검사</t>
        </is>
      </c>
      <c r="C2393" s="46" t="inlineStr">
        <is>
          <t>김포지역</t>
        </is>
      </c>
      <c r="D2393" s="46" t="inlineStr">
        <is>
          <t>금성태양광</t>
        </is>
      </c>
      <c r="E2393" s="46" t="n">
        <v>156.09</v>
      </c>
      <c r="F2393" s="46" t="inlineStr">
        <is>
          <t>마조리</t>
        </is>
      </c>
      <c r="G2393" s="50" t="n"/>
      <c r="H2393" s="51" t="n"/>
      <c r="I2393" s="46" t="inlineStr">
        <is>
          <t>민경수</t>
        </is>
      </c>
      <c r="K2393" s="46" t="n">
        <v>2392</v>
      </c>
      <c r="L2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4">
      <c r="A2394" s="229" t="n">
        <v>46204</v>
      </c>
      <c r="B2394" s="46" t="inlineStr">
        <is>
          <t>정기검사</t>
        </is>
      </c>
      <c r="C2394" s="46" t="inlineStr">
        <is>
          <t>부천지역</t>
        </is>
      </c>
      <c r="D2394" s="46" t="inlineStr">
        <is>
          <t>부천요양병원 전기차</t>
        </is>
      </c>
      <c r="E2394" s="46" t="inlineStr">
        <is>
          <t>3대</t>
        </is>
      </c>
      <c r="F2394" s="46" t="inlineStr">
        <is>
          <t>중동</t>
        </is>
      </c>
      <c r="G2394" s="50" t="n">
        <v>0.3958333333333333</v>
      </c>
      <c r="H2394" s="51" t="n">
        <v>72710</v>
      </c>
      <c r="I2394" s="46" t="inlineStr">
        <is>
          <t>정성관</t>
        </is>
      </c>
      <c r="K2394" s="46" t="n">
        <v>2393</v>
      </c>
      <c r="L2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5">
      <c r="A2395" s="229" t="n">
        <v>46204</v>
      </c>
      <c r="B2395" s="46" t="inlineStr">
        <is>
          <t>정기검사</t>
        </is>
      </c>
      <c r="C2395" s="46" t="inlineStr">
        <is>
          <t>부천지역</t>
        </is>
      </c>
      <c r="D2395" s="46" t="inlineStr">
        <is>
          <t>투나 전기차</t>
        </is>
      </c>
      <c r="E2395" s="46" t="inlineStr">
        <is>
          <t>8대</t>
        </is>
      </c>
      <c r="F2395" s="46" t="inlineStr">
        <is>
          <t>상동</t>
        </is>
      </c>
      <c r="G2395" s="50" t="n">
        <v>0.4166666666666667</v>
      </c>
      <c r="H2395" s="51" t="n">
        <v>115060</v>
      </c>
      <c r="I2395" s="46" t="inlineStr">
        <is>
          <t>옹승완</t>
        </is>
      </c>
      <c r="K2395" s="46" t="n">
        <v>2394</v>
      </c>
      <c r="L2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6">
      <c r="A2396" s="229" t="n">
        <v>46204</v>
      </c>
      <c r="B2396" s="46" t="inlineStr">
        <is>
          <t>정기검사</t>
        </is>
      </c>
      <c r="C2396" s="46" t="inlineStr">
        <is>
          <t>부천지역</t>
        </is>
      </c>
      <c r="D2396" s="46" t="inlineStr">
        <is>
          <t>창보아파트 전기차</t>
        </is>
      </c>
      <c r="E2396" s="46" t="inlineStr">
        <is>
          <t>5대</t>
        </is>
      </c>
      <c r="F2396" s="46" t="inlineStr">
        <is>
          <t>상동</t>
        </is>
      </c>
      <c r="G2396" s="50" t="n">
        <v>0.4375</v>
      </c>
      <c r="H2396" s="51" t="n">
        <v>89650</v>
      </c>
      <c r="I2396" s="46" t="inlineStr">
        <is>
          <t>옹승완</t>
        </is>
      </c>
      <c r="K2396" s="46" t="n">
        <v>2395</v>
      </c>
      <c r="L2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7">
      <c r="A2397" s="229" t="n">
        <v>46204</v>
      </c>
      <c r="B2397" s="46" t="inlineStr">
        <is>
          <t>정기검사</t>
        </is>
      </c>
      <c r="C2397" s="46" t="inlineStr">
        <is>
          <t>부천지역</t>
        </is>
      </c>
      <c r="D2397" s="46" t="inlineStr">
        <is>
          <t>온세미컨덕터</t>
        </is>
      </c>
      <c r="E2397" s="46" t="n">
        <v>2740</v>
      </c>
      <c r="F2397" s="46" t="inlineStr">
        <is>
          <t>도당동</t>
        </is>
      </c>
      <c r="G2397" s="50" t="n">
        <v>0.3958333333333333</v>
      </c>
      <c r="H2397" s="51" t="n">
        <v>4276800</v>
      </c>
      <c r="I2397" s="46" t="inlineStr">
        <is>
          <t>이덕기</t>
        </is>
      </c>
      <c r="K2397" s="46" t="n">
        <v>2396</v>
      </c>
      <c r="L2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8">
      <c r="A2398" s="229" t="n">
        <v>46204</v>
      </c>
      <c r="B2398" s="46" t="inlineStr">
        <is>
          <t>정기검사</t>
        </is>
      </c>
      <c r="C2398" s="46" t="inlineStr">
        <is>
          <t>김포지역</t>
        </is>
      </c>
      <c r="D2398" s="46" t="inlineStr">
        <is>
          <t>보성쓰리엠 저압</t>
        </is>
      </c>
      <c r="E2398" s="46" t="n">
        <v>200</v>
      </c>
      <c r="F2398" s="46" t="inlineStr">
        <is>
          <t>학운리</t>
        </is>
      </c>
      <c r="G2398" s="50" t="n">
        <v>0.3958333333333333</v>
      </c>
      <c r="H2398" s="51" t="n">
        <v>275440</v>
      </c>
      <c r="I2398" s="46" t="inlineStr">
        <is>
          <t>김영권</t>
        </is>
      </c>
      <c r="K2398" s="46" t="n">
        <v>2397</v>
      </c>
      <c r="L2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9">
      <c r="A2399" s="229" t="n">
        <v>46204</v>
      </c>
      <c r="B2399" s="46" t="inlineStr">
        <is>
          <t>정기검사</t>
        </is>
      </c>
      <c r="C2399" s="46" t="inlineStr">
        <is>
          <t>김포지역</t>
        </is>
      </c>
      <c r="D2399" s="46" t="inlineStr">
        <is>
          <t>해병대포1대대</t>
        </is>
      </c>
      <c r="E2399" s="46" t="n">
        <v>450</v>
      </c>
      <c r="F2399" s="46" t="inlineStr">
        <is>
          <t>마곡리</t>
        </is>
      </c>
      <c r="G2399" s="50" t="n">
        <v>0.5416666666666666</v>
      </c>
      <c r="H2399" s="51" t="n">
        <v>720060</v>
      </c>
      <c r="I2399" s="46" t="inlineStr">
        <is>
          <t>서수형</t>
        </is>
      </c>
      <c r="K2399" s="46" t="n">
        <v>2398</v>
      </c>
      <c r="L2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0">
      <c r="A2400" s="229" t="n">
        <v>46204</v>
      </c>
      <c r="B2400" s="46" t="inlineStr">
        <is>
          <t>사용전검사</t>
        </is>
      </c>
      <c r="C2400" s="46" t="inlineStr">
        <is>
          <t>부천지역</t>
        </is>
      </c>
      <c r="D2400" s="46" t="inlineStr">
        <is>
          <t>정언교회</t>
        </is>
      </c>
      <c r="E2400" s="46" t="n">
        <v>15</v>
      </c>
      <c r="F2400" s="46" t="n"/>
      <c r="G2400" s="50" t="n"/>
      <c r="H2400" s="51" t="n"/>
      <c r="I2400" s="46" t="inlineStr">
        <is>
          <t>정성관</t>
        </is>
      </c>
      <c r="K2400" s="46" t="n">
        <v>2399</v>
      </c>
      <c r="L2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1">
      <c r="A2401" s="229" t="n">
        <v>46204</v>
      </c>
      <c r="B2401" s="46" t="inlineStr">
        <is>
          <t>사용전검사</t>
        </is>
      </c>
      <c r="C2401" s="46" t="inlineStr">
        <is>
          <t>부천지역</t>
        </is>
      </c>
      <c r="D2401" s="46" t="inlineStr">
        <is>
          <t>부천리더스365의원</t>
        </is>
      </c>
      <c r="E2401" s="46" t="n">
        <v>40</v>
      </c>
      <c r="F2401" s="46" t="inlineStr">
        <is>
          <t>내동</t>
        </is>
      </c>
      <c r="G2401" s="50" t="n"/>
      <c r="H2401" s="51" t="n"/>
      <c r="I2401" s="46" t="inlineStr">
        <is>
          <t>정신배</t>
        </is>
      </c>
      <c r="K2401" s="46" t="n">
        <v>2400</v>
      </c>
      <c r="L2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2">
      <c r="A2402" s="229" t="n">
        <v>46204</v>
      </c>
      <c r="B2402" s="46" t="inlineStr">
        <is>
          <t>사용전검사</t>
        </is>
      </c>
      <c r="C2402" s="46" t="inlineStr">
        <is>
          <t>부천지역</t>
        </is>
      </c>
      <c r="D2402" s="46" t="inlineStr">
        <is>
          <t>박제훈</t>
        </is>
      </c>
      <c r="E2402" s="46" t="n">
        <v>14</v>
      </c>
      <c r="F2402" s="46" t="inlineStr">
        <is>
          <t>심곡동</t>
        </is>
      </c>
      <c r="G2402" s="50" t="n"/>
      <c r="H2402" s="51" t="n"/>
      <c r="I2402" s="46" t="inlineStr">
        <is>
          <t>정신배</t>
        </is>
      </c>
      <c r="K2402" s="46" t="n">
        <v>2401</v>
      </c>
      <c r="L2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3">
      <c r="A2403" s="229" t="n">
        <v>46204</v>
      </c>
      <c r="B2403" s="46" t="inlineStr">
        <is>
          <t>사용전검사</t>
        </is>
      </c>
      <c r="C2403" s="46" t="inlineStr">
        <is>
          <t>부천지역</t>
        </is>
      </c>
      <c r="D2403" s="46" t="inlineStr">
        <is>
          <t>차박사해물칼국수</t>
        </is>
      </c>
      <c r="E2403" s="46" t="n">
        <v>18</v>
      </c>
      <c r="F2403" s="46" t="inlineStr">
        <is>
          <t>상동</t>
        </is>
      </c>
      <c r="G2403" s="50" t="n"/>
      <c r="H2403" s="51" t="n"/>
      <c r="I2403" s="46" t="inlineStr">
        <is>
          <t>정신배</t>
        </is>
      </c>
      <c r="K2403" s="46" t="n">
        <v>2402</v>
      </c>
      <c r="L2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4">
      <c r="A2404" s="229" t="n">
        <v>46204</v>
      </c>
      <c r="B2404" s="46" t="inlineStr">
        <is>
          <t>사용전검사</t>
        </is>
      </c>
      <c r="C2404" s="46" t="inlineStr">
        <is>
          <t>김포지역</t>
        </is>
      </c>
      <c r="D2404" s="46" t="inlineStr">
        <is>
          <t>연담태양광</t>
        </is>
      </c>
      <c r="E2404" s="46" t="n">
        <v>99.84</v>
      </c>
      <c r="F2404" s="46" t="inlineStr">
        <is>
          <t>전류리</t>
        </is>
      </c>
      <c r="G2404" s="50" t="n"/>
      <c r="H2404" s="51" t="n"/>
      <c r="I2404" s="46" t="inlineStr">
        <is>
          <t>당효진</t>
        </is>
      </c>
      <c r="K2404" s="46" t="n">
        <v>2403</v>
      </c>
      <c r="L2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5">
      <c r="A2405" s="229" t="n">
        <v>46204</v>
      </c>
      <c r="B2405" s="46" t="inlineStr">
        <is>
          <t>사용전검사</t>
        </is>
      </c>
      <c r="C2405" s="46" t="inlineStr">
        <is>
          <t>김포지역</t>
        </is>
      </c>
      <c r="D2405" s="46" t="inlineStr">
        <is>
          <t>부흥1 태양광</t>
        </is>
      </c>
      <c r="E2405" s="46" t="n">
        <v>147.06</v>
      </c>
      <c r="F2405" s="46" t="inlineStr">
        <is>
          <t>송마리</t>
        </is>
      </c>
      <c r="G2405" s="50" t="n"/>
      <c r="H2405" s="51" t="n"/>
      <c r="I2405" s="46" t="inlineStr">
        <is>
          <t>당효진</t>
        </is>
      </c>
      <c r="K2405" s="46" t="n">
        <v>2404</v>
      </c>
      <c r="L2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6">
      <c r="A2406" s="229" t="n">
        <v>46204</v>
      </c>
      <c r="B2406" s="46" t="inlineStr">
        <is>
          <t>사용전검사</t>
        </is>
      </c>
      <c r="C2406" s="46" t="inlineStr">
        <is>
          <t>김포지역</t>
        </is>
      </c>
      <c r="D2406" s="46" t="inlineStr">
        <is>
          <t>마이크로홀텍</t>
        </is>
      </c>
      <c r="E2406" s="46" t="inlineStr">
        <is>
          <t>149/저압</t>
        </is>
      </c>
      <c r="F2406" s="46" t="inlineStr">
        <is>
          <t>학운리</t>
        </is>
      </c>
      <c r="G2406" s="50" t="n"/>
      <c r="H2406" s="51" t="n"/>
      <c r="I2406" s="46" t="inlineStr">
        <is>
          <t>민재홍</t>
        </is>
      </c>
      <c r="K2406" s="46" t="n">
        <v>2405</v>
      </c>
      <c r="L2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7">
      <c r="A2407" s="229" t="n">
        <v>46204</v>
      </c>
      <c r="B2407" s="46" t="inlineStr">
        <is>
          <t>사용전검사</t>
        </is>
      </c>
      <c r="C2407" s="46" t="inlineStr">
        <is>
          <t>김포지역</t>
        </is>
      </c>
      <c r="D2407" s="46" t="inlineStr">
        <is>
          <t>김영민태양광</t>
        </is>
      </c>
      <c r="E2407" s="46" t="n">
        <v>2.04</v>
      </c>
      <c r="F2407" s="46" t="inlineStr">
        <is>
          <t>대벽리</t>
        </is>
      </c>
      <c r="G2407" s="50" t="n"/>
      <c r="H2407" s="51" t="n"/>
      <c r="I2407" s="46" t="inlineStr">
        <is>
          <t>이종석</t>
        </is>
      </c>
      <c r="K2407" s="46" t="n">
        <v>2406</v>
      </c>
      <c r="L2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8">
      <c r="A2408" s="229" t="n">
        <v>46204</v>
      </c>
      <c r="B2408" s="46" t="inlineStr">
        <is>
          <t>사용전검사</t>
        </is>
      </c>
      <c r="C2408" s="46" t="inlineStr">
        <is>
          <t>김포지역</t>
        </is>
      </c>
      <c r="D2408" s="46" t="inlineStr">
        <is>
          <t>안경은</t>
        </is>
      </c>
      <c r="E2408" s="46" t="n">
        <v>25</v>
      </c>
      <c r="F2408" s="46" t="inlineStr">
        <is>
          <t>고촌</t>
        </is>
      </c>
      <c r="G2408" s="50" t="n"/>
      <c r="H2408" s="51" t="n"/>
      <c r="I2408" s="46" t="inlineStr">
        <is>
          <t>변종국</t>
        </is>
      </c>
      <c r="K2408" s="46" t="n">
        <v>2407</v>
      </c>
      <c r="L2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9">
      <c r="A2409" s="229" t="n">
        <v>46204</v>
      </c>
      <c r="B2409" s="46" t="inlineStr">
        <is>
          <t>사용전검사</t>
        </is>
      </c>
      <c r="C2409" s="46" t="inlineStr">
        <is>
          <t>김포지역</t>
        </is>
      </c>
      <c r="D2409" s="46" t="inlineStr">
        <is>
          <t>축발선생</t>
        </is>
      </c>
      <c r="E2409" s="46" t="n">
        <v>22</v>
      </c>
      <c r="F2409" s="46" t="inlineStr">
        <is>
          <t>풍무동</t>
        </is>
      </c>
      <c r="G2409" s="50" t="n"/>
      <c r="H2409" s="51" t="n"/>
      <c r="I2409" s="46" t="inlineStr">
        <is>
          <t>한태희</t>
        </is>
      </c>
      <c r="K2409" s="46" t="n">
        <v>2408</v>
      </c>
      <c r="L2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0">
      <c r="A2410" s="229" t="n">
        <v>46204</v>
      </c>
      <c r="B2410" s="46" t="inlineStr">
        <is>
          <t>사용전검사</t>
        </is>
      </c>
      <c r="C2410" s="46" t="inlineStr">
        <is>
          <t>김포지역</t>
        </is>
      </c>
      <c r="D2410" s="46" t="inlineStr">
        <is>
          <t>순살곱창</t>
        </is>
      </c>
      <c r="E2410" s="46" t="n">
        <v>15</v>
      </c>
      <c r="F2410" s="46" t="inlineStr">
        <is>
          <t>풍무동</t>
        </is>
      </c>
      <c r="G2410" s="50" t="n"/>
      <c r="H2410" s="51" t="n"/>
      <c r="I2410" s="46" t="inlineStr">
        <is>
          <t>한태희</t>
        </is>
      </c>
      <c r="K2410" s="46" t="n">
        <v>2409</v>
      </c>
      <c r="L2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1">
      <c r="A2411" s="229" t="n">
        <v>46205</v>
      </c>
      <c r="B2411" s="46" t="inlineStr">
        <is>
          <t>정기검사</t>
        </is>
      </c>
      <c r="C2411" s="46" t="inlineStr">
        <is>
          <t>부천지역</t>
        </is>
      </c>
      <c r="D2411" s="46" t="inlineStr">
        <is>
          <t>에이이에모빌리티</t>
        </is>
      </c>
      <c r="E2411" s="46" t="n">
        <v>600</v>
      </c>
      <c r="F2411" s="46" t="inlineStr">
        <is>
          <t>내동</t>
        </is>
      </c>
      <c r="G2411" s="50" t="n">
        <v>0.4791666666666667</v>
      </c>
      <c r="H2411" s="51" t="n">
        <v>770880</v>
      </c>
      <c r="I2411" s="46" t="inlineStr">
        <is>
          <t>민재홍</t>
        </is>
      </c>
      <c r="K2411" s="46" t="n">
        <v>2410</v>
      </c>
      <c r="L2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2">
      <c r="A2412" s="229" t="n">
        <v>46205</v>
      </c>
      <c r="B2412" s="46" t="inlineStr">
        <is>
          <t>정기검사</t>
        </is>
      </c>
      <c r="C2412" s="46" t="inlineStr">
        <is>
          <t>부천지역</t>
        </is>
      </c>
      <c r="D2412" s="46" t="inlineStr">
        <is>
          <t>쌍용예가 전기차</t>
        </is>
      </c>
      <c r="E2412" s="46" t="inlineStr">
        <is>
          <t>19대</t>
        </is>
      </c>
      <c r="F2412" s="46" t="inlineStr">
        <is>
          <t>상동</t>
        </is>
      </c>
      <c r="G2412" s="50" t="n">
        <v>0.6041666666666666</v>
      </c>
      <c r="H2412" s="51" t="n">
        <v>208230</v>
      </c>
      <c r="I2412" s="46" t="inlineStr">
        <is>
          <t>당효진</t>
        </is>
      </c>
      <c r="K2412" s="46" t="n">
        <v>2411</v>
      </c>
      <c r="L2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3">
      <c r="A2413" s="229" t="n">
        <v>46205</v>
      </c>
      <c r="B2413" s="46" t="inlineStr">
        <is>
          <t>정기검사</t>
        </is>
      </c>
      <c r="C2413" s="46" t="inlineStr">
        <is>
          <t>부천지역</t>
        </is>
      </c>
      <c r="D2413" s="46" t="inlineStr">
        <is>
          <t>씨앤에이치산업</t>
        </is>
      </c>
      <c r="E2413" s="46" t="n">
        <v>400</v>
      </c>
      <c r="F2413" s="46" t="inlineStr">
        <is>
          <t>내동</t>
        </is>
      </c>
      <c r="G2413" s="50" t="n">
        <v>0.5416666666666666</v>
      </c>
      <c r="H2413" s="51" t="n">
        <v>703120</v>
      </c>
      <c r="I2413" s="46" t="inlineStr">
        <is>
          <t>송낙명</t>
        </is>
      </c>
      <c r="K2413" s="46" t="n">
        <v>2412</v>
      </c>
      <c r="L2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4">
      <c r="A2414" s="229" t="n">
        <v>46205</v>
      </c>
      <c r="B2414" s="46" t="inlineStr">
        <is>
          <t>정기검사</t>
        </is>
      </c>
      <c r="C2414" s="46" t="inlineStr">
        <is>
          <t>부천지역</t>
        </is>
      </c>
      <c r="D2414" s="46" t="inlineStr">
        <is>
          <t>에이치밸리움</t>
        </is>
      </c>
      <c r="E2414" s="46" t="inlineStr">
        <is>
          <t>750/409</t>
        </is>
      </c>
      <c r="F2414" s="46" t="inlineStr">
        <is>
          <t>심곡본동</t>
        </is>
      </c>
      <c r="G2414" s="50" t="n">
        <v>0.3958333333333333</v>
      </c>
      <c r="H2414" s="51" t="n">
        <v>1059300</v>
      </c>
      <c r="I2414" s="46" t="inlineStr">
        <is>
          <t>정신배</t>
        </is>
      </c>
      <c r="K2414" s="46" t="n">
        <v>2413</v>
      </c>
      <c r="L2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5">
      <c r="A2415" s="229" t="n">
        <v>46205</v>
      </c>
      <c r="B2415" s="46" t="inlineStr">
        <is>
          <t>정기검사</t>
        </is>
      </c>
      <c r="C2415" s="46" t="inlineStr">
        <is>
          <t>부천지역</t>
        </is>
      </c>
      <c r="D2415" s="46" t="inlineStr">
        <is>
          <t>서해아파트</t>
        </is>
      </c>
      <c r="E2415" s="46" t="inlineStr">
        <is>
          <t>전기차</t>
        </is>
      </c>
      <c r="F2415" s="46" t="inlineStr">
        <is>
          <t>상동</t>
        </is>
      </c>
      <c r="G2415" s="50" t="n">
        <v>0.3958333333333333</v>
      </c>
      <c r="H2415" s="51" t="n">
        <v>98120</v>
      </c>
      <c r="I2415" s="46" t="inlineStr">
        <is>
          <t>정성관</t>
        </is>
      </c>
      <c r="K2415" s="46" t="n">
        <v>2414</v>
      </c>
      <c r="L2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6">
      <c r="A2416" s="229" t="n">
        <v>46205</v>
      </c>
      <c r="B2416" s="46" t="inlineStr">
        <is>
          <t>정기검사</t>
        </is>
      </c>
      <c r="C2416" s="46" t="inlineStr">
        <is>
          <t>부천지역</t>
        </is>
      </c>
      <c r="D2416" s="46" t="inlineStr">
        <is>
          <t>해남종합</t>
        </is>
      </c>
      <c r="E2416" s="46" t="n">
        <v>700</v>
      </c>
      <c r="F2416" s="46" t="inlineStr">
        <is>
          <t>원미동</t>
        </is>
      </c>
      <c r="G2416" s="50" t="n">
        <v>0.3958333333333333</v>
      </c>
      <c r="H2416" s="51" t="n">
        <v>804760</v>
      </c>
      <c r="I2416" s="46" t="inlineStr">
        <is>
          <t>허록종</t>
        </is>
      </c>
      <c r="K2416" s="46" t="n">
        <v>2415</v>
      </c>
      <c r="L2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7">
      <c r="A2417" s="229" t="n">
        <v>46205</v>
      </c>
      <c r="B2417" s="46" t="inlineStr">
        <is>
          <t>정기검사</t>
        </is>
      </c>
      <c r="C2417" s="46" t="inlineStr">
        <is>
          <t>부천지역</t>
        </is>
      </c>
      <c r="D2417" s="46" t="inlineStr">
        <is>
          <t>디그니어스</t>
        </is>
      </c>
      <c r="E2417" s="46" t="n">
        <v>5.6</v>
      </c>
      <c r="F2417" s="46" t="inlineStr">
        <is>
          <t>심곡본동</t>
        </is>
      </c>
      <c r="G2417" s="50" t="n">
        <v>0.3958333333333333</v>
      </c>
      <c r="H2417" s="51" t="n">
        <v>90090</v>
      </c>
      <c r="I2417" s="46" t="inlineStr">
        <is>
          <t>정신배</t>
        </is>
      </c>
      <c r="K2417" s="46" t="n">
        <v>2416</v>
      </c>
      <c r="L2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8">
      <c r="A2418" s="229" t="n">
        <v>46205</v>
      </c>
      <c r="B2418" s="46" t="inlineStr">
        <is>
          <t>정기검사</t>
        </is>
      </c>
      <c r="C2418" s="46" t="inlineStr">
        <is>
          <t>김포지역</t>
        </is>
      </c>
      <c r="D2418" s="46" t="inlineStr">
        <is>
          <t>삼일금속기계</t>
        </is>
      </c>
      <c r="E2418" s="46" t="n">
        <v>300</v>
      </c>
      <c r="F2418" s="46" t="inlineStr">
        <is>
          <t>가현리</t>
        </is>
      </c>
      <c r="G2418" s="50" t="n">
        <v>0.4791666666666667</v>
      </c>
      <c r="H2418" s="51" t="n">
        <v>474300</v>
      </c>
      <c r="I2418" s="46" t="inlineStr">
        <is>
          <t>옹승완</t>
        </is>
      </c>
      <c r="K2418" s="46" t="n">
        <v>2417</v>
      </c>
      <c r="L2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9">
      <c r="A2419" s="229" t="n">
        <v>46205</v>
      </c>
      <c r="B2419" s="46" t="inlineStr">
        <is>
          <t>정기검사</t>
        </is>
      </c>
      <c r="C2419" s="46" t="inlineStr">
        <is>
          <t>김포지역</t>
        </is>
      </c>
      <c r="D2419" s="46" t="inlineStr">
        <is>
          <t>강봉수태양광</t>
        </is>
      </c>
      <c r="E2419" s="46" t="n">
        <v>44.16</v>
      </c>
      <c r="F2419" s="46" t="inlineStr">
        <is>
          <t>원산리</t>
        </is>
      </c>
      <c r="G2419" s="50" t="n">
        <v>0.4166666666666667</v>
      </c>
      <c r="H2419" s="51" t="n">
        <v>179200</v>
      </c>
      <c r="I2419" s="46" t="inlineStr">
        <is>
          <t>서수형</t>
        </is>
      </c>
      <c r="K2419" s="46" t="n">
        <v>2418</v>
      </c>
      <c r="L2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0">
      <c r="A2420" s="229" t="n">
        <v>46205</v>
      </c>
      <c r="B2420" s="46" t="inlineStr">
        <is>
          <t>정기검사</t>
        </is>
      </c>
      <c r="C2420" s="46" t="inlineStr">
        <is>
          <t>김포지역</t>
        </is>
      </c>
      <c r="D2420" s="46" t="inlineStr">
        <is>
          <t>다원레이져</t>
        </is>
      </c>
      <c r="E2420" s="46" t="n">
        <v>290</v>
      </c>
      <c r="F2420" s="46" t="inlineStr">
        <is>
          <t>학운리</t>
        </is>
      </c>
      <c r="G2420" s="50" t="n">
        <v>0.5</v>
      </c>
      <c r="H2420" s="51" t="n">
        <v>515130</v>
      </c>
      <c r="I2420" s="46" t="inlineStr">
        <is>
          <t>이종석</t>
        </is>
      </c>
      <c r="K2420" s="46" t="n">
        <v>2419</v>
      </c>
      <c r="L2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1">
      <c r="A2421" s="229" t="n">
        <v>46205</v>
      </c>
      <c r="B2421" s="46" t="inlineStr">
        <is>
          <t>정기검사</t>
        </is>
      </c>
      <c r="C2421" s="46" t="inlineStr">
        <is>
          <t>김포지역</t>
        </is>
      </c>
      <c r="D2421" s="46" t="inlineStr">
        <is>
          <t>해림농원</t>
        </is>
      </c>
      <c r="E2421" s="46" t="n">
        <v>350</v>
      </c>
      <c r="F2421" s="46" t="inlineStr">
        <is>
          <t>신곡리</t>
        </is>
      </c>
      <c r="G2421" s="50" t="n">
        <v>0.3958333333333333</v>
      </c>
      <c r="H2421" s="51" t="n">
        <v>686180</v>
      </c>
      <c r="I2421" s="46" t="inlineStr">
        <is>
          <t>서수형</t>
        </is>
      </c>
      <c r="K2421" s="46" t="n">
        <v>2420</v>
      </c>
      <c r="L2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2">
      <c r="A2422" s="229" t="n">
        <v>46205</v>
      </c>
      <c r="B2422" s="46" t="inlineStr">
        <is>
          <t>정기검사</t>
        </is>
      </c>
      <c r="C2422" s="46" t="inlineStr">
        <is>
          <t>김포지역</t>
        </is>
      </c>
      <c r="D2422" s="46" t="inlineStr">
        <is>
          <t>좋은상자 전기차</t>
        </is>
      </c>
      <c r="E2422" s="46" t="inlineStr">
        <is>
          <t>2대</t>
        </is>
      </c>
      <c r="F2422" s="46" t="inlineStr">
        <is>
          <t>학운리</t>
        </is>
      </c>
      <c r="G2422" s="50" t="n">
        <v>0.4166666666666667</v>
      </c>
      <c r="H2422" s="51" t="n">
        <v>64240</v>
      </c>
      <c r="I2422" s="46" t="inlineStr">
        <is>
          <t>옹승완</t>
        </is>
      </c>
      <c r="K2422" s="46" t="n">
        <v>2421</v>
      </c>
      <c r="L2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3">
      <c r="A2423" s="229" t="n">
        <v>46205</v>
      </c>
      <c r="B2423" s="46" t="inlineStr">
        <is>
          <t>정기검사</t>
        </is>
      </c>
      <c r="C2423" s="46" t="inlineStr">
        <is>
          <t>김포지역</t>
        </is>
      </c>
      <c r="D2423" s="46" t="inlineStr">
        <is>
          <t>세광글라스</t>
        </is>
      </c>
      <c r="E2423" s="46" t="n">
        <v>200</v>
      </c>
      <c r="F2423" s="46" t="inlineStr">
        <is>
          <t>가현리</t>
        </is>
      </c>
      <c r="G2423" s="50" t="n">
        <v>0.4166666666666667</v>
      </c>
      <c r="H2423" s="51" t="n">
        <v>456720</v>
      </c>
      <c r="I2423" s="46" t="inlineStr">
        <is>
          <t>이덕기</t>
        </is>
      </c>
      <c r="K2423" s="46" t="n">
        <v>2422</v>
      </c>
      <c r="L2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4">
      <c r="A2424" s="229" t="n">
        <v>46205</v>
      </c>
      <c r="B2424" s="46" t="inlineStr">
        <is>
          <t>사용전검사</t>
        </is>
      </c>
      <c r="C2424" s="46" t="inlineStr">
        <is>
          <t>부천지역</t>
        </is>
      </c>
      <c r="D2424" s="46" t="inlineStr">
        <is>
          <t>부강라바텍 태양광</t>
        </is>
      </c>
      <c r="E2424" s="46" t="n"/>
      <c r="F2424" s="46" t="n"/>
      <c r="G2424" s="50" t="n"/>
      <c r="H2424" s="51" t="n"/>
      <c r="I2424" s="46" t="inlineStr">
        <is>
          <t>당효진</t>
        </is>
      </c>
      <c r="K2424" s="46" t="n">
        <v>2423</v>
      </c>
      <c r="L2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5">
      <c r="A2425" s="229" t="n">
        <v>46205</v>
      </c>
      <c r="B2425" s="46" t="inlineStr">
        <is>
          <t>사용전검사</t>
        </is>
      </c>
      <c r="C2425" s="46" t="inlineStr">
        <is>
          <t>부천지역</t>
        </is>
      </c>
      <c r="D2425" s="46" t="inlineStr">
        <is>
          <t>은성빌라 부분</t>
        </is>
      </c>
      <c r="E2425" s="46" t="n"/>
      <c r="F2425" s="46" t="n"/>
      <c r="G2425" s="50" t="n"/>
      <c r="H2425" s="51" t="n"/>
      <c r="I2425" s="46" t="inlineStr">
        <is>
          <t>허록종</t>
        </is>
      </c>
      <c r="K2425" s="46" t="n">
        <v>2424</v>
      </c>
      <c r="L2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6">
      <c r="A2426" s="229" t="n">
        <v>46205</v>
      </c>
      <c r="B2426" s="46" t="inlineStr">
        <is>
          <t>메모</t>
        </is>
      </c>
      <c r="C2426" s="46" t="inlineStr">
        <is>
          <t>부천지역</t>
        </is>
      </c>
      <c r="D2426" s="46" t="inlineStr">
        <is>
          <t>김영권 휴가</t>
        </is>
      </c>
      <c r="E2426" s="46" t="n"/>
      <c r="F2426" s="46" t="n"/>
      <c r="G2426" s="50" t="n"/>
      <c r="H2426" s="51" t="n"/>
      <c r="I2426" s="46" t="n"/>
      <c r="K2426" s="46" t="n">
        <v>2425</v>
      </c>
      <c r="L2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7">
      <c r="A2427" s="229" t="n">
        <v>46205</v>
      </c>
      <c r="B2427" s="46" t="inlineStr">
        <is>
          <t>메모</t>
        </is>
      </c>
      <c r="C2427" s="46" t="inlineStr">
        <is>
          <t>부천지역</t>
        </is>
      </c>
      <c r="D2427" s="46" t="inlineStr">
        <is>
          <t>한태희휴가</t>
        </is>
      </c>
      <c r="E2427" s="46" t="n"/>
      <c r="F2427" s="46" t="n"/>
      <c r="G2427" s="50" t="n"/>
      <c r="H2427" s="51" t="n"/>
      <c r="I2427" s="46" t="n"/>
      <c r="K2427" s="46" t="n">
        <v>2426</v>
      </c>
      <c r="L2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8">
      <c r="A2428" s="229" t="n">
        <v>46205</v>
      </c>
      <c r="B2428" s="46" t="inlineStr">
        <is>
          <t>사용전검사</t>
        </is>
      </c>
      <c r="C2428" s="46" t="inlineStr">
        <is>
          <t>김포지역</t>
        </is>
      </c>
      <c r="D2428" s="46" t="inlineStr">
        <is>
          <t>북부노인복지관 태양광</t>
        </is>
      </c>
      <c r="E2428" s="46" t="n">
        <v>27</v>
      </c>
      <c r="F2428" s="46" t="inlineStr">
        <is>
          <t>마송리</t>
        </is>
      </c>
      <c r="G2428" s="50" t="n"/>
      <c r="H2428" s="51" t="n"/>
      <c r="I2428" s="46" t="inlineStr">
        <is>
          <t>허창수</t>
        </is>
      </c>
      <c r="K2428" s="46" t="n">
        <v>2427</v>
      </c>
      <c r="L2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9">
      <c r="A2429" s="229" t="n">
        <v>46205</v>
      </c>
      <c r="B2429" s="46" t="inlineStr">
        <is>
          <t>사용전검사</t>
        </is>
      </c>
      <c r="C2429" s="46" t="inlineStr">
        <is>
          <t>김포지역</t>
        </is>
      </c>
      <c r="D2429" s="46" t="inlineStr">
        <is>
          <t>대양탑텍</t>
        </is>
      </c>
      <c r="E2429" s="46" t="n">
        <v>89</v>
      </c>
      <c r="F2429" s="46" t="inlineStr">
        <is>
          <t>율생리</t>
        </is>
      </c>
      <c r="G2429" s="50" t="n"/>
      <c r="H2429" s="51" t="n"/>
      <c r="I2429" s="46" t="inlineStr">
        <is>
          <t>옹승완</t>
        </is>
      </c>
      <c r="K2429" s="46" t="n">
        <v>2428</v>
      </c>
      <c r="L2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0">
      <c r="A2430" s="229" t="n">
        <v>46205</v>
      </c>
      <c r="B2430" s="46" t="inlineStr">
        <is>
          <t>사용전검사</t>
        </is>
      </c>
      <c r="C2430" s="46" t="inlineStr">
        <is>
          <t>김포지역</t>
        </is>
      </c>
      <c r="D2430" s="46" t="inlineStr">
        <is>
          <t>인천교구</t>
        </is>
      </c>
      <c r="E2430" s="46" t="n">
        <v>299</v>
      </c>
      <c r="F2430" s="46" t="inlineStr">
        <is>
          <t>사우동</t>
        </is>
      </c>
      <c r="G2430" s="50" t="n"/>
      <c r="H2430" s="51" t="n"/>
      <c r="I2430" s="46" t="inlineStr">
        <is>
          <t>변종국</t>
        </is>
      </c>
      <c r="K2430" s="46" t="n">
        <v>2429</v>
      </c>
      <c r="L2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1">
      <c r="A2431" s="229" t="n">
        <v>46205</v>
      </c>
      <c r="B2431" s="46" t="inlineStr">
        <is>
          <t>사용전검사</t>
        </is>
      </c>
      <c r="C2431" s="46" t="inlineStr">
        <is>
          <t>김포지역</t>
        </is>
      </c>
      <c r="D2431" s="46" t="inlineStr">
        <is>
          <t>창조</t>
        </is>
      </c>
      <c r="E2431" s="46" t="n">
        <v>67</v>
      </c>
      <c r="F2431" s="46" t="inlineStr">
        <is>
          <t>학운리</t>
        </is>
      </c>
      <c r="G2431" s="50" t="n"/>
      <c r="H2431" s="51" t="n"/>
      <c r="I2431" s="46" t="inlineStr">
        <is>
          <t>이덕기</t>
        </is>
      </c>
      <c r="K2431" s="46" t="n">
        <v>2430</v>
      </c>
      <c r="L2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2">
      <c r="A2432" s="229" t="n">
        <v>46206</v>
      </c>
      <c r="B2432" s="46" t="inlineStr">
        <is>
          <t>정기검사</t>
        </is>
      </c>
      <c r="C2432" s="46" t="inlineStr">
        <is>
          <t>부천지역</t>
        </is>
      </c>
      <c r="D2432" s="46" t="inlineStr">
        <is>
          <t>신명금속</t>
        </is>
      </c>
      <c r="E2432" s="46" t="n">
        <v>450</v>
      </c>
      <c r="F2432" s="46" t="inlineStr">
        <is>
          <t>삼정동</t>
        </is>
      </c>
      <c r="G2432" s="50" t="n">
        <v>0.4791666666666667</v>
      </c>
      <c r="H2432" s="51" t="n">
        <v>720060</v>
      </c>
      <c r="I2432" s="46" t="inlineStr">
        <is>
          <t>서수형</t>
        </is>
      </c>
      <c r="K2432" s="46" t="n">
        <v>2431</v>
      </c>
      <c r="L2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3">
      <c r="A2433" s="229" t="n">
        <v>46206</v>
      </c>
      <c r="B2433" s="46" t="inlineStr">
        <is>
          <t>정기검사</t>
        </is>
      </c>
      <c r="C2433" s="46" t="inlineStr">
        <is>
          <t>부천지역</t>
        </is>
      </c>
      <c r="D2433" s="46" t="inlineStr">
        <is>
          <t>엔와이푸드</t>
        </is>
      </c>
      <c r="E2433" s="46" t="n">
        <v>900</v>
      </c>
      <c r="F2433" s="46" t="inlineStr">
        <is>
          <t>도당동</t>
        </is>
      </c>
      <c r="G2433" s="50" t="n">
        <v>0.4791666666666667</v>
      </c>
      <c r="H2433" s="51" t="n">
        <v>793200</v>
      </c>
      <c r="I2433" s="46" t="inlineStr">
        <is>
          <t>송낙명</t>
        </is>
      </c>
      <c r="K2433" s="46" t="n">
        <v>2432</v>
      </c>
      <c r="L2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4">
      <c r="A2434" s="229" t="n">
        <v>46206</v>
      </c>
      <c r="B2434" s="46" t="inlineStr">
        <is>
          <t>정기검사</t>
        </is>
      </c>
      <c r="C2434" s="46" t="inlineStr">
        <is>
          <t>부천지역</t>
        </is>
      </c>
      <c r="D2434" s="46" t="inlineStr">
        <is>
          <t>대일산업</t>
        </is>
      </c>
      <c r="E2434" s="46" t="n">
        <v>250</v>
      </c>
      <c r="F2434" s="46" t="inlineStr">
        <is>
          <t>삼정동</t>
        </is>
      </c>
      <c r="G2434" s="50" t="n">
        <v>0.3958333333333333</v>
      </c>
      <c r="H2434" s="51" t="n">
        <v>489170</v>
      </c>
      <c r="I2434" s="46" t="inlineStr">
        <is>
          <t>허창수</t>
        </is>
      </c>
      <c r="K2434" s="46" t="n">
        <v>2433</v>
      </c>
      <c r="L2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5">
      <c r="A2435" s="229" t="n">
        <v>46206</v>
      </c>
      <c r="B2435" s="46" t="inlineStr">
        <is>
          <t>정기검사</t>
        </is>
      </c>
      <c r="C2435" s="46" t="inlineStr">
        <is>
          <t>부천지역</t>
        </is>
      </c>
      <c r="D2435" s="46" t="inlineStr">
        <is>
          <t>엘림교회</t>
        </is>
      </c>
      <c r="E2435" s="46" t="inlineStr">
        <is>
          <t>300/88</t>
        </is>
      </c>
      <c r="F2435" s="46" t="inlineStr">
        <is>
          <t>원미동</t>
        </is>
      </c>
      <c r="G2435" s="50" t="n">
        <v>0.4166666666666667</v>
      </c>
      <c r="H2435" s="51" t="n">
        <v>860970</v>
      </c>
      <c r="I2435" s="46" t="inlineStr">
        <is>
          <t>한태희</t>
        </is>
      </c>
      <c r="K2435" s="46" t="n">
        <v>2434</v>
      </c>
      <c r="L2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6">
      <c r="A2436" s="229" t="n">
        <v>46206</v>
      </c>
      <c r="B2436" s="46" t="inlineStr">
        <is>
          <t>정기검사</t>
        </is>
      </c>
      <c r="C2436" s="46" t="inlineStr">
        <is>
          <t>김포지역</t>
        </is>
      </c>
      <c r="D2436" s="46" t="inlineStr">
        <is>
          <t>미화태양광</t>
        </is>
      </c>
      <c r="E2436" s="46" t="n">
        <v>63</v>
      </c>
      <c r="F2436" s="46" t="inlineStr">
        <is>
          <t>수참리</t>
        </is>
      </c>
      <c r="G2436" s="50" t="n"/>
      <c r="H2436" s="51" t="n">
        <v>217250</v>
      </c>
      <c r="I2436" s="46" t="inlineStr">
        <is>
          <t>이덕기</t>
        </is>
      </c>
      <c r="K2436" s="46" t="n">
        <v>2435</v>
      </c>
      <c r="L2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7">
      <c r="A2437" s="229" t="n">
        <v>46206</v>
      </c>
      <c r="B2437" s="46" t="inlineStr">
        <is>
          <t>정기검사</t>
        </is>
      </c>
      <c r="C2437" s="46" t="inlineStr">
        <is>
          <t>김포지역</t>
        </is>
      </c>
      <c r="D2437" s="46" t="inlineStr">
        <is>
          <t>해병대 82대대</t>
        </is>
      </c>
      <c r="E2437" s="46" t="n">
        <v>1530</v>
      </c>
      <c r="F2437" s="46" t="inlineStr">
        <is>
          <t>갈산리</t>
        </is>
      </c>
      <c r="G2437" s="50" t="n">
        <v>0.5833333333333334</v>
      </c>
      <c r="H2437" s="51" t="n">
        <v>1489290</v>
      </c>
      <c r="I2437" s="46" t="inlineStr">
        <is>
          <t>허록종</t>
        </is>
      </c>
      <c r="K2437" s="46" t="n">
        <v>2436</v>
      </c>
      <c r="L2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8">
      <c r="A2438" s="229" t="n">
        <v>46206</v>
      </c>
      <c r="B2438" s="46" t="inlineStr">
        <is>
          <t>정기검사</t>
        </is>
      </c>
      <c r="C2438" s="46" t="inlineStr">
        <is>
          <t>김포지역</t>
        </is>
      </c>
      <c r="D2438" s="46" t="inlineStr">
        <is>
          <t>디인아이티</t>
        </is>
      </c>
      <c r="E2438" s="46" t="n">
        <v>200</v>
      </c>
      <c r="F2438" s="46" t="inlineStr">
        <is>
          <t>석정리</t>
        </is>
      </c>
      <c r="G2438" s="50" t="n">
        <v>0.5</v>
      </c>
      <c r="H2438" s="51" t="n">
        <v>456720</v>
      </c>
      <c r="I2438" s="46" t="inlineStr">
        <is>
          <t>옹승완</t>
        </is>
      </c>
      <c r="K2438" s="46" t="n">
        <v>2437</v>
      </c>
      <c r="L2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9">
      <c r="A2439" s="229" t="n">
        <v>46206</v>
      </c>
      <c r="B2439" s="46" t="inlineStr">
        <is>
          <t>정기검사</t>
        </is>
      </c>
      <c r="C2439" s="46" t="inlineStr">
        <is>
          <t>김포지역</t>
        </is>
      </c>
      <c r="D2439" s="46" t="inlineStr">
        <is>
          <t>중석메디플</t>
        </is>
      </c>
      <c r="E2439" s="46" t="n">
        <v>950</v>
      </c>
      <c r="F2439" s="46" t="inlineStr">
        <is>
          <t>학운리</t>
        </is>
      </c>
      <c r="G2439" s="50" t="n">
        <v>0.3958333333333333</v>
      </c>
      <c r="H2439" s="51" t="n">
        <v>889460</v>
      </c>
      <c r="I2439" s="46" t="inlineStr">
        <is>
          <t>민재홍</t>
        </is>
      </c>
      <c r="K2439" s="46" t="n">
        <v>2438</v>
      </c>
      <c r="L2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0">
      <c r="A2440" s="229" t="n">
        <v>46206</v>
      </c>
      <c r="B2440" s="46" t="inlineStr">
        <is>
          <t>메모</t>
        </is>
      </c>
      <c r="C2440" s="46" t="inlineStr">
        <is>
          <t>부천지역</t>
        </is>
      </c>
      <c r="D2440" s="46" t="inlineStr">
        <is>
          <t>이종석 건강검진</t>
        </is>
      </c>
      <c r="E2440" s="46" t="n"/>
      <c r="F2440" s="46" t="n"/>
      <c r="G2440" s="50" t="n"/>
      <c r="H2440" s="51" t="n"/>
      <c r="I2440" s="46" t="n"/>
      <c r="K2440" s="46" t="n">
        <v>2439</v>
      </c>
      <c r="L2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1">
      <c r="A2441" s="229" t="n">
        <v>46206</v>
      </c>
      <c r="B2441" s="46" t="inlineStr">
        <is>
          <t>메모</t>
        </is>
      </c>
      <c r="C2441" s="46" t="inlineStr">
        <is>
          <t>부천지역</t>
        </is>
      </c>
      <c r="D2441" s="46" t="inlineStr">
        <is>
          <t>김영권휴가</t>
        </is>
      </c>
      <c r="E2441" s="46" t="n"/>
      <c r="F2441" s="46" t="n"/>
      <c r="G2441" s="50" t="n"/>
      <c r="H2441" s="51" t="n"/>
      <c r="I2441" s="46" t="n"/>
      <c r="K2441" s="46" t="n">
        <v>2440</v>
      </c>
      <c r="L2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2">
      <c r="A2442" s="229" t="n">
        <v>46206</v>
      </c>
      <c r="B2442" s="46" t="inlineStr">
        <is>
          <t>사용전검사</t>
        </is>
      </c>
      <c r="C2442" s="46" t="inlineStr">
        <is>
          <t>부천지역</t>
        </is>
      </c>
      <c r="D2442" s="46" t="inlineStr">
        <is>
          <t>파워테크</t>
        </is>
      </c>
      <c r="E2442" s="46" t="n">
        <v>310</v>
      </c>
      <c r="F2442" s="46" t="inlineStr">
        <is>
          <t>학운리</t>
        </is>
      </c>
      <c r="G2442" s="50" t="n"/>
      <c r="H2442" s="51" t="n"/>
      <c r="I2442" s="46" t="inlineStr">
        <is>
          <t>서수형</t>
        </is>
      </c>
      <c r="K2442" s="46" t="n">
        <v>2441</v>
      </c>
      <c r="L2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3">
      <c r="A2443" s="229" t="n">
        <v>46206</v>
      </c>
      <c r="B2443" s="46" t="inlineStr">
        <is>
          <t>사용전검사</t>
        </is>
      </c>
      <c r="C2443" s="46" t="inlineStr">
        <is>
          <t>김포지역</t>
        </is>
      </c>
      <c r="D2443" s="46" t="inlineStr">
        <is>
          <t>힙춘향마라</t>
        </is>
      </c>
      <c r="E2443" s="46" t="n">
        <v>15</v>
      </c>
      <c r="F2443" s="46" t="inlineStr">
        <is>
          <t>구래동</t>
        </is>
      </c>
      <c r="G2443" s="50" t="n"/>
      <c r="H2443" s="51" t="n"/>
      <c r="I2443" s="46" t="inlineStr">
        <is>
          <t>정성관</t>
        </is>
      </c>
      <c r="K2443" s="46" t="n">
        <v>2442</v>
      </c>
      <c r="L2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4">
      <c r="A2444" s="229" t="n">
        <v>46206</v>
      </c>
      <c r="B2444" s="46" t="inlineStr">
        <is>
          <t>사용전검사</t>
        </is>
      </c>
      <c r="C2444" s="46" t="inlineStr">
        <is>
          <t>김포지역</t>
        </is>
      </c>
      <c r="D2444" s="46" t="inlineStr">
        <is>
          <t>태영테크</t>
        </is>
      </c>
      <c r="E2444" s="46" t="n">
        <v>74</v>
      </c>
      <c r="F2444" s="46" t="inlineStr">
        <is>
          <t>고정리</t>
        </is>
      </c>
      <c r="G2444" s="50" t="n"/>
      <c r="H2444" s="51" t="n"/>
      <c r="I2444" s="46" t="inlineStr">
        <is>
          <t>옹승완</t>
        </is>
      </c>
      <c r="K2444" s="46" t="n">
        <v>2443</v>
      </c>
      <c r="L2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5">
      <c r="A2445" s="229" t="n">
        <v>46206</v>
      </c>
      <c r="B2445" s="46" t="inlineStr">
        <is>
          <t>사용전검사</t>
        </is>
      </c>
      <c r="C2445" s="46" t="inlineStr">
        <is>
          <t>김포지역</t>
        </is>
      </c>
      <c r="D2445" s="46" t="inlineStr">
        <is>
          <t>모앤영</t>
        </is>
      </c>
      <c r="E2445" s="46" t="n">
        <v>6</v>
      </c>
      <c r="F2445" s="46" t="inlineStr">
        <is>
          <t>장기동</t>
        </is>
      </c>
      <c r="G2445" s="50" t="n"/>
      <c r="H2445" s="51" t="n"/>
      <c r="I2445" s="46" t="inlineStr">
        <is>
          <t>옹승완</t>
        </is>
      </c>
      <c r="K2445" s="46" t="n">
        <v>2444</v>
      </c>
      <c r="L2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6">
      <c r="A2446" s="229" t="n">
        <v>46206</v>
      </c>
      <c r="B2446" s="46" t="inlineStr">
        <is>
          <t>사용전검사</t>
        </is>
      </c>
      <c r="C2446" s="46" t="inlineStr">
        <is>
          <t>김포지역</t>
        </is>
      </c>
      <c r="D2446" s="46" t="inlineStr">
        <is>
          <t>동호중기</t>
        </is>
      </c>
      <c r="E2446" s="46" t="n">
        <v>59</v>
      </c>
      <c r="F2446" s="46" t="inlineStr">
        <is>
          <t>원산리</t>
        </is>
      </c>
      <c r="G2446" s="50" t="n"/>
      <c r="H2446" s="51" t="n"/>
      <c r="I2446" s="46" t="inlineStr">
        <is>
          <t>당효진</t>
        </is>
      </c>
      <c r="K2446" s="46" t="n">
        <v>2445</v>
      </c>
      <c r="L2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7">
      <c r="A2447" s="229" t="n">
        <v>46206</v>
      </c>
      <c r="B2447" s="46" t="inlineStr">
        <is>
          <t>사용전검사</t>
        </is>
      </c>
      <c r="C2447" s="46" t="inlineStr">
        <is>
          <t>김포지역</t>
        </is>
      </c>
      <c r="D2447" s="46" t="inlineStr">
        <is>
          <t>티스틸</t>
        </is>
      </c>
      <c r="E2447" s="46" t="n">
        <v>700</v>
      </c>
      <c r="F2447" s="46" t="inlineStr">
        <is>
          <t>귀전리</t>
        </is>
      </c>
      <c r="G2447" s="50" t="n"/>
      <c r="H2447" s="51" t="n"/>
      <c r="I2447" s="46" t="inlineStr">
        <is>
          <t>이덕기</t>
        </is>
      </c>
      <c r="K2447" s="46" t="n">
        <v>2446</v>
      </c>
      <c r="L2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8">
      <c r="A2448" s="229" t="n">
        <v>46206</v>
      </c>
      <c r="B2448" s="46" t="inlineStr">
        <is>
          <t>사용전검사</t>
        </is>
      </c>
      <c r="C2448" s="46" t="inlineStr">
        <is>
          <t>김포지역</t>
        </is>
      </c>
      <c r="D2448" s="46" t="inlineStr">
        <is>
          <t>송마3태양광</t>
        </is>
      </c>
      <c r="E2448" s="46" t="n">
        <v>89</v>
      </c>
      <c r="F2448" s="46" t="inlineStr">
        <is>
          <t>송마리</t>
        </is>
      </c>
      <c r="G2448" s="50" t="n"/>
      <c r="H2448" s="51" t="n"/>
      <c r="I2448" s="46" t="inlineStr">
        <is>
          <t>정신배</t>
        </is>
      </c>
      <c r="K2448" s="46" t="n">
        <v>2447</v>
      </c>
      <c r="L2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9">
      <c r="A2449" s="229" t="n">
        <v>46206</v>
      </c>
      <c r="B2449" s="46" t="inlineStr">
        <is>
          <t>사용전검사</t>
        </is>
      </c>
      <c r="C2449" s="46" t="inlineStr">
        <is>
          <t>김포지역</t>
        </is>
      </c>
      <c r="D2449" s="46" t="inlineStr">
        <is>
          <t>송마4태양광</t>
        </is>
      </c>
      <c r="E2449" s="46" t="n">
        <v>90</v>
      </c>
      <c r="F2449" s="46" t="inlineStr">
        <is>
          <t>송마리</t>
        </is>
      </c>
      <c r="G2449" s="50" t="n"/>
      <c r="H2449" s="51" t="n"/>
      <c r="I2449" s="46" t="inlineStr">
        <is>
          <t>정신배</t>
        </is>
      </c>
      <c r="K2449" s="46" t="n">
        <v>2448</v>
      </c>
      <c r="L2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0">
      <c r="A2450" s="229" t="n">
        <v>46206</v>
      </c>
      <c r="B2450" s="46" t="inlineStr">
        <is>
          <t>사용전검사</t>
        </is>
      </c>
      <c r="C2450" s="46" t="inlineStr">
        <is>
          <t>김포지역</t>
        </is>
      </c>
      <c r="D2450" s="46" t="inlineStr">
        <is>
          <t>구백량곱창</t>
        </is>
      </c>
      <c r="E2450" s="46" t="n">
        <v>10</v>
      </c>
      <c r="F2450" s="46" t="inlineStr">
        <is>
          <t>풍무동</t>
        </is>
      </c>
      <c r="G2450" s="50" t="n"/>
      <c r="H2450" s="51" t="n"/>
      <c r="I2450" s="46" t="inlineStr">
        <is>
          <t>변종국</t>
        </is>
      </c>
      <c r="K2450" s="46" t="n">
        <v>2449</v>
      </c>
      <c r="L2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1">
      <c r="A2451" s="229" t="n">
        <v>46206</v>
      </c>
      <c r="B2451" s="46" t="inlineStr">
        <is>
          <t>사용전검사</t>
        </is>
      </c>
      <c r="C2451" s="46" t="inlineStr">
        <is>
          <t>김포지역</t>
        </is>
      </c>
      <c r="D2451" s="46" t="inlineStr">
        <is>
          <t>에스제이</t>
        </is>
      </c>
      <c r="E2451" s="46" t="n">
        <v>208</v>
      </c>
      <c r="F2451" s="46" t="inlineStr">
        <is>
          <t>학운리</t>
        </is>
      </c>
      <c r="G2451" s="50" t="n"/>
      <c r="H2451" s="51" t="n"/>
      <c r="I2451" s="46" t="inlineStr">
        <is>
          <t>변종국</t>
        </is>
      </c>
      <c r="K2451" s="46" t="n">
        <v>2450</v>
      </c>
      <c r="L2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2">
      <c r="A2452" s="229" t="n">
        <v>46207</v>
      </c>
      <c r="B2452" s="46" t="inlineStr">
        <is>
          <t>정기검사</t>
        </is>
      </c>
      <c r="C2452" s="46" t="inlineStr">
        <is>
          <t>부천지역</t>
        </is>
      </c>
      <c r="D2452" s="46" t="inlineStr">
        <is>
          <t>서영아너시티</t>
        </is>
      </c>
      <c r="E2452" s="46" t="inlineStr">
        <is>
          <t>2400/660</t>
        </is>
      </c>
      <c r="F2452" s="46" t="inlineStr">
        <is>
          <t>옥길동</t>
        </is>
      </c>
      <c r="G2452" s="50" t="n">
        <v>0.2708333333333333</v>
      </c>
      <c r="H2452" s="51" t="n">
        <v>1830730</v>
      </c>
      <c r="I2452" s="46" t="inlineStr">
        <is>
          <t>민재홍</t>
        </is>
      </c>
      <c r="K2452" s="46" t="n">
        <v>2451</v>
      </c>
      <c r="L2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3">
      <c r="A2453" s="229" t="n">
        <v>46207</v>
      </c>
      <c r="B2453" s="46" t="inlineStr">
        <is>
          <t>정기검사</t>
        </is>
      </c>
      <c r="C2453" s="46" t="inlineStr">
        <is>
          <t>부천지역</t>
        </is>
      </c>
      <c r="D2453" s="46" t="inlineStr">
        <is>
          <t>원미1동행정</t>
        </is>
      </c>
      <c r="E2453" s="46" t="inlineStr">
        <is>
          <t>400/105</t>
        </is>
      </c>
      <c r="F2453" s="46" t="inlineStr">
        <is>
          <t>원미동</t>
        </is>
      </c>
      <c r="G2453" s="50" t="n">
        <v>0.375</v>
      </c>
      <c r="H2453" s="51" t="n">
        <v>1132010</v>
      </c>
      <c r="I2453" s="46" t="inlineStr">
        <is>
          <t>김영권</t>
        </is>
      </c>
      <c r="K2453" s="46" t="n">
        <v>2452</v>
      </c>
      <c r="L2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4">
      <c r="A2454" s="229" t="n">
        <v>46207</v>
      </c>
      <c r="B2454" s="46" t="inlineStr">
        <is>
          <t>정기검사</t>
        </is>
      </c>
      <c r="C2454" s="46" t="inlineStr">
        <is>
          <t>부천지역</t>
        </is>
      </c>
      <c r="D2454" s="46" t="inlineStr">
        <is>
          <t>소백종합전설</t>
        </is>
      </c>
      <c r="E2454" s="46" t="inlineStr">
        <is>
          <t>700/225</t>
        </is>
      </c>
      <c r="F2454" s="46" t="inlineStr">
        <is>
          <t>도당동</t>
        </is>
      </c>
      <c r="G2454" s="50" t="n">
        <v>0.625</v>
      </c>
      <c r="H2454" s="51" t="n">
        <v>1310300</v>
      </c>
      <c r="I2454" s="46" t="inlineStr">
        <is>
          <t>송낙명</t>
        </is>
      </c>
      <c r="K2454" s="46" t="n">
        <v>2453</v>
      </c>
      <c r="L2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5">
      <c r="A2455" s="229" t="n">
        <v>46207</v>
      </c>
      <c r="B2455" s="46" t="inlineStr">
        <is>
          <t>정기검사</t>
        </is>
      </c>
      <c r="C2455" s="46" t="inlineStr">
        <is>
          <t>부천지역</t>
        </is>
      </c>
      <c r="D2455" s="46" t="inlineStr">
        <is>
          <t>약대중앙교회</t>
        </is>
      </c>
      <c r="E2455" s="46" t="inlineStr">
        <is>
          <t>150/69</t>
        </is>
      </c>
      <c r="F2455" s="46" t="inlineStr">
        <is>
          <t>도당동</t>
        </is>
      </c>
      <c r="G2455" s="50" t="n">
        <v>0.4166666666666667</v>
      </c>
      <c r="H2455" s="51" t="n">
        <v>755590</v>
      </c>
      <c r="I2455" s="46" t="inlineStr">
        <is>
          <t>한태희</t>
        </is>
      </c>
      <c r="K2455" s="46" t="n">
        <v>2454</v>
      </c>
      <c r="L2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6">
      <c r="A2456" s="229" t="n">
        <v>46207</v>
      </c>
      <c r="B2456" s="46" t="inlineStr">
        <is>
          <t>정기검사</t>
        </is>
      </c>
      <c r="C2456" s="46" t="inlineStr">
        <is>
          <t>김포지역</t>
        </is>
      </c>
      <c r="D2456" s="46" t="inlineStr">
        <is>
          <t>조호레이져</t>
        </is>
      </c>
      <c r="E2456" s="46" t="n">
        <v>500</v>
      </c>
      <c r="F2456" s="46" t="inlineStr">
        <is>
          <t>학운리</t>
        </is>
      </c>
      <c r="G2456" s="50" t="n">
        <v>0.375</v>
      </c>
      <c r="H2456" s="51" t="n">
        <v>958100</v>
      </c>
      <c r="I2456" s="46" t="inlineStr">
        <is>
          <t>이덕기</t>
        </is>
      </c>
      <c r="K2456" s="46" t="n">
        <v>2455</v>
      </c>
      <c r="L2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7">
      <c r="A2457" s="229" t="n">
        <v>46207</v>
      </c>
      <c r="B2457" s="46" t="inlineStr">
        <is>
          <t>정기검사</t>
        </is>
      </c>
      <c r="C2457" s="46" t="inlineStr">
        <is>
          <t>김포지역</t>
        </is>
      </c>
      <c r="D2457" s="46" t="inlineStr">
        <is>
          <t>삼원인쇄</t>
        </is>
      </c>
      <c r="E2457" s="46" t="n">
        <v>995</v>
      </c>
      <c r="F2457" s="46" t="inlineStr">
        <is>
          <t>도사리</t>
        </is>
      </c>
      <c r="G2457" s="50" t="n">
        <v>0.4166666666666667</v>
      </c>
      <c r="H2457" s="51" t="n">
        <v>1176010</v>
      </c>
      <c r="I2457" s="46" t="inlineStr">
        <is>
          <t>이덕기</t>
        </is>
      </c>
      <c r="K2457" s="46" t="n">
        <v>2456</v>
      </c>
      <c r="L2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8">
      <c r="A2458" s="229" t="n">
        <v>46207</v>
      </c>
      <c r="B2458" s="46" t="inlineStr">
        <is>
          <t>정기검사</t>
        </is>
      </c>
      <c r="C2458" s="46" t="inlineStr">
        <is>
          <t>김포지역</t>
        </is>
      </c>
      <c r="D2458" s="46" t="inlineStr">
        <is>
          <t>명승프라자</t>
        </is>
      </c>
      <c r="E2458" s="46" t="inlineStr">
        <is>
          <t>500/69</t>
        </is>
      </c>
      <c r="F2458" s="46" t="inlineStr">
        <is>
          <t>북변동</t>
        </is>
      </c>
      <c r="G2458" s="50" t="n">
        <v>0.25</v>
      </c>
      <c r="H2458" s="51" t="n">
        <v>1162150</v>
      </c>
      <c r="I2458" s="46" t="inlineStr">
        <is>
          <t>이덕기</t>
        </is>
      </c>
      <c r="K2458" s="46" t="n">
        <v>2457</v>
      </c>
      <c r="L2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9">
      <c r="A2459" s="229" t="n">
        <v>46207</v>
      </c>
      <c r="B2459" s="46" t="inlineStr">
        <is>
          <t>메모</t>
        </is>
      </c>
      <c r="C2459" s="46" t="inlineStr">
        <is>
          <t>부천지역</t>
        </is>
      </c>
      <c r="D2459" s="46" t="inlineStr">
        <is>
          <t>옹승환휴가</t>
        </is>
      </c>
      <c r="E2459" s="46" t="n"/>
      <c r="F2459" s="46" t="n"/>
      <c r="G2459" s="50" t="n"/>
      <c r="H2459" s="51" t="n"/>
      <c r="I2459" s="46" t="n"/>
      <c r="K2459" s="46" t="n">
        <v>2458</v>
      </c>
      <c r="L2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0">
      <c r="A2460" s="229" t="n">
        <v>46207</v>
      </c>
      <c r="B2460" s="46" t="inlineStr">
        <is>
          <t>메모</t>
        </is>
      </c>
      <c r="C2460" s="46" t="inlineStr">
        <is>
          <t>부천지역</t>
        </is>
      </c>
      <c r="D2460" s="46" t="inlineStr">
        <is>
          <t>허창수휴가</t>
        </is>
      </c>
      <c r="E2460" s="46" t="n"/>
      <c r="F2460" s="46" t="n"/>
      <c r="G2460" s="50" t="n"/>
      <c r="H2460" s="51" t="n"/>
      <c r="I2460" s="46" t="n"/>
      <c r="K2460" s="46" t="n">
        <v>2459</v>
      </c>
      <c r="L2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1">
      <c r="A2461" s="229" t="n">
        <v>46207</v>
      </c>
      <c r="B2461" s="46" t="inlineStr">
        <is>
          <t>메모</t>
        </is>
      </c>
      <c r="C2461" s="46" t="inlineStr">
        <is>
          <t>부천지역</t>
        </is>
      </c>
      <c r="D2461" s="46" t="inlineStr">
        <is>
          <t>당효진휴가</t>
        </is>
      </c>
      <c r="E2461" s="46" t="n"/>
      <c r="F2461" s="46" t="n"/>
      <c r="G2461" s="50" t="n"/>
      <c r="H2461" s="51" t="n"/>
      <c r="I2461" s="46" t="n"/>
      <c r="K2461" s="46" t="n">
        <v>2460</v>
      </c>
      <c r="L2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2">
      <c r="A2462" s="229" t="n">
        <v>46208</v>
      </c>
      <c r="B2462" s="46" t="inlineStr">
        <is>
          <t>메모</t>
        </is>
      </c>
      <c r="C2462" s="46" t="inlineStr">
        <is>
          <t>부천지역</t>
        </is>
      </c>
      <c r="D2462" s="46" t="inlineStr">
        <is>
          <t>당효진휴가</t>
        </is>
      </c>
      <c r="E2462" s="46" t="n"/>
      <c r="F2462" s="46" t="n"/>
      <c r="G2462" s="50" t="n"/>
      <c r="H2462" s="51" t="n"/>
      <c r="I2462" s="46" t="n"/>
      <c r="K2462" s="46" t="n">
        <v>2461</v>
      </c>
      <c r="L2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3">
      <c r="A2463" s="229" t="n">
        <v>46208</v>
      </c>
      <c r="B2463" s="46" t="inlineStr">
        <is>
          <t>메모</t>
        </is>
      </c>
      <c r="C2463" s="46" t="inlineStr">
        <is>
          <t>부천지역</t>
        </is>
      </c>
      <c r="D2463" s="46" t="inlineStr">
        <is>
          <t>허창수휴가</t>
        </is>
      </c>
      <c r="E2463" s="46" t="n"/>
      <c r="F2463" s="46" t="n"/>
      <c r="G2463" s="50" t="n"/>
      <c r="H2463" s="51" t="n"/>
      <c r="I2463" s="46" t="n"/>
      <c r="K2463" s="46" t="n">
        <v>2462</v>
      </c>
      <c r="L2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4">
      <c r="A2464" s="229" t="n">
        <v>46208</v>
      </c>
      <c r="B2464" s="46" t="inlineStr">
        <is>
          <t>메모</t>
        </is>
      </c>
      <c r="C2464" s="46" t="inlineStr">
        <is>
          <t>부천지역</t>
        </is>
      </c>
      <c r="D2464" s="46" t="inlineStr">
        <is>
          <t>허록종휴가</t>
        </is>
      </c>
      <c r="E2464" s="46" t="n"/>
      <c r="F2464" s="46" t="n"/>
      <c r="G2464" s="50" t="n"/>
      <c r="H2464" s="51" t="n"/>
      <c r="I2464" s="46" t="n"/>
      <c r="K2464" s="46" t="n">
        <v>2463</v>
      </c>
      <c r="L2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5">
      <c r="A2465" s="229" t="n">
        <v>46209</v>
      </c>
      <c r="B2465" s="46" t="inlineStr">
        <is>
          <t>정기검사</t>
        </is>
      </c>
      <c r="C2465" s="46" t="inlineStr">
        <is>
          <t>부천지역</t>
        </is>
      </c>
      <c r="D2465" s="46" t="inlineStr">
        <is>
          <t>심곡2동사무소 전기차</t>
        </is>
      </c>
      <c r="E2465" s="46" t="inlineStr">
        <is>
          <t>1대</t>
        </is>
      </c>
      <c r="F2465" s="46" t="inlineStr">
        <is>
          <t>심곡동</t>
        </is>
      </c>
      <c r="G2465" s="50" t="n">
        <v>0.5416666666666666</v>
      </c>
      <c r="H2465" s="51" t="n">
        <v>237600</v>
      </c>
      <c r="I2465" s="46" t="inlineStr">
        <is>
          <t>이종석</t>
        </is>
      </c>
      <c r="K2465" s="46" t="n">
        <v>2464</v>
      </c>
      <c r="L2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6">
      <c r="A2466" s="229" t="n">
        <v>46209</v>
      </c>
      <c r="B2466" s="46" t="inlineStr">
        <is>
          <t>정기검사</t>
        </is>
      </c>
      <c r="C2466" s="46" t="inlineStr">
        <is>
          <t>부천지역</t>
        </is>
      </c>
      <c r="D2466" s="46" t="inlineStr">
        <is>
          <t>옥길센트리뷰 전기차</t>
        </is>
      </c>
      <c r="E2466" s="46" t="inlineStr">
        <is>
          <t>50kw 1대</t>
        </is>
      </c>
      <c r="F2466" s="46" t="inlineStr">
        <is>
          <t>옥길동</t>
        </is>
      </c>
      <c r="G2466" s="50" t="n">
        <v>0.4166666666666667</v>
      </c>
      <c r="H2466" s="51" t="n">
        <v>237600</v>
      </c>
      <c r="I2466" s="46" t="inlineStr">
        <is>
          <t>변종국</t>
        </is>
      </c>
      <c r="K2466" s="46" t="n">
        <v>2465</v>
      </c>
      <c r="L2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7">
      <c r="A2467" s="229" t="n">
        <v>46209</v>
      </c>
      <c r="B2467" s="46" t="inlineStr">
        <is>
          <t>정기검사</t>
        </is>
      </c>
      <c r="C2467" s="46" t="inlineStr">
        <is>
          <t>김포지역</t>
        </is>
      </c>
      <c r="D2467" s="46" t="inlineStr">
        <is>
          <t>태광정공</t>
        </is>
      </c>
      <c r="E2467" s="46" t="n">
        <v>200</v>
      </c>
      <c r="F2467" s="46" t="inlineStr">
        <is>
          <t>원산리</t>
        </is>
      </c>
      <c r="G2467" s="50" t="n">
        <v>0.5</v>
      </c>
      <c r="H2467" s="51" t="n">
        <v>456720</v>
      </c>
      <c r="I2467" s="46" t="inlineStr">
        <is>
          <t>한태희</t>
        </is>
      </c>
      <c r="K2467" s="46" t="n">
        <v>2466</v>
      </c>
      <c r="L2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8">
      <c r="A2468" s="229" t="n">
        <v>46209</v>
      </c>
      <c r="B2468" s="46" t="inlineStr">
        <is>
          <t>정기검사</t>
        </is>
      </c>
      <c r="C2468" s="46" t="inlineStr">
        <is>
          <t>김포지역</t>
        </is>
      </c>
      <c r="D2468" s="46" t="inlineStr">
        <is>
          <t>뱀부</t>
        </is>
      </c>
      <c r="E2468" s="46" t="n">
        <v>290</v>
      </c>
      <c r="F2468" s="46" t="inlineStr">
        <is>
          <t>전류리</t>
        </is>
      </c>
      <c r="G2468" s="50" t="n">
        <v>0.3958333333333333</v>
      </c>
      <c r="H2468" s="51" t="n">
        <v>515130</v>
      </c>
      <c r="I2468" s="46" t="inlineStr">
        <is>
          <t>정성관</t>
        </is>
      </c>
      <c r="K2468" s="46" t="n">
        <v>2467</v>
      </c>
      <c r="L2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9">
      <c r="A2469" s="229" t="n">
        <v>46209</v>
      </c>
      <c r="B2469" s="46" t="inlineStr">
        <is>
          <t>정기검사</t>
        </is>
      </c>
      <c r="C2469" s="46" t="inlineStr">
        <is>
          <t>김포지역</t>
        </is>
      </c>
      <c r="D2469" s="46" t="inlineStr">
        <is>
          <t>해병대 11대대</t>
        </is>
      </c>
      <c r="E2469" s="46" t="n">
        <v>1850</v>
      </c>
      <c r="F2469" s="46" t="inlineStr">
        <is>
          <t>서암리</t>
        </is>
      </c>
      <c r="G2469" s="50" t="n">
        <v>0.4166666666666667</v>
      </c>
      <c r="H2469" s="51" t="n">
        <v>1492590</v>
      </c>
      <c r="I2469" s="46" t="inlineStr">
        <is>
          <t>이덕기</t>
        </is>
      </c>
      <c r="K2469" s="46" t="n">
        <v>2468</v>
      </c>
      <c r="L2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0">
      <c r="A2470" s="229" t="n">
        <v>46209</v>
      </c>
      <c r="B2470" s="46" t="inlineStr">
        <is>
          <t>정기검사</t>
        </is>
      </c>
      <c r="C2470" s="46" t="inlineStr">
        <is>
          <t>김포지역</t>
        </is>
      </c>
      <c r="D2470" s="46" t="inlineStr">
        <is>
          <t>가전</t>
        </is>
      </c>
      <c r="E2470" s="46" t="n">
        <v>290</v>
      </c>
      <c r="F2470" s="46" t="inlineStr">
        <is>
          <t>송마리</t>
        </is>
      </c>
      <c r="G2470" s="50" t="n">
        <v>0.4791666666666667</v>
      </c>
      <c r="H2470" s="51" t="n">
        <v>515130</v>
      </c>
      <c r="I2470" s="46" t="inlineStr">
        <is>
          <t>김영권</t>
        </is>
      </c>
      <c r="K2470" s="46" t="n">
        <v>2469</v>
      </c>
      <c r="L2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1">
      <c r="A2471" s="229" t="n">
        <v>46209</v>
      </c>
      <c r="B2471" s="46" t="inlineStr">
        <is>
          <t>정기검사</t>
        </is>
      </c>
      <c r="C2471" s="46" t="inlineStr">
        <is>
          <t>김포지역</t>
        </is>
      </c>
      <c r="D2471" s="46" t="inlineStr">
        <is>
          <t>엘투</t>
        </is>
      </c>
      <c r="E2471" s="46" t="n">
        <v>400</v>
      </c>
      <c r="F2471" s="46" t="inlineStr">
        <is>
          <t>원산리</t>
        </is>
      </c>
      <c r="G2471" s="50" t="n">
        <v>0.4791666666666667</v>
      </c>
      <c r="H2471" s="51" t="n">
        <v>703120</v>
      </c>
      <c r="I2471" s="46" t="inlineStr">
        <is>
          <t>허록종</t>
        </is>
      </c>
      <c r="K2471" s="46" t="n">
        <v>2470</v>
      </c>
      <c r="L2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2">
      <c r="A2472" s="229" t="n">
        <v>46209</v>
      </c>
      <c r="B2472" s="46" t="inlineStr">
        <is>
          <t>정기검사</t>
        </is>
      </c>
      <c r="C2472" s="46" t="inlineStr">
        <is>
          <t>김포지역</t>
        </is>
      </c>
      <c r="D2472" s="46" t="inlineStr">
        <is>
          <t>태양산업사</t>
        </is>
      </c>
      <c r="E2472" s="46" t="n">
        <v>290</v>
      </c>
      <c r="F2472" s="46" t="inlineStr">
        <is>
          <t>송마리</t>
        </is>
      </c>
      <c r="G2472" s="50" t="n">
        <v>0.3958333333333333</v>
      </c>
      <c r="H2472" s="51" t="n">
        <v>681780</v>
      </c>
      <c r="I2472" s="46" t="inlineStr">
        <is>
          <t>민재홍</t>
        </is>
      </c>
      <c r="K2472" s="46" t="n">
        <v>2471</v>
      </c>
      <c r="L2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3">
      <c r="A2473" s="229" t="n">
        <v>46209</v>
      </c>
      <c r="B2473" s="46" t="inlineStr">
        <is>
          <t>사용전검사</t>
        </is>
      </c>
      <c r="C2473" s="46" t="inlineStr">
        <is>
          <t>부천지역</t>
        </is>
      </c>
      <c r="D2473" s="46" t="inlineStr">
        <is>
          <t>시스킨코리아</t>
        </is>
      </c>
      <c r="E2473" s="46" t="n">
        <v>47</v>
      </c>
      <c r="F2473" s="46" t="inlineStr">
        <is>
          <t>역곡동</t>
        </is>
      </c>
      <c r="G2473" s="50" t="n"/>
      <c r="H2473" s="51" t="n"/>
      <c r="I2473" s="46" t="inlineStr">
        <is>
          <t>변종국</t>
        </is>
      </c>
      <c r="K2473" s="46" t="n">
        <v>2472</v>
      </c>
      <c r="L2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4">
      <c r="A2474" s="229" t="n">
        <v>46209</v>
      </c>
      <c r="B2474" s="46" t="inlineStr">
        <is>
          <t>메모</t>
        </is>
      </c>
      <c r="C2474" s="46" t="inlineStr">
        <is>
          <t>부천지역</t>
        </is>
      </c>
      <c r="D2474" s="46" t="inlineStr">
        <is>
          <t>정신배휴가</t>
        </is>
      </c>
      <c r="E2474" s="46" t="inlineStr">
        <is>
          <t>정성관-허록종</t>
        </is>
      </c>
      <c r="F2474" s="46" t="n"/>
      <c r="G2474" s="50" t="n"/>
      <c r="H2474" s="51" t="n"/>
      <c r="I2474" s="46" t="n"/>
      <c r="K2474" s="46" t="n">
        <v>2473</v>
      </c>
      <c r="L2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5">
      <c r="A2475" s="229" t="n">
        <v>46209</v>
      </c>
      <c r="B2475" s="46" t="inlineStr">
        <is>
          <t>메모</t>
        </is>
      </c>
      <c r="C2475" s="46" t="inlineStr">
        <is>
          <t>부천지역</t>
        </is>
      </c>
      <c r="D2475" s="46" t="inlineStr">
        <is>
          <t>당효진휴가</t>
        </is>
      </c>
      <c r="E2475" s="46" t="n"/>
      <c r="F2475" s="46" t="n"/>
      <c r="G2475" s="50" t="n"/>
      <c r="H2475" s="51" t="n"/>
      <c r="I2475" s="46" t="n"/>
      <c r="K2475" s="46" t="n">
        <v>2474</v>
      </c>
      <c r="L2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6">
      <c r="A2476" s="229" t="n">
        <v>46209</v>
      </c>
      <c r="B2476" s="46" t="inlineStr">
        <is>
          <t>사용전검사</t>
        </is>
      </c>
      <c r="C2476" s="46" t="inlineStr">
        <is>
          <t>김포지역</t>
        </is>
      </c>
      <c r="D2476" s="46" t="inlineStr">
        <is>
          <t>보성3호</t>
        </is>
      </c>
      <c r="E2476" s="46" t="n">
        <v>56</v>
      </c>
      <c r="F2476" s="46" t="inlineStr">
        <is>
          <t>포내리</t>
        </is>
      </c>
      <c r="G2476" s="50" t="n"/>
      <c r="H2476" s="51" t="n"/>
      <c r="I2476" s="46" t="inlineStr">
        <is>
          <t>허창수</t>
        </is>
      </c>
      <c r="K2476" s="46" t="n">
        <v>2475</v>
      </c>
      <c r="L2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7">
      <c r="A2477" s="229" t="n">
        <v>46209</v>
      </c>
      <c r="B2477" s="46" t="inlineStr">
        <is>
          <t>사용전검사</t>
        </is>
      </c>
      <c r="C2477" s="46" t="inlineStr">
        <is>
          <t>김포지역</t>
        </is>
      </c>
      <c r="D2477" s="46" t="inlineStr">
        <is>
          <t>보성4호</t>
        </is>
      </c>
      <c r="E2477" s="46" t="n">
        <v>57</v>
      </c>
      <c r="F2477" s="46" t="inlineStr">
        <is>
          <t>포내리</t>
        </is>
      </c>
      <c r="G2477" s="50" t="n"/>
      <c r="H2477" s="51" t="n"/>
      <c r="I2477" s="46" t="inlineStr">
        <is>
          <t>허창수</t>
        </is>
      </c>
      <c r="K2477" s="46" t="n">
        <v>2476</v>
      </c>
      <c r="L2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8">
      <c r="A2478" s="229" t="n">
        <v>46209</v>
      </c>
      <c r="B2478" s="46" t="inlineStr">
        <is>
          <t>사용전검사</t>
        </is>
      </c>
      <c r="C2478" s="46" t="inlineStr">
        <is>
          <t>김포지역</t>
        </is>
      </c>
      <c r="D2478" s="46" t="inlineStr">
        <is>
          <t>보성5호</t>
        </is>
      </c>
      <c r="E2478" s="46" t="n">
        <v>58</v>
      </c>
      <c r="F2478" s="46" t="inlineStr">
        <is>
          <t>포내리</t>
        </is>
      </c>
      <c r="G2478" s="50" t="n"/>
      <c r="H2478" s="51" t="n"/>
      <c r="I2478" s="46" t="inlineStr">
        <is>
          <t>허창수</t>
        </is>
      </c>
      <c r="K2478" s="46" t="n">
        <v>2477</v>
      </c>
      <c r="L2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9">
      <c r="A2479" s="229" t="n">
        <v>46209</v>
      </c>
      <c r="B2479" s="46" t="inlineStr">
        <is>
          <t>사용전검사</t>
        </is>
      </c>
      <c r="C2479" s="46" t="inlineStr">
        <is>
          <t>김포지역</t>
        </is>
      </c>
      <c r="D2479" s="46" t="inlineStr">
        <is>
          <t>마송초</t>
        </is>
      </c>
      <c r="E2479" s="46" t="n">
        <v>2.5</v>
      </c>
      <c r="F2479" s="46" t="inlineStr">
        <is>
          <t>마송리</t>
        </is>
      </c>
      <c r="G2479" s="50" t="n"/>
      <c r="H2479" s="51" t="n"/>
      <c r="I2479" s="46" t="inlineStr">
        <is>
          <t>민재홍</t>
        </is>
      </c>
      <c r="K2479" s="46" t="n">
        <v>2478</v>
      </c>
      <c r="L2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0">
      <c r="A2480" s="229" t="n">
        <v>46210</v>
      </c>
      <c r="B2480" s="46" t="inlineStr">
        <is>
          <t>정기검사</t>
        </is>
      </c>
      <c r="C2480" s="46" t="inlineStr">
        <is>
          <t>부천지역</t>
        </is>
      </c>
      <c r="D2480" s="46" t="inlineStr">
        <is>
          <t>상동스카이뷰</t>
        </is>
      </c>
      <c r="E2480" s="46" t="n">
        <v>29.68</v>
      </c>
      <c r="F2480" s="46" t="inlineStr">
        <is>
          <t>상동</t>
        </is>
      </c>
      <c r="G2480" s="50" t="n">
        <v>0.4166666666666667</v>
      </c>
      <c r="H2480" s="51" t="n">
        <v>181940</v>
      </c>
      <c r="I2480" s="46" t="inlineStr">
        <is>
          <t>옹승완</t>
        </is>
      </c>
      <c r="K2480" s="46" t="n">
        <v>2479</v>
      </c>
      <c r="L2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1">
      <c r="A2481" s="229" t="n">
        <v>46210</v>
      </c>
      <c r="B2481" s="46" t="inlineStr">
        <is>
          <t>정기검사</t>
        </is>
      </c>
      <c r="C2481" s="46" t="inlineStr">
        <is>
          <t>부천지역</t>
        </is>
      </c>
      <c r="D2481" s="46" t="inlineStr">
        <is>
          <t>트리플스테이트</t>
        </is>
      </c>
      <c r="E2481" s="46" t="n">
        <v>400</v>
      </c>
      <c r="F2481" s="46" t="inlineStr">
        <is>
          <t>춘의동</t>
        </is>
      </c>
      <c r="G2481" s="50" t="n">
        <v>0.4583333333333333</v>
      </c>
      <c r="H2481" s="51" t="n">
        <v>703120</v>
      </c>
      <c r="I2481" s="46" t="inlineStr">
        <is>
          <t>허록종</t>
        </is>
      </c>
      <c r="K2481" s="46" t="n">
        <v>2480</v>
      </c>
      <c r="L2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2">
      <c r="A2482" s="229" t="n">
        <v>46210</v>
      </c>
      <c r="B2482" s="46" t="inlineStr">
        <is>
          <t>정기검사</t>
        </is>
      </c>
      <c r="C2482" s="46" t="inlineStr">
        <is>
          <t>부천지역</t>
        </is>
      </c>
      <c r="D2482" s="46" t="inlineStr">
        <is>
          <t>부천빗물펌프장</t>
        </is>
      </c>
      <c r="E2482" s="46" t="n">
        <v>300</v>
      </c>
      <c r="F2482" s="46" t="inlineStr">
        <is>
          <t>내동</t>
        </is>
      </c>
      <c r="G2482" s="50" t="n">
        <v>0.4166666666666667</v>
      </c>
      <c r="H2482" s="51" t="n">
        <v>577280</v>
      </c>
      <c r="I2482" s="46" t="inlineStr">
        <is>
          <t>옹승완</t>
        </is>
      </c>
      <c r="K2482" s="46" t="n">
        <v>2481</v>
      </c>
      <c r="L2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3">
      <c r="A2483" s="229" t="n">
        <v>46210</v>
      </c>
      <c r="B2483" s="46" t="inlineStr">
        <is>
          <t>정기검사</t>
        </is>
      </c>
      <c r="C2483" s="46" t="inlineStr">
        <is>
          <t>부천지역</t>
        </is>
      </c>
      <c r="D2483" s="46" t="inlineStr">
        <is>
          <t>삼정스텐테크</t>
        </is>
      </c>
      <c r="E2483" s="46" t="n">
        <v>200</v>
      </c>
      <c r="F2483" s="46" t="inlineStr">
        <is>
          <t>원미동</t>
        </is>
      </c>
      <c r="G2483" s="50" t="n">
        <v>0.4791666666666667</v>
      </c>
      <c r="H2483" s="51" t="n">
        <v>456720</v>
      </c>
      <c r="I2483" s="46" t="inlineStr">
        <is>
          <t>민재홍</t>
        </is>
      </c>
      <c r="K2483" s="46" t="n">
        <v>2482</v>
      </c>
      <c r="L2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4">
      <c r="A2484" s="229" t="n">
        <v>46210</v>
      </c>
      <c r="B2484" s="46" t="inlineStr">
        <is>
          <t>정기검사</t>
        </is>
      </c>
      <c r="C2484" s="46" t="inlineStr">
        <is>
          <t>부천지역</t>
        </is>
      </c>
      <c r="D2484" s="46" t="inlineStr">
        <is>
          <t>캐이엔티</t>
        </is>
      </c>
      <c r="E2484" s="46" t="n">
        <v>290</v>
      </c>
      <c r="F2484" s="46" t="inlineStr">
        <is>
          <t>도당동</t>
        </is>
      </c>
      <c r="G2484" s="50" t="n">
        <v>0.5</v>
      </c>
      <c r="H2484" s="51" t="n">
        <v>515130</v>
      </c>
      <c r="I2484" s="46" t="inlineStr">
        <is>
          <t>허록종</t>
        </is>
      </c>
      <c r="K2484" s="46" t="n">
        <v>2483</v>
      </c>
      <c r="L2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5">
      <c r="A2485" s="229" t="n">
        <v>46210</v>
      </c>
      <c r="B2485" s="46" t="inlineStr">
        <is>
          <t>정기검사</t>
        </is>
      </c>
      <c r="C2485" s="46" t="inlineStr">
        <is>
          <t>김포지역</t>
        </is>
      </c>
      <c r="D2485" s="46" t="inlineStr">
        <is>
          <t>kh에너지</t>
        </is>
      </c>
      <c r="E2485" s="46" t="n">
        <v>100</v>
      </c>
      <c r="F2485" s="46" t="inlineStr">
        <is>
          <t>도사리</t>
        </is>
      </c>
      <c r="G2485" s="50" t="n">
        <v>0.4375</v>
      </c>
      <c r="H2485" s="51" t="n">
        <v>237600</v>
      </c>
      <c r="I2485" s="46" t="inlineStr">
        <is>
          <t>이종석</t>
        </is>
      </c>
      <c r="K2485" s="46" t="n">
        <v>2484</v>
      </c>
      <c r="L2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6">
      <c r="A2486" s="229" t="n">
        <v>46210</v>
      </c>
      <c r="B2486" s="46" t="inlineStr">
        <is>
          <t>정기검사</t>
        </is>
      </c>
      <c r="C2486" s="46" t="inlineStr">
        <is>
          <t>김포지역</t>
        </is>
      </c>
      <c r="D2486" s="46" t="inlineStr">
        <is>
          <t>휴맥스이브이</t>
        </is>
      </c>
      <c r="E2486" s="46" t="inlineStr">
        <is>
          <t>전기차</t>
        </is>
      </c>
      <c r="F2486" s="46" t="inlineStr">
        <is>
          <t>구래동</t>
        </is>
      </c>
      <c r="G2486" s="50" t="n">
        <v>0.3958333333333333</v>
      </c>
      <c r="H2486" s="51" t="n">
        <v>318340</v>
      </c>
      <c r="I2486" s="46" t="inlineStr">
        <is>
          <t>한태희</t>
        </is>
      </c>
      <c r="K2486" s="46" t="n">
        <v>2485</v>
      </c>
      <c r="L2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7">
      <c r="A2487" s="229" t="n">
        <v>46210</v>
      </c>
      <c r="B2487" s="46" t="inlineStr">
        <is>
          <t>정기검사</t>
        </is>
      </c>
      <c r="C2487" s="46" t="inlineStr">
        <is>
          <t>김포지역</t>
        </is>
      </c>
      <c r="D2487" s="46" t="inlineStr">
        <is>
          <t>청라에너지</t>
        </is>
      </c>
      <c r="E2487" s="46" t="inlineStr">
        <is>
          <t>UPS</t>
        </is>
      </c>
      <c r="F2487" s="46" t="inlineStr">
        <is>
          <t>학운리</t>
        </is>
      </c>
      <c r="G2487" s="50" t="n">
        <v>0.5625</v>
      </c>
      <c r="H2487" s="51" t="n">
        <v>399300</v>
      </c>
      <c r="I2487" s="46" t="inlineStr">
        <is>
          <t>변종국</t>
        </is>
      </c>
      <c r="K2487" s="46" t="n">
        <v>2486</v>
      </c>
      <c r="L2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8">
      <c r="A2488" s="229" t="n">
        <v>46210</v>
      </c>
      <c r="B2488" s="46" t="inlineStr">
        <is>
          <t>정기검사</t>
        </is>
      </c>
      <c r="C2488" s="46" t="inlineStr">
        <is>
          <t>김포지역</t>
        </is>
      </c>
      <c r="D2488" s="46" t="inlineStr">
        <is>
          <t>청라에너지</t>
        </is>
      </c>
      <c r="E2488" s="46" t="inlineStr">
        <is>
          <t>UPS</t>
        </is>
      </c>
      <c r="F2488" s="46" t="inlineStr">
        <is>
          <t>학운리</t>
        </is>
      </c>
      <c r="G2488" s="50" t="n">
        <v>0.6041666666666666</v>
      </c>
      <c r="H2488" s="51" t="n">
        <v>272030</v>
      </c>
      <c r="I2488" s="46" t="inlineStr">
        <is>
          <t>변종국</t>
        </is>
      </c>
      <c r="K2488" s="46" t="n">
        <v>2487</v>
      </c>
      <c r="L2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9">
      <c r="A2489" s="229" t="n">
        <v>46210</v>
      </c>
      <c r="B2489" s="46" t="inlineStr">
        <is>
          <t>정기검사</t>
        </is>
      </c>
      <c r="C2489" s="46" t="inlineStr">
        <is>
          <t>김포지역</t>
        </is>
      </c>
      <c r="D2489" s="46" t="inlineStr">
        <is>
          <t>포8대대</t>
        </is>
      </c>
      <c r="E2489" s="46" t="n">
        <v>470</v>
      </c>
      <c r="F2489" s="46" t="inlineStr">
        <is>
          <t>옹정리</t>
        </is>
      </c>
      <c r="G2489" s="50" t="n">
        <v>0.375</v>
      </c>
      <c r="H2489" s="51" t="n">
        <v>726770</v>
      </c>
      <c r="I2489" s="46" t="inlineStr">
        <is>
          <t>서수형</t>
        </is>
      </c>
      <c r="K2489" s="46" t="n">
        <v>2488</v>
      </c>
      <c r="L2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0">
      <c r="A2490" s="229" t="n">
        <v>46210</v>
      </c>
      <c r="B2490" s="46" t="inlineStr">
        <is>
          <t>정기검사</t>
        </is>
      </c>
      <c r="C2490" s="46" t="inlineStr">
        <is>
          <t>김포지역</t>
        </is>
      </c>
      <c r="D2490" s="46" t="inlineStr">
        <is>
          <t>필선회관</t>
        </is>
      </c>
      <c r="E2490" s="46" t="n">
        <v>200</v>
      </c>
      <c r="F2490" s="46" t="inlineStr">
        <is>
          <t>고촌</t>
        </is>
      </c>
      <c r="G2490" s="50" t="n">
        <v>0.3958333333333333</v>
      </c>
      <c r="H2490" s="51" t="n">
        <v>456720</v>
      </c>
      <c r="I2490" s="46" t="inlineStr">
        <is>
          <t>송낙명</t>
        </is>
      </c>
      <c r="K2490" s="46" t="n">
        <v>2489</v>
      </c>
      <c r="L2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1">
      <c r="A2491" s="229" t="n">
        <v>46210</v>
      </c>
      <c r="B2491" s="46" t="inlineStr">
        <is>
          <t>정기검사</t>
        </is>
      </c>
      <c r="C2491" s="46" t="inlineStr">
        <is>
          <t>김포지역</t>
        </is>
      </c>
      <c r="D2491" s="46" t="inlineStr">
        <is>
          <t>국제인베스트</t>
        </is>
      </c>
      <c r="E2491" s="46" t="n">
        <v>400</v>
      </c>
      <c r="F2491" s="46" t="inlineStr">
        <is>
          <t>구래동</t>
        </is>
      </c>
      <c r="G2491" s="50" t="n">
        <v>0.4166666666666667</v>
      </c>
      <c r="H2491" s="51" t="n">
        <v>703120</v>
      </c>
      <c r="I2491" s="46" t="inlineStr">
        <is>
          <t>정성관</t>
        </is>
      </c>
      <c r="K2491" s="46" t="n">
        <v>2490</v>
      </c>
      <c r="L2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2">
      <c r="A2492" s="229" t="n">
        <v>46210</v>
      </c>
      <c r="B2492" s="46" t="inlineStr">
        <is>
          <t>사용전검사</t>
        </is>
      </c>
      <c r="C2492" s="46" t="inlineStr">
        <is>
          <t>부천지역</t>
        </is>
      </c>
      <c r="D2492" s="46" t="inlineStr">
        <is>
          <t>나라산업</t>
        </is>
      </c>
      <c r="E2492" s="46" t="n">
        <v>700</v>
      </c>
      <c r="F2492" s="46" t="inlineStr">
        <is>
          <t>내동</t>
        </is>
      </c>
      <c r="G2492" s="50" t="n"/>
      <c r="H2492" s="51" t="n"/>
      <c r="I2492" s="46" t="inlineStr">
        <is>
          <t>김영권</t>
        </is>
      </c>
      <c r="K2492" s="46" t="n">
        <v>2491</v>
      </c>
      <c r="L2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3">
      <c r="A2493" s="229" t="n">
        <v>46210</v>
      </c>
      <c r="B2493" s="46" t="inlineStr">
        <is>
          <t>메모</t>
        </is>
      </c>
      <c r="C2493" s="46" t="inlineStr">
        <is>
          <t>부천지역</t>
        </is>
      </c>
      <c r="D2493" s="46" t="inlineStr">
        <is>
          <t>당효진휴가</t>
        </is>
      </c>
      <c r="E2493" s="46" t="inlineStr">
        <is>
          <t>허록종-옹승완</t>
        </is>
      </c>
      <c r="F2493" s="46" t="n"/>
      <c r="G2493" s="50" t="n"/>
      <c r="H2493" s="51" t="n"/>
      <c r="I2493" s="46" t="n"/>
      <c r="K2493" s="46" t="n">
        <v>2492</v>
      </c>
      <c r="L2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4">
      <c r="A2494" s="229" t="n">
        <v>46210</v>
      </c>
      <c r="B2494" s="46" t="inlineStr">
        <is>
          <t>메모</t>
        </is>
      </c>
      <c r="C2494" s="46" t="inlineStr">
        <is>
          <t>부천지역</t>
        </is>
      </c>
      <c r="D2494" s="46" t="inlineStr">
        <is>
          <t>이덕기휴가</t>
        </is>
      </c>
      <c r="E2494" s="46" t="n"/>
      <c r="F2494" s="46" t="n"/>
      <c r="G2494" s="50" t="n"/>
      <c r="H2494" s="51" t="n"/>
      <c r="I2494" s="46" t="n"/>
      <c r="K2494" s="46" t="n">
        <v>2493</v>
      </c>
      <c r="L2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5">
      <c r="A2495" s="229" t="n">
        <v>46210</v>
      </c>
      <c r="B2495" s="46" t="inlineStr">
        <is>
          <t>사용전검사</t>
        </is>
      </c>
      <c r="C2495" s="46" t="inlineStr">
        <is>
          <t>김포지역</t>
        </is>
      </c>
      <c r="D2495" s="46" t="inlineStr">
        <is>
          <t>삼안</t>
        </is>
      </c>
      <c r="E2495" s="46" t="n">
        <v>251</v>
      </c>
      <c r="F2495" s="46" t="inlineStr">
        <is>
          <t>초원지리</t>
        </is>
      </c>
      <c r="G2495" s="50" t="n"/>
      <c r="H2495" s="51" t="n"/>
      <c r="I2495" s="46" t="inlineStr">
        <is>
          <t>허창수</t>
        </is>
      </c>
      <c r="K2495" s="46" t="n">
        <v>2494</v>
      </c>
      <c r="L2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6">
      <c r="A2496" s="229" t="n">
        <v>46210</v>
      </c>
      <c r="B2496" s="46" t="inlineStr">
        <is>
          <t>사용전검사</t>
        </is>
      </c>
      <c r="C2496" s="46" t="inlineStr">
        <is>
          <t>김포지역</t>
        </is>
      </c>
      <c r="D2496" s="46" t="inlineStr">
        <is>
          <t>유니슨</t>
        </is>
      </c>
      <c r="E2496" s="46" t="n">
        <v>700</v>
      </c>
      <c r="F2496" s="46" t="inlineStr">
        <is>
          <t>학운리</t>
        </is>
      </c>
      <c r="G2496" s="50" t="n"/>
      <c r="H2496" s="51" t="n"/>
      <c r="I2496" s="46" t="inlineStr">
        <is>
          <t>정신배</t>
        </is>
      </c>
      <c r="K2496" s="46" t="n">
        <v>2495</v>
      </c>
      <c r="L2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7">
      <c r="A2497" s="229" t="n">
        <v>46211</v>
      </c>
      <c r="B2497" s="46" t="inlineStr">
        <is>
          <t>정기검사</t>
        </is>
      </c>
      <c r="C2497" s="46" t="inlineStr">
        <is>
          <t>부천지역</t>
        </is>
      </c>
      <c r="D2497" s="46" t="inlineStr">
        <is>
          <t>e편한세상</t>
        </is>
      </c>
      <c r="E2497" s="46" t="inlineStr">
        <is>
          <t>전기차</t>
        </is>
      </c>
      <c r="F2497" s="46" t="n"/>
      <c r="G2497" s="50" t="n">
        <v>0.5833333333333334</v>
      </c>
      <c r="H2497" s="51" t="n">
        <v>81180</v>
      </c>
      <c r="I2497" s="46" t="inlineStr">
        <is>
          <t>변종국</t>
        </is>
      </c>
      <c r="K2497" s="46" t="n">
        <v>2496</v>
      </c>
      <c r="L2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8">
      <c r="A2498" s="229" t="n">
        <v>46211</v>
      </c>
      <c r="B2498" s="46" t="inlineStr">
        <is>
          <t>정기검사</t>
        </is>
      </c>
      <c r="C2498" s="46" t="inlineStr">
        <is>
          <t>부천지역</t>
        </is>
      </c>
      <c r="D2498" s="46" t="inlineStr">
        <is>
          <t>삼우</t>
        </is>
      </c>
      <c r="E2498" s="46" t="n">
        <v>280</v>
      </c>
      <c r="F2498" s="46" t="inlineStr">
        <is>
          <t>삼정동</t>
        </is>
      </c>
      <c r="G2498" s="50" t="n">
        <v>0.5</v>
      </c>
      <c r="H2498" s="51" t="n">
        <v>508640</v>
      </c>
      <c r="I2498" s="46" t="inlineStr">
        <is>
          <t>이종석</t>
        </is>
      </c>
      <c r="K2498" s="46" t="n">
        <v>2497</v>
      </c>
      <c r="L2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9">
      <c r="A2499" s="229" t="n">
        <v>46211</v>
      </c>
      <c r="B2499" s="46" t="inlineStr">
        <is>
          <t>정기검사</t>
        </is>
      </c>
      <c r="C2499" s="46" t="inlineStr">
        <is>
          <t>부천지역</t>
        </is>
      </c>
      <c r="D2499" s="46" t="inlineStr">
        <is>
          <t>성가요양원</t>
        </is>
      </c>
      <c r="E2499" s="46" t="n">
        <v>200</v>
      </c>
      <c r="F2499" s="46" t="inlineStr">
        <is>
          <t>소사동</t>
        </is>
      </c>
      <c r="G2499" s="50" t="n">
        <v>0.4583333333333333</v>
      </c>
      <c r="H2499" s="51" t="n">
        <v>200750</v>
      </c>
      <c r="I2499" s="46" t="inlineStr">
        <is>
          <t>허창수</t>
        </is>
      </c>
      <c r="K2499" s="46" t="n">
        <v>2498</v>
      </c>
      <c r="L2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0">
      <c r="A2500" s="229" t="n">
        <v>46211</v>
      </c>
      <c r="B2500" s="46" t="inlineStr">
        <is>
          <t>정기검사</t>
        </is>
      </c>
      <c r="C2500" s="46" t="inlineStr">
        <is>
          <t>부천지역</t>
        </is>
      </c>
      <c r="D2500" s="46" t="inlineStr">
        <is>
          <t>성가요양원</t>
        </is>
      </c>
      <c r="E2500" s="46" t="n">
        <v>200</v>
      </c>
      <c r="F2500" s="46" t="inlineStr">
        <is>
          <t>소사동</t>
        </is>
      </c>
      <c r="G2500" s="50" t="n">
        <v>0.5</v>
      </c>
      <c r="H2500" s="51" t="n">
        <v>456720</v>
      </c>
      <c r="I2500" s="46" t="inlineStr">
        <is>
          <t>허창수</t>
        </is>
      </c>
      <c r="K2500" s="46" t="n">
        <v>2499</v>
      </c>
      <c r="L2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1">
      <c r="A2501" s="229" t="n">
        <v>46211</v>
      </c>
      <c r="B2501" s="46" t="inlineStr">
        <is>
          <t>정기검사</t>
        </is>
      </c>
      <c r="C2501" s="46" t="inlineStr">
        <is>
          <t>부천지역</t>
        </is>
      </c>
      <c r="D2501" s="46" t="inlineStr">
        <is>
          <t>부안빌딩</t>
        </is>
      </c>
      <c r="E2501" s="46" t="n">
        <v>225</v>
      </c>
      <c r="F2501" s="46" t="inlineStr">
        <is>
          <t>중동</t>
        </is>
      </c>
      <c r="G2501" s="50" t="n">
        <v>0.3958333333333333</v>
      </c>
      <c r="H2501" s="51" t="n">
        <v>629970</v>
      </c>
      <c r="I2501" s="46" t="inlineStr">
        <is>
          <t>서수형</t>
        </is>
      </c>
      <c r="K2501" s="46" t="n">
        <v>2500</v>
      </c>
      <c r="L2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2">
      <c r="A2502" s="229" t="n">
        <v>46211</v>
      </c>
      <c r="B2502" s="46" t="inlineStr">
        <is>
          <t>정기검사</t>
        </is>
      </c>
      <c r="C2502" s="46" t="inlineStr">
        <is>
          <t>김포지역</t>
        </is>
      </c>
      <c r="D2502" s="46" t="inlineStr">
        <is>
          <t>큐브젤</t>
        </is>
      </c>
      <c r="E2502" s="46" t="n">
        <v>290</v>
      </c>
      <c r="F2502" s="46" t="inlineStr">
        <is>
          <t>학운리</t>
        </is>
      </c>
      <c r="G2502" s="50" t="n">
        <v>0.5</v>
      </c>
      <c r="H2502" s="51" t="n">
        <v>515130</v>
      </c>
      <c r="I2502" s="46" t="inlineStr">
        <is>
          <t>당효진</t>
        </is>
      </c>
      <c r="K2502" s="46" t="n">
        <v>2501</v>
      </c>
      <c r="L2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3">
      <c r="A2503" s="229" t="n">
        <v>46211</v>
      </c>
      <c r="B2503" s="46" t="inlineStr">
        <is>
          <t>정기검사</t>
        </is>
      </c>
      <c r="C2503" s="46" t="inlineStr">
        <is>
          <t>김포지역</t>
        </is>
      </c>
      <c r="D2503" s="46" t="inlineStr">
        <is>
          <t>연세노인전문요양원</t>
        </is>
      </c>
      <c r="E2503" s="46" t="n">
        <v>150</v>
      </c>
      <c r="F2503" s="46" t="inlineStr">
        <is>
          <t>북변동</t>
        </is>
      </c>
      <c r="G2503" s="50" t="n">
        <v>0.4166666666666667</v>
      </c>
      <c r="H2503" s="51" t="n">
        <v>424160</v>
      </c>
      <c r="I2503" s="46" t="inlineStr">
        <is>
          <t>민재홍</t>
        </is>
      </c>
      <c r="K2503" s="46" t="n">
        <v>2502</v>
      </c>
      <c r="L2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4">
      <c r="A2504" s="229" t="n">
        <v>46211</v>
      </c>
      <c r="B2504" s="46" t="inlineStr">
        <is>
          <t>정기검사</t>
        </is>
      </c>
      <c r="C2504" s="46" t="inlineStr">
        <is>
          <t>김포지역</t>
        </is>
      </c>
      <c r="D2504" s="46" t="inlineStr">
        <is>
          <t>나래지하차도</t>
        </is>
      </c>
      <c r="E2504" s="46" t="inlineStr">
        <is>
          <t>3000/1186</t>
        </is>
      </c>
      <c r="F2504" s="46" t="inlineStr">
        <is>
          <t>사우동</t>
        </is>
      </c>
      <c r="G2504" s="50" t="n">
        <v>0.9166666666666666</v>
      </c>
      <c r="H2504" s="51" t="n">
        <v>2448270</v>
      </c>
      <c r="I2504" s="46" t="inlineStr">
        <is>
          <t>송낙명</t>
        </is>
      </c>
      <c r="K2504" s="46" t="n">
        <v>2503</v>
      </c>
      <c r="L2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5">
      <c r="A2505" s="229" t="n">
        <v>46211</v>
      </c>
      <c r="B2505" s="46" t="inlineStr">
        <is>
          <t>정기검사</t>
        </is>
      </c>
      <c r="C2505" s="46" t="inlineStr">
        <is>
          <t>김포지역</t>
        </is>
      </c>
      <c r="D2505" s="46" t="inlineStr">
        <is>
          <t>삼양인터내셔날</t>
        </is>
      </c>
      <c r="E2505" s="46" t="inlineStr">
        <is>
          <t>전기차</t>
        </is>
      </c>
      <c r="F2505" s="46" t="inlineStr">
        <is>
          <t>장기동</t>
        </is>
      </c>
      <c r="G2505" s="50" t="n">
        <v>0.625</v>
      </c>
      <c r="H2505" s="51" t="n">
        <v>64240</v>
      </c>
      <c r="I2505" s="46" t="inlineStr">
        <is>
          <t>정신배</t>
        </is>
      </c>
      <c r="K2505" s="46" t="n">
        <v>2504</v>
      </c>
      <c r="L2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6">
      <c r="A2506" s="229" t="n">
        <v>46211</v>
      </c>
      <c r="B2506" s="46" t="inlineStr">
        <is>
          <t>정기검사</t>
        </is>
      </c>
      <c r="C2506" s="46" t="inlineStr">
        <is>
          <t>김포지역</t>
        </is>
      </c>
      <c r="D2506" s="46" t="inlineStr">
        <is>
          <t>아트프라자</t>
        </is>
      </c>
      <c r="E2506" s="46" t="inlineStr">
        <is>
          <t>재검</t>
        </is>
      </c>
      <c r="F2506" s="46" t="n"/>
      <c r="G2506" s="50" t="n">
        <v>0.3958333333333333</v>
      </c>
      <c r="H2506" s="51" t="n"/>
      <c r="I2506" s="46" t="inlineStr">
        <is>
          <t>옹승완</t>
        </is>
      </c>
      <c r="K2506" s="46" t="n">
        <v>2505</v>
      </c>
      <c r="L2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7">
      <c r="A2507" s="229" t="n">
        <v>46211</v>
      </c>
      <c r="B2507" s="46" t="inlineStr">
        <is>
          <t>메모</t>
        </is>
      </c>
      <c r="C2507" s="46" t="inlineStr">
        <is>
          <t>부천지역</t>
        </is>
      </c>
      <c r="D2507" s="46" t="inlineStr">
        <is>
          <t>이덕기휴가</t>
        </is>
      </c>
      <c r="E2507" s="46" t="n"/>
      <c r="F2507" s="46" t="n"/>
      <c r="G2507" s="50" t="n"/>
      <c r="H2507" s="51" t="n"/>
      <c r="I2507" s="46" t="n"/>
      <c r="K2507" s="46" t="n">
        <v>2506</v>
      </c>
      <c r="L2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8">
      <c r="A2508" s="229" t="n">
        <v>46211</v>
      </c>
      <c r="B2508" s="46" t="inlineStr">
        <is>
          <t>사용전검사</t>
        </is>
      </c>
      <c r="C2508" s="46" t="inlineStr">
        <is>
          <t>김포지역</t>
        </is>
      </c>
      <c r="D2508" s="46" t="inlineStr">
        <is>
          <t>삼창기연</t>
        </is>
      </c>
      <c r="E2508" s="46" t="n">
        <v>970</v>
      </c>
      <c r="F2508" s="46" t="inlineStr">
        <is>
          <t>학운리</t>
        </is>
      </c>
      <c r="G2508" s="50" t="n"/>
      <c r="H2508" s="51" t="n"/>
      <c r="I2508" s="46" t="inlineStr">
        <is>
          <t>김영권</t>
        </is>
      </c>
      <c r="K2508" s="46" t="n">
        <v>2507</v>
      </c>
      <c r="L2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9">
      <c r="A2509" s="229" t="n">
        <v>46211</v>
      </c>
      <c r="B2509" s="46" t="inlineStr">
        <is>
          <t>사용전검사</t>
        </is>
      </c>
      <c r="C2509" s="46" t="inlineStr">
        <is>
          <t>김포지역</t>
        </is>
      </c>
      <c r="D2509" s="46" t="inlineStr">
        <is>
          <t>신대명에너지</t>
        </is>
      </c>
      <c r="E2509" s="46" t="n">
        <v>990</v>
      </c>
      <c r="F2509" s="46" t="inlineStr">
        <is>
          <t>양곡리</t>
        </is>
      </c>
      <c r="G2509" s="50" t="n"/>
      <c r="H2509" s="51" t="n"/>
      <c r="I2509" s="46" t="inlineStr">
        <is>
          <t>허록종</t>
        </is>
      </c>
      <c r="K2509" s="46" t="n">
        <v>2508</v>
      </c>
      <c r="L2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0">
      <c r="A2510" s="229" t="n">
        <v>46211</v>
      </c>
      <c r="B2510" s="46" t="inlineStr">
        <is>
          <t>사용전검사</t>
        </is>
      </c>
      <c r="C2510" s="46" t="inlineStr">
        <is>
          <t>김포지역</t>
        </is>
      </c>
      <c r="D2510" s="46" t="inlineStr">
        <is>
          <t>해피차지</t>
        </is>
      </c>
      <c r="E2510" s="46" t="n">
        <v>159</v>
      </c>
      <c r="F2510" s="46" t="inlineStr">
        <is>
          <t>북변동</t>
        </is>
      </c>
      <c r="G2510" s="50" t="n"/>
      <c r="H2510" s="51" t="n"/>
      <c r="I2510" s="46" t="inlineStr">
        <is>
          <t>정성관</t>
        </is>
      </c>
      <c r="K2510" s="46" t="n">
        <v>2509</v>
      </c>
      <c r="L2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1">
      <c r="A2511" s="229" t="n">
        <v>46211</v>
      </c>
      <c r="B2511" s="46" t="inlineStr">
        <is>
          <t>메모</t>
        </is>
      </c>
      <c r="C2511" s="46" t="inlineStr">
        <is>
          <t>김포지역</t>
        </is>
      </c>
      <c r="D2511" s="46" t="inlineStr">
        <is>
          <t>정성관 무조건 김포</t>
        </is>
      </c>
      <c r="E2511" s="46" t="n"/>
      <c r="F2511" s="46" t="n"/>
      <c r="G2511" s="50" t="n"/>
      <c r="H2511" s="51" t="n"/>
      <c r="I2511" s="46" t="n"/>
      <c r="K2511" s="46" t="n">
        <v>2510</v>
      </c>
      <c r="L2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2">
      <c r="A2512" s="229" t="n">
        <v>46211</v>
      </c>
      <c r="B2512" s="46" t="inlineStr">
        <is>
          <t>사용전검사</t>
        </is>
      </c>
      <c r="C2512" s="46" t="inlineStr">
        <is>
          <t>김포지역</t>
        </is>
      </c>
      <c r="D2512" s="46" t="inlineStr">
        <is>
          <t>호반건설</t>
        </is>
      </c>
      <c r="E2512" s="46" t="n">
        <v>700</v>
      </c>
      <c r="F2512" s="46" t="inlineStr">
        <is>
          <t>사우동</t>
        </is>
      </c>
      <c r="G2512" s="50" t="n"/>
      <c r="H2512" s="51" t="n"/>
      <c r="I2512" s="46" t="inlineStr">
        <is>
          <t>송낙명</t>
        </is>
      </c>
      <c r="K2512" s="46" t="n">
        <v>2511</v>
      </c>
      <c r="L2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3">
      <c r="A2513" s="229" t="n">
        <v>46211</v>
      </c>
      <c r="B2513" s="46" t="inlineStr">
        <is>
          <t>사용전검사</t>
        </is>
      </c>
      <c r="C2513" s="46" t="inlineStr">
        <is>
          <t>김포지역</t>
        </is>
      </c>
      <c r="D2513" s="46" t="inlineStr">
        <is>
          <t>조문택</t>
        </is>
      </c>
      <c r="E2513" s="46" t="n">
        <v>35</v>
      </c>
      <c r="F2513" s="46" t="inlineStr">
        <is>
          <t>마송리</t>
        </is>
      </c>
      <c r="G2513" s="50" t="n"/>
      <c r="H2513" s="51" t="n"/>
      <c r="I2513" s="46" t="inlineStr">
        <is>
          <t>한태희</t>
        </is>
      </c>
      <c r="K2513" s="46" t="n">
        <v>2512</v>
      </c>
      <c r="L2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4">
      <c r="A2514" s="229" t="n">
        <v>46212</v>
      </c>
      <c r="B2514" s="46" t="inlineStr">
        <is>
          <t>정기검사</t>
        </is>
      </c>
      <c r="C2514" s="46" t="inlineStr">
        <is>
          <t>부천지역</t>
        </is>
      </c>
      <c r="D2514" s="46" t="inlineStr">
        <is>
          <t>광성아파트</t>
        </is>
      </c>
      <c r="E2514" s="46" t="inlineStr">
        <is>
          <t>500/234</t>
        </is>
      </c>
      <c r="F2514" s="46" t="inlineStr">
        <is>
          <t>춘의동</t>
        </is>
      </c>
      <c r="G2514" s="50" t="n">
        <v>0.6041666666666666</v>
      </c>
      <c r="H2514" s="51" t="n">
        <v>942810</v>
      </c>
      <c r="I2514" s="46" t="inlineStr">
        <is>
          <t>정성관</t>
        </is>
      </c>
      <c r="K2514" s="46" t="n">
        <v>2513</v>
      </c>
      <c r="L2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5">
      <c r="A2515" s="229" t="n">
        <v>46212</v>
      </c>
      <c r="B2515" s="46" t="inlineStr">
        <is>
          <t>정기검사</t>
        </is>
      </c>
      <c r="C2515" s="46" t="inlineStr">
        <is>
          <t>부천지역</t>
        </is>
      </c>
      <c r="D2515" s="46" t="inlineStr">
        <is>
          <t>송내현대아파트</t>
        </is>
      </c>
      <c r="E2515" s="46" t="inlineStr">
        <is>
          <t>1600/275</t>
        </is>
      </c>
      <c r="F2515" s="46" t="inlineStr">
        <is>
          <t>송내동</t>
        </is>
      </c>
      <c r="G2515" s="50" t="n">
        <v>0.4166666666666667</v>
      </c>
      <c r="H2515" s="51" t="n">
        <v>1212090</v>
      </c>
      <c r="I2515" s="46" t="inlineStr">
        <is>
          <t>변종국</t>
        </is>
      </c>
      <c r="K2515" s="46" t="n">
        <v>2514</v>
      </c>
      <c r="L2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6">
      <c r="A2516" s="229" t="n">
        <v>46212</v>
      </c>
      <c r="B2516" s="46" t="inlineStr">
        <is>
          <t>정기검사</t>
        </is>
      </c>
      <c r="C2516" s="46" t="inlineStr">
        <is>
          <t>부천지역</t>
        </is>
      </c>
      <c r="D2516" s="46" t="inlineStr">
        <is>
          <t>서유</t>
        </is>
      </c>
      <c r="E2516" s="46" t="inlineStr">
        <is>
          <t>전기차</t>
        </is>
      </c>
      <c r="F2516" s="46" t="inlineStr">
        <is>
          <t>중동</t>
        </is>
      </c>
      <c r="G2516" s="50" t="n">
        <v>0.4166666666666667</v>
      </c>
      <c r="H2516" s="51" t="n">
        <v>55770</v>
      </c>
      <c r="I2516" s="46" t="inlineStr">
        <is>
          <t>옹승완</t>
        </is>
      </c>
      <c r="K2516" s="46" t="n">
        <v>2515</v>
      </c>
      <c r="L2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7">
      <c r="A2517" s="229" t="n">
        <v>46212</v>
      </c>
      <c r="B2517" s="46" t="inlineStr">
        <is>
          <t>정기검사</t>
        </is>
      </c>
      <c r="C2517" s="46" t="inlineStr">
        <is>
          <t>부천지역</t>
        </is>
      </c>
      <c r="D2517" s="46" t="inlineStr">
        <is>
          <t>비케이프라임</t>
        </is>
      </c>
      <c r="E2517" s="46" t="n">
        <v>50</v>
      </c>
      <c r="F2517" s="46" t="inlineStr">
        <is>
          <t>고강동</t>
        </is>
      </c>
      <c r="G2517" s="50" t="n">
        <v>0.5</v>
      </c>
      <c r="H2517" s="51" t="n">
        <v>151360</v>
      </c>
      <c r="I2517" s="46" t="inlineStr">
        <is>
          <t>정신배</t>
        </is>
      </c>
      <c r="K2517" s="46" t="n">
        <v>2516</v>
      </c>
      <c r="L2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8">
      <c r="A2518" s="229" t="n">
        <v>46212</v>
      </c>
      <c r="B2518" s="46" t="inlineStr">
        <is>
          <t>정기검사</t>
        </is>
      </c>
      <c r="C2518" s="46" t="inlineStr">
        <is>
          <t>부천지역</t>
        </is>
      </c>
      <c r="D2518" s="46" t="inlineStr">
        <is>
          <t>부천시노동복지회관</t>
        </is>
      </c>
      <c r="E2518" s="46" t="n">
        <v>300</v>
      </c>
      <c r="F2518" s="46" t="inlineStr">
        <is>
          <t>원종동</t>
        </is>
      </c>
      <c r="G2518" s="50" t="n">
        <v>0.2916666666666667</v>
      </c>
      <c r="H2518" s="51" t="n">
        <v>678150</v>
      </c>
      <c r="I2518" s="46" t="inlineStr">
        <is>
          <t>이종석</t>
        </is>
      </c>
      <c r="K2518" s="46" t="n">
        <v>2517</v>
      </c>
      <c r="L2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9">
      <c r="A2519" s="229" t="n">
        <v>46212</v>
      </c>
      <c r="B2519" s="46" t="inlineStr">
        <is>
          <t>정기검사</t>
        </is>
      </c>
      <c r="C2519" s="46" t="inlineStr">
        <is>
          <t>부천지역</t>
        </is>
      </c>
      <c r="D2519" s="46" t="inlineStr">
        <is>
          <t>건영아파트</t>
        </is>
      </c>
      <c r="E2519" s="46" t="inlineStr">
        <is>
          <t>950/236</t>
        </is>
      </c>
      <c r="F2519" s="46" t="inlineStr">
        <is>
          <t>중동</t>
        </is>
      </c>
      <c r="G2519" s="50" t="n">
        <v>0.4166666666666667</v>
      </c>
      <c r="H2519" s="51" t="n">
        <v>1095820</v>
      </c>
      <c r="I2519" s="46" t="inlineStr">
        <is>
          <t>이덕기</t>
        </is>
      </c>
      <c r="K2519" s="46" t="n">
        <v>2518</v>
      </c>
      <c r="L2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0">
      <c r="A2520" s="229" t="n">
        <v>46212</v>
      </c>
      <c r="B2520" s="46" t="inlineStr">
        <is>
          <t>정기검사</t>
        </is>
      </c>
      <c r="C2520" s="46" t="inlineStr">
        <is>
          <t>김포지역</t>
        </is>
      </c>
      <c r="D2520" s="46" t="inlineStr">
        <is>
          <t>비호뉴팰리스</t>
        </is>
      </c>
      <c r="E2520" s="46" t="inlineStr">
        <is>
          <t>500/90</t>
        </is>
      </c>
      <c r="F2520" s="46" t="inlineStr">
        <is>
          <t>구래동</t>
        </is>
      </c>
      <c r="G2520" s="50" t="n">
        <v>0.3958333333333333</v>
      </c>
      <c r="H2520" s="51" t="n">
        <v>900240</v>
      </c>
      <c r="I2520" s="46" t="inlineStr">
        <is>
          <t>허록종</t>
        </is>
      </c>
      <c r="K2520" s="46" t="n">
        <v>2519</v>
      </c>
      <c r="L2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1">
      <c r="A2521" s="229" t="n">
        <v>46212</v>
      </c>
      <c r="B2521" s="46" t="inlineStr">
        <is>
          <t>정기검사</t>
        </is>
      </c>
      <c r="C2521" s="46" t="inlineStr">
        <is>
          <t>김포지역</t>
        </is>
      </c>
      <c r="D2521" s="46" t="inlineStr">
        <is>
          <t>김포메디시티관리단</t>
        </is>
      </c>
      <c r="E2521" s="46" t="inlineStr">
        <is>
          <t>950/182</t>
        </is>
      </c>
      <c r="F2521" s="46" t="inlineStr">
        <is>
          <t>양곡리</t>
        </is>
      </c>
      <c r="G2521" s="50" t="n">
        <v>0.5625</v>
      </c>
      <c r="H2521" s="51" t="n">
        <v>1079870</v>
      </c>
      <c r="I2521" s="46" t="inlineStr">
        <is>
          <t>김영권</t>
        </is>
      </c>
      <c r="K2521" s="46" t="n">
        <v>2520</v>
      </c>
      <c r="L2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2">
      <c r="A2522" s="229" t="n">
        <v>46212</v>
      </c>
      <c r="B2522" s="46" t="inlineStr">
        <is>
          <t>정기검사</t>
        </is>
      </c>
      <c r="C2522" s="46" t="inlineStr">
        <is>
          <t>김포지역</t>
        </is>
      </c>
      <c r="D2522" s="46" t="inlineStr">
        <is>
          <t>성봉태양광</t>
        </is>
      </c>
      <c r="E2522" s="46" t="n">
        <v>19</v>
      </c>
      <c r="F2522" s="46" t="inlineStr">
        <is>
          <t>대명리</t>
        </is>
      </c>
      <c r="G2522" s="50" t="n">
        <v>0.6041666666666666</v>
      </c>
      <c r="H2522" s="51" t="n">
        <v>94270</v>
      </c>
      <c r="I2522" s="46" t="inlineStr">
        <is>
          <t>한태희</t>
        </is>
      </c>
      <c r="K2522" s="46" t="n">
        <v>2521</v>
      </c>
      <c r="L2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3">
      <c r="A2523" s="229" t="n">
        <v>46212</v>
      </c>
      <c r="B2523" s="46" t="inlineStr">
        <is>
          <t>정기검사</t>
        </is>
      </c>
      <c r="C2523" s="46" t="inlineStr">
        <is>
          <t>김포지역</t>
        </is>
      </c>
      <c r="D2523" s="46" t="inlineStr">
        <is>
          <t>태광무역</t>
        </is>
      </c>
      <c r="E2523" s="46" t="n">
        <v>900</v>
      </c>
      <c r="F2523" s="46" t="inlineStr">
        <is>
          <t>석정리</t>
        </is>
      </c>
      <c r="G2523" s="50" t="n">
        <v>0.4791666666666667</v>
      </c>
      <c r="H2523" s="51" t="n">
        <v>872520</v>
      </c>
      <c r="I2523" s="46" t="inlineStr">
        <is>
          <t>서수형</t>
        </is>
      </c>
      <c r="K2523" s="46" t="n">
        <v>2522</v>
      </c>
      <c r="L2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4">
      <c r="A2524" s="229" t="n">
        <v>46212</v>
      </c>
      <c r="B2524" s="46" t="inlineStr">
        <is>
          <t>정기검사</t>
        </is>
      </c>
      <c r="C2524" s="46" t="inlineStr">
        <is>
          <t>김포지역</t>
        </is>
      </c>
      <c r="D2524" s="46" t="inlineStr">
        <is>
          <t>용광산업</t>
        </is>
      </c>
      <c r="E2524" s="46" t="n">
        <v>150</v>
      </c>
      <c r="F2524" s="46" t="inlineStr">
        <is>
          <t>학운리</t>
        </is>
      </c>
      <c r="G2524" s="50" t="n">
        <v>0.4930555555555556</v>
      </c>
      <c r="H2524" s="51" t="n">
        <v>424160</v>
      </c>
      <c r="I2524" s="46" t="inlineStr">
        <is>
          <t>송낙명</t>
        </is>
      </c>
      <c r="K2524" s="46" t="n">
        <v>2523</v>
      </c>
      <c r="L2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5">
      <c r="A2525" s="229" t="n">
        <v>46212</v>
      </c>
      <c r="B2525" s="46" t="inlineStr">
        <is>
          <t>사용전검사</t>
        </is>
      </c>
      <c r="C2525" s="46" t="inlineStr">
        <is>
          <t>부천지역</t>
        </is>
      </c>
      <c r="D2525" s="46" t="inlineStr">
        <is>
          <t>귀뛰라미에너지</t>
        </is>
      </c>
      <c r="E2525" s="46" t="n">
        <v>200</v>
      </c>
      <c r="F2525" s="46" t="inlineStr">
        <is>
          <t>도당동</t>
        </is>
      </c>
      <c r="G2525" s="50" t="n"/>
      <c r="H2525" s="51" t="n"/>
      <c r="I2525" s="46" t="inlineStr">
        <is>
          <t>정신배</t>
        </is>
      </c>
      <c r="K2525" s="46" t="n">
        <v>2524</v>
      </c>
      <c r="L2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6">
      <c r="A2526" s="229" t="n">
        <v>46212</v>
      </c>
      <c r="B2526" s="46" t="inlineStr">
        <is>
          <t>사용전검사</t>
        </is>
      </c>
      <c r="C2526" s="46" t="inlineStr">
        <is>
          <t>부천지역</t>
        </is>
      </c>
      <c r="D2526" s="46" t="inlineStr">
        <is>
          <t>디엘건설</t>
        </is>
      </c>
      <c r="E2526" s="46" t="n">
        <v>500</v>
      </c>
      <c r="F2526" s="46" t="inlineStr">
        <is>
          <t>오정동</t>
        </is>
      </c>
      <c r="G2526" s="50" t="n"/>
      <c r="H2526" s="51" t="n"/>
      <c r="I2526" s="46" t="inlineStr">
        <is>
          <t>옹승완</t>
        </is>
      </c>
      <c r="K2526" s="46" t="n">
        <v>2525</v>
      </c>
      <c r="L2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7">
      <c r="A2527" s="229" t="n">
        <v>46212</v>
      </c>
      <c r="B2527" s="46" t="inlineStr">
        <is>
          <t>사용전검사</t>
        </is>
      </c>
      <c r="C2527" s="46" t="inlineStr">
        <is>
          <t>부천지역</t>
        </is>
      </c>
      <c r="D2527" s="46" t="inlineStr">
        <is>
          <t>송내1구역</t>
        </is>
      </c>
      <c r="E2527" s="46" t="inlineStr">
        <is>
          <t>부분</t>
        </is>
      </c>
      <c r="F2527" s="46" t="n"/>
      <c r="G2527" s="50" t="n"/>
      <c r="H2527" s="51" t="n"/>
      <c r="I2527" s="46" t="inlineStr">
        <is>
          <t>정성관</t>
        </is>
      </c>
      <c r="K2527" s="46" t="n">
        <v>2526</v>
      </c>
      <c r="L2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8">
      <c r="A2528" s="229" t="n">
        <v>46212</v>
      </c>
      <c r="B2528" s="46" t="inlineStr">
        <is>
          <t>사용전검사</t>
        </is>
      </c>
      <c r="C2528" s="46" t="inlineStr">
        <is>
          <t>부천지역</t>
        </is>
      </c>
      <c r="D2528" s="46" t="inlineStr">
        <is>
          <t>송내2구역</t>
        </is>
      </c>
      <c r="E2528" s="46" t="inlineStr">
        <is>
          <t>부분</t>
        </is>
      </c>
      <c r="F2528" s="46" t="n"/>
      <c r="G2528" s="50" t="n"/>
      <c r="H2528" s="51" t="n"/>
      <c r="I2528" s="46" t="inlineStr">
        <is>
          <t>이덕기</t>
        </is>
      </c>
      <c r="K2528" s="46" t="n">
        <v>2527</v>
      </c>
      <c r="L2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9">
      <c r="A2529" s="229" t="n">
        <v>46212</v>
      </c>
      <c r="B2529" s="46" t="inlineStr">
        <is>
          <t>사용전검사</t>
        </is>
      </c>
      <c r="C2529" s="46" t="inlineStr">
        <is>
          <t>김포지역</t>
        </is>
      </c>
      <c r="D2529" s="46" t="inlineStr">
        <is>
          <t>스킨팜</t>
        </is>
      </c>
      <c r="E2529" s="46" t="n">
        <v>299</v>
      </c>
      <c r="F2529" s="46" t="inlineStr">
        <is>
          <t>개곡리</t>
        </is>
      </c>
      <c r="G2529" s="50" t="n"/>
      <c r="H2529" s="51" t="n"/>
      <c r="I2529" s="46" t="inlineStr">
        <is>
          <t>허창수</t>
        </is>
      </c>
      <c r="K2529" s="46" t="n">
        <v>2528</v>
      </c>
      <c r="L2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0">
      <c r="A2530" s="229" t="n">
        <v>46212</v>
      </c>
      <c r="B2530" s="46" t="inlineStr">
        <is>
          <t>사용전검사</t>
        </is>
      </c>
      <c r="C2530" s="46" t="inlineStr">
        <is>
          <t>김포지역</t>
        </is>
      </c>
      <c r="D2530" s="46" t="inlineStr">
        <is>
          <t>마이크로홀텍</t>
        </is>
      </c>
      <c r="E2530" s="46" t="inlineStr">
        <is>
          <t>149/저압</t>
        </is>
      </c>
      <c r="F2530" s="46" t="inlineStr">
        <is>
          <t>학운리</t>
        </is>
      </c>
      <c r="G2530" s="50" t="n"/>
      <c r="H2530" s="51" t="n"/>
      <c r="I2530" s="46" t="inlineStr">
        <is>
          <t>민재홍</t>
        </is>
      </c>
      <c r="K2530" s="46" t="n">
        <v>2529</v>
      </c>
      <c r="L2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1">
      <c r="A2531" s="229" t="n">
        <v>46212</v>
      </c>
      <c r="B2531" s="46" t="inlineStr">
        <is>
          <t>사용전검사</t>
        </is>
      </c>
      <c r="C2531" s="46" t="inlineStr">
        <is>
          <t>김포지역</t>
        </is>
      </c>
      <c r="D2531" s="46" t="inlineStr">
        <is>
          <t>지엘코</t>
        </is>
      </c>
      <c r="E2531" s="46" t="n">
        <v>207</v>
      </c>
      <c r="F2531" s="46" t="inlineStr">
        <is>
          <t>학운리</t>
        </is>
      </c>
      <c r="G2531" s="50" t="n"/>
      <c r="H2531" s="51" t="n"/>
      <c r="I2531" s="46" t="inlineStr">
        <is>
          <t>당효진</t>
        </is>
      </c>
      <c r="K2531" s="46" t="n">
        <v>2530</v>
      </c>
      <c r="L2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2">
      <c r="A2532" s="229" t="n">
        <v>46212</v>
      </c>
      <c r="B2532" s="46" t="inlineStr">
        <is>
          <t>사용전검사</t>
        </is>
      </c>
      <c r="C2532" s="46" t="inlineStr">
        <is>
          <t>김포지역</t>
        </is>
      </c>
      <c r="D2532" s="46" t="inlineStr">
        <is>
          <t>서윤미</t>
        </is>
      </c>
      <c r="E2532" s="46" t="n">
        <v>6</v>
      </c>
      <c r="F2532" s="46" t="inlineStr">
        <is>
          <t>대능리</t>
        </is>
      </c>
      <c r="G2532" s="50" t="n"/>
      <c r="H2532" s="51" t="n"/>
      <c r="I2532" s="46" t="inlineStr">
        <is>
          <t>한태희</t>
        </is>
      </c>
      <c r="K2532" s="46" t="n">
        <v>2531</v>
      </c>
      <c r="L2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3">
      <c r="A2533" s="229" t="n">
        <v>46212</v>
      </c>
      <c r="B2533" s="46" t="inlineStr">
        <is>
          <t>사용전검사</t>
        </is>
      </c>
      <c r="C2533" s="46" t="inlineStr">
        <is>
          <t>김포지역</t>
        </is>
      </c>
      <c r="D2533" s="46" t="inlineStr">
        <is>
          <t>디프런홀딩스</t>
        </is>
      </c>
      <c r="E2533" s="46" t="n">
        <v>300</v>
      </c>
      <c r="F2533" s="46" t="inlineStr">
        <is>
          <t>대포리</t>
        </is>
      </c>
      <c r="G2533" s="50" t="n"/>
      <c r="H2533" s="51" t="n"/>
      <c r="I2533" s="46" t="inlineStr">
        <is>
          <t>민재홍</t>
        </is>
      </c>
      <c r="K2533" s="46" t="n">
        <v>2532</v>
      </c>
      <c r="L2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4">
      <c r="A2534" s="229" t="n">
        <v>46212</v>
      </c>
      <c r="B2534" s="46" t="inlineStr">
        <is>
          <t>사용전검사</t>
        </is>
      </c>
      <c r="C2534" s="46" t="inlineStr">
        <is>
          <t>김포지역</t>
        </is>
      </c>
      <c r="D2534" s="46" t="inlineStr">
        <is>
          <t>김포운수</t>
        </is>
      </c>
      <c r="E2534" s="46" t="n">
        <v>990</v>
      </c>
      <c r="F2534" s="46" t="inlineStr">
        <is>
          <t>약암리</t>
        </is>
      </c>
      <c r="G2534" s="50" t="n"/>
      <c r="H2534" s="51" t="n"/>
      <c r="I2534" s="46" t="inlineStr">
        <is>
          <t>김영권</t>
        </is>
      </c>
      <c r="K2534" s="46" t="n">
        <v>2533</v>
      </c>
      <c r="L2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5">
      <c r="A2535" s="229" t="n">
        <v>46213</v>
      </c>
      <c r="B2535" s="46" t="inlineStr">
        <is>
          <t>정기검사</t>
        </is>
      </c>
      <c r="C2535" s="46" t="inlineStr">
        <is>
          <t>부천지역</t>
        </is>
      </c>
      <c r="D2535" s="46" t="inlineStr">
        <is>
          <t>동양에프앤씨</t>
        </is>
      </c>
      <c r="E2535" s="46" t="n">
        <v>400</v>
      </c>
      <c r="F2535" s="46" t="inlineStr">
        <is>
          <t>도당동</t>
        </is>
      </c>
      <c r="G2535" s="50" t="n">
        <v>0.4791666666666667</v>
      </c>
      <c r="H2535" s="51" t="n">
        <v>703120</v>
      </c>
      <c r="I2535" s="46" t="inlineStr">
        <is>
          <t>민재홍</t>
        </is>
      </c>
      <c r="K2535" s="46" t="n">
        <v>2534</v>
      </c>
      <c r="L2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6">
      <c r="A2536" s="229" t="n">
        <v>46213</v>
      </c>
      <c r="B2536" s="46" t="inlineStr">
        <is>
          <t>정기검사</t>
        </is>
      </c>
      <c r="C2536" s="46" t="inlineStr">
        <is>
          <t>부천지역</t>
        </is>
      </c>
      <c r="D2536" s="46" t="inlineStr">
        <is>
          <t>경인BM</t>
        </is>
      </c>
      <c r="E2536" s="46" t="n">
        <v>250</v>
      </c>
      <c r="F2536" s="46" t="inlineStr">
        <is>
          <t>삼정동</t>
        </is>
      </c>
      <c r="G2536" s="50" t="n">
        <v>0.4791666666666667</v>
      </c>
      <c r="H2536" s="51" t="n">
        <v>489170</v>
      </c>
      <c r="I2536" s="46" t="inlineStr">
        <is>
          <t>허창수</t>
        </is>
      </c>
      <c r="K2536" s="46" t="n">
        <v>2535</v>
      </c>
      <c r="L2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7">
      <c r="A2537" s="229" t="n">
        <v>46213</v>
      </c>
      <c r="B2537" s="46" t="inlineStr">
        <is>
          <t>정기검사</t>
        </is>
      </c>
      <c r="C2537" s="46" t="inlineStr">
        <is>
          <t>부천지역</t>
        </is>
      </c>
      <c r="D2537" s="46" t="inlineStr">
        <is>
          <t>농협원미</t>
        </is>
      </c>
      <c r="E2537" s="46" t="n">
        <v>68</v>
      </c>
      <c r="F2537" s="46" t="inlineStr">
        <is>
          <t>원미동</t>
        </is>
      </c>
      <c r="G2537" s="50" t="n">
        <v>0.75</v>
      </c>
      <c r="H2537" s="51" t="n">
        <v>203720</v>
      </c>
      <c r="I2537" s="46" t="inlineStr">
        <is>
          <t>허창수</t>
        </is>
      </c>
      <c r="K2537" s="46" t="n">
        <v>2536</v>
      </c>
      <c r="L2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8">
      <c r="A2538" s="229" t="n">
        <v>46213</v>
      </c>
      <c r="B2538" s="46" t="inlineStr">
        <is>
          <t>정기검사</t>
        </is>
      </c>
      <c r="C2538" s="46" t="inlineStr">
        <is>
          <t>부천지역</t>
        </is>
      </c>
      <c r="D2538" s="46" t="inlineStr">
        <is>
          <t>새롬기업</t>
        </is>
      </c>
      <c r="E2538" s="46" t="n"/>
      <c r="F2538" s="46" t="inlineStr">
        <is>
          <t>오정동</t>
        </is>
      </c>
      <c r="G2538" s="50" t="n">
        <v>0.5</v>
      </c>
      <c r="H2538" s="51" t="n">
        <v>515130</v>
      </c>
      <c r="I2538" s="46" t="inlineStr">
        <is>
          <t>김영권</t>
        </is>
      </c>
      <c r="K2538" s="46" t="n">
        <v>2537</v>
      </c>
      <c r="L2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9">
      <c r="A2539" s="229" t="n">
        <v>46213</v>
      </c>
      <c r="B2539" s="46" t="inlineStr">
        <is>
          <t>정기검사</t>
        </is>
      </c>
      <c r="C2539" s="46" t="inlineStr">
        <is>
          <t>부천지역</t>
        </is>
      </c>
      <c r="D2539" s="46" t="inlineStr">
        <is>
          <t>상록복합타워</t>
        </is>
      </c>
      <c r="E2539" s="46" t="inlineStr">
        <is>
          <t>전기차</t>
        </is>
      </c>
      <c r="F2539" s="46" t="inlineStr">
        <is>
          <t>상동</t>
        </is>
      </c>
      <c r="G2539" s="50" t="n">
        <v>0.5833333333333334</v>
      </c>
      <c r="H2539" s="51" t="n">
        <v>72710</v>
      </c>
      <c r="I2539" s="46" t="inlineStr">
        <is>
          <t>김영권</t>
        </is>
      </c>
      <c r="K2539" s="46" t="n">
        <v>2538</v>
      </c>
      <c r="L2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0">
      <c r="A2540" s="229" t="n">
        <v>46213</v>
      </c>
      <c r="B2540" s="46" t="inlineStr">
        <is>
          <t>정기검사</t>
        </is>
      </c>
      <c r="C2540" s="46" t="inlineStr">
        <is>
          <t>김포지역</t>
        </is>
      </c>
      <c r="D2540" s="46" t="inlineStr">
        <is>
          <t>연금사</t>
        </is>
      </c>
      <c r="E2540" s="46" t="n">
        <v>350</v>
      </c>
      <c r="F2540" s="46" t="inlineStr">
        <is>
          <t>귀전리</t>
        </is>
      </c>
      <c r="G2540" s="50" t="n">
        <v>0.4791666666666667</v>
      </c>
      <c r="H2540" s="51" t="n">
        <v>686180</v>
      </c>
      <c r="I2540" s="46" t="inlineStr">
        <is>
          <t>이덕기</t>
        </is>
      </c>
      <c r="K2540" s="46" t="n">
        <v>2539</v>
      </c>
      <c r="L2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1">
      <c r="A2541" s="229" t="n">
        <v>46213</v>
      </c>
      <c r="B2541" s="46" t="inlineStr">
        <is>
          <t>정기검사</t>
        </is>
      </c>
      <c r="C2541" s="46" t="inlineStr">
        <is>
          <t>김포지역</t>
        </is>
      </c>
      <c r="D2541" s="46" t="inlineStr">
        <is>
          <t>대신유통</t>
        </is>
      </c>
      <c r="E2541" s="46" t="n">
        <v>750</v>
      </c>
      <c r="F2541" s="46" t="inlineStr">
        <is>
          <t>운양동</t>
        </is>
      </c>
      <c r="G2541" s="50" t="n">
        <v>0.4791666666666667</v>
      </c>
      <c r="H2541" s="51" t="n">
        <v>1069200</v>
      </c>
      <c r="I2541" s="46" t="inlineStr">
        <is>
          <t>변종국</t>
        </is>
      </c>
      <c r="K2541" s="46" t="n">
        <v>2540</v>
      </c>
      <c r="L2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2">
      <c r="A2542" s="229" t="n">
        <v>46213</v>
      </c>
      <c r="B2542" s="46" t="inlineStr">
        <is>
          <t>정기검사</t>
        </is>
      </c>
      <c r="C2542" s="46" t="inlineStr">
        <is>
          <t>김포지역</t>
        </is>
      </c>
      <c r="D2542" s="46" t="inlineStr">
        <is>
          <t>다솔인더스</t>
        </is>
      </c>
      <c r="E2542" s="46" t="n">
        <v>600</v>
      </c>
      <c r="F2542" s="46" t="inlineStr">
        <is>
          <t>전류리</t>
        </is>
      </c>
      <c r="G2542" s="50" t="n">
        <v>0.5625</v>
      </c>
      <c r="H2542" s="51" t="n">
        <v>770880</v>
      </c>
      <c r="I2542" s="46" t="inlineStr">
        <is>
          <t>당효진</t>
        </is>
      </c>
      <c r="K2542" s="46" t="n">
        <v>2541</v>
      </c>
      <c r="L2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3">
      <c r="A2543" s="229" t="n">
        <v>46213</v>
      </c>
      <c r="B2543" s="46" t="inlineStr">
        <is>
          <t>정기검사</t>
        </is>
      </c>
      <c r="C2543" s="46" t="inlineStr">
        <is>
          <t>김포지역</t>
        </is>
      </c>
      <c r="D2543" s="46" t="inlineStr">
        <is>
          <t>롱하우스</t>
        </is>
      </c>
      <c r="E2543" s="46" t="n">
        <v>200</v>
      </c>
      <c r="F2543" s="46" t="inlineStr">
        <is>
          <t>가현리</t>
        </is>
      </c>
      <c r="G2543" s="50" t="n">
        <v>0.4791666666666667</v>
      </c>
      <c r="H2543" s="51" t="n">
        <v>456720</v>
      </c>
      <c r="I2543" s="46" t="inlineStr">
        <is>
          <t>정신배</t>
        </is>
      </c>
      <c r="K2543" s="46" t="n">
        <v>2542</v>
      </c>
      <c r="L2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4">
      <c r="A2544" s="229" t="n">
        <v>46213</v>
      </c>
      <c r="B2544" s="46" t="inlineStr">
        <is>
          <t>정기검사</t>
        </is>
      </c>
      <c r="C2544" s="46" t="inlineStr">
        <is>
          <t>김포지역</t>
        </is>
      </c>
      <c r="D2544" s="46" t="inlineStr">
        <is>
          <t>페이퍼그린</t>
        </is>
      </c>
      <c r="E2544" s="46" t="n">
        <v>500</v>
      </c>
      <c r="F2544" s="46" t="inlineStr">
        <is>
          <t>귀전리</t>
        </is>
      </c>
      <c r="G2544" s="50" t="n">
        <v>0.5208333333333334</v>
      </c>
      <c r="H2544" s="51" t="n">
        <v>737000</v>
      </c>
      <c r="I2544" s="46" t="inlineStr">
        <is>
          <t>옹승완</t>
        </is>
      </c>
      <c r="K2544" s="46" t="n">
        <v>2543</v>
      </c>
      <c r="L2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5">
      <c r="A2545" s="229" t="n">
        <v>46213</v>
      </c>
      <c r="B2545" s="46" t="inlineStr">
        <is>
          <t>정기검사</t>
        </is>
      </c>
      <c r="C2545" s="46" t="inlineStr">
        <is>
          <t>김포지역</t>
        </is>
      </c>
      <c r="D2545" s="46" t="inlineStr">
        <is>
          <t>일웅폴라텍</t>
        </is>
      </c>
      <c r="E2545" s="46" t="n">
        <v>500</v>
      </c>
      <c r="F2545" s="46" t="inlineStr">
        <is>
          <t>군하리</t>
        </is>
      </c>
      <c r="G2545" s="50" t="n">
        <v>0.6666666666666666</v>
      </c>
      <c r="H2545" s="51" t="n">
        <v>737000</v>
      </c>
      <c r="I2545" s="46" t="inlineStr">
        <is>
          <t>허록종</t>
        </is>
      </c>
      <c r="K2545" s="46" t="n">
        <v>2544</v>
      </c>
      <c r="L2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6">
      <c r="A2546" s="229" t="n">
        <v>46213</v>
      </c>
      <c r="B2546" s="46" t="inlineStr">
        <is>
          <t>정기검사</t>
        </is>
      </c>
      <c r="C2546" s="46" t="inlineStr">
        <is>
          <t>김포지역</t>
        </is>
      </c>
      <c r="D2546" s="46" t="inlineStr">
        <is>
          <t>금와테크</t>
        </is>
      </c>
      <c r="E2546" s="46" t="n">
        <v>200</v>
      </c>
      <c r="F2546" s="46" t="inlineStr">
        <is>
          <t>가현리</t>
        </is>
      </c>
      <c r="G2546" s="50" t="n">
        <v>0.3958333333333333</v>
      </c>
      <c r="H2546" s="51" t="n">
        <v>456720</v>
      </c>
      <c r="I2546" s="46" t="inlineStr">
        <is>
          <t>정성관</t>
        </is>
      </c>
      <c r="K2546" s="46" t="n">
        <v>2545</v>
      </c>
      <c r="L2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7">
      <c r="A2547" s="229" t="n">
        <v>46213</v>
      </c>
      <c r="B2547" s="46" t="inlineStr">
        <is>
          <t>사용전검사</t>
        </is>
      </c>
      <c r="C2547" s="46" t="inlineStr">
        <is>
          <t>부천지역</t>
        </is>
      </c>
      <c r="D2547" s="46" t="inlineStr">
        <is>
          <t>대신프라자</t>
        </is>
      </c>
      <c r="E2547" s="46" t="n">
        <v>800</v>
      </c>
      <c r="F2547" s="46" t="inlineStr">
        <is>
          <t>송내동</t>
        </is>
      </c>
      <c r="G2547" s="50" t="n"/>
      <c r="H2547" s="51" t="n"/>
      <c r="I2547" s="46" t="inlineStr">
        <is>
          <t>서수형</t>
        </is>
      </c>
      <c r="K2547" s="46" t="n">
        <v>2546</v>
      </c>
      <c r="L2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8">
      <c r="A2548" s="229" t="n">
        <v>46213</v>
      </c>
      <c r="B2548" s="46" t="inlineStr">
        <is>
          <t>사용전검사</t>
        </is>
      </c>
      <c r="C2548" s="46" t="inlineStr">
        <is>
          <t>부천지역</t>
        </is>
      </c>
      <c r="D2548" s="46" t="inlineStr">
        <is>
          <t>신동훈</t>
        </is>
      </c>
      <c r="E2548" s="46" t="n">
        <v>15</v>
      </c>
      <c r="F2548" s="46" t="inlineStr">
        <is>
          <t>원종동</t>
        </is>
      </c>
      <c r="G2548" s="50" t="n"/>
      <c r="H2548" s="51" t="n"/>
      <c r="I2548" s="46" t="inlineStr">
        <is>
          <t>김영권</t>
        </is>
      </c>
      <c r="K2548" s="46" t="n">
        <v>2547</v>
      </c>
      <c r="L2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9">
      <c r="A2549" s="229" t="n">
        <v>46213</v>
      </c>
      <c r="B2549" s="46" t="inlineStr">
        <is>
          <t>사용전검사</t>
        </is>
      </c>
      <c r="C2549" s="46" t="inlineStr">
        <is>
          <t>김포지역</t>
        </is>
      </c>
      <c r="D2549" s="46" t="inlineStr">
        <is>
          <t>성보산업</t>
        </is>
      </c>
      <c r="E2549" s="46" t="n">
        <v>103</v>
      </c>
      <c r="F2549" s="46" t="inlineStr">
        <is>
          <t>대명리</t>
        </is>
      </c>
      <c r="G2549" s="50" t="n"/>
      <c r="H2549" s="51" t="n"/>
      <c r="I2549" s="46" t="inlineStr">
        <is>
          <t>정신배</t>
        </is>
      </c>
      <c r="K2549" s="46" t="n">
        <v>2548</v>
      </c>
      <c r="L2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0">
      <c r="A2550" s="229" t="n">
        <v>46213</v>
      </c>
      <c r="B2550" s="46" t="inlineStr">
        <is>
          <t>사용전검사</t>
        </is>
      </c>
      <c r="C2550" s="46" t="inlineStr">
        <is>
          <t>김포지역</t>
        </is>
      </c>
      <c r="D2550" s="46" t="inlineStr">
        <is>
          <t>창조</t>
        </is>
      </c>
      <c r="E2550" s="46" t="n">
        <v>67</v>
      </c>
      <c r="F2550" s="46" t="inlineStr">
        <is>
          <t>학운리</t>
        </is>
      </c>
      <c r="G2550" s="50" t="n"/>
      <c r="H2550" s="51" t="n"/>
      <c r="I2550" s="46" t="inlineStr">
        <is>
          <t>이덕기</t>
        </is>
      </c>
      <c r="K2550" s="46" t="n">
        <v>2549</v>
      </c>
      <c r="L2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1">
      <c r="A2551" s="229" t="n">
        <v>46213</v>
      </c>
      <c r="B2551" s="46" t="inlineStr">
        <is>
          <t>사용전검사</t>
        </is>
      </c>
      <c r="C2551" s="46" t="inlineStr">
        <is>
          <t>김포지역</t>
        </is>
      </c>
      <c r="D2551" s="46" t="inlineStr">
        <is>
          <t>김포시청</t>
        </is>
      </c>
      <c r="E2551" s="46" t="n">
        <v>2200</v>
      </c>
      <c r="F2551" s="46" t="inlineStr">
        <is>
          <t>구래동</t>
        </is>
      </c>
      <c r="G2551" s="50" t="n"/>
      <c r="H2551" s="51" t="n"/>
      <c r="I2551" s="46" t="inlineStr">
        <is>
          <t>이종석</t>
        </is>
      </c>
      <c r="K2551" s="46" t="n">
        <v>2550</v>
      </c>
      <c r="L2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2">
      <c r="A2552" s="229" t="n">
        <v>46213</v>
      </c>
      <c r="B2552" s="46" t="inlineStr">
        <is>
          <t>사용전검사</t>
        </is>
      </c>
      <c r="C2552" s="46" t="inlineStr">
        <is>
          <t>김포지역</t>
        </is>
      </c>
      <c r="D2552" s="46" t="inlineStr">
        <is>
          <t>엠제이테크</t>
        </is>
      </c>
      <c r="E2552" s="46" t="n">
        <v>140</v>
      </c>
      <c r="F2552" s="46" t="inlineStr">
        <is>
          <t>대명리</t>
        </is>
      </c>
      <c r="G2552" s="50" t="n"/>
      <c r="H2552" s="51" t="n"/>
      <c r="I2552" s="46" t="inlineStr">
        <is>
          <t>정성관</t>
        </is>
      </c>
      <c r="K2552" s="46" t="n">
        <v>2551</v>
      </c>
      <c r="L2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3">
      <c r="A2553" s="229" t="n">
        <v>46213</v>
      </c>
      <c r="B2553" s="46" t="inlineStr">
        <is>
          <t>사용전검사</t>
        </is>
      </c>
      <c r="C2553" s="46" t="inlineStr">
        <is>
          <t>김포지역</t>
        </is>
      </c>
      <c r="D2553" s="46" t="inlineStr">
        <is>
          <t>모햇2349태양광</t>
        </is>
      </c>
      <c r="E2553" s="46" t="n">
        <v>157.3</v>
      </c>
      <c r="F2553" s="46" t="inlineStr">
        <is>
          <t>학운리</t>
        </is>
      </c>
      <c r="G2553" s="50" t="n"/>
      <c r="H2553" s="51" t="n"/>
      <c r="I2553" s="46" t="inlineStr">
        <is>
          <t>정성관</t>
        </is>
      </c>
      <c r="K2553" s="46" t="n">
        <v>2552</v>
      </c>
      <c r="L2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4">
      <c r="A2554" s="229" t="n">
        <v>46213</v>
      </c>
      <c r="B2554" s="46" t="inlineStr">
        <is>
          <t>사용전검사</t>
        </is>
      </c>
      <c r="C2554" s="46" t="inlineStr">
        <is>
          <t>김포지역</t>
        </is>
      </c>
      <c r="D2554" s="46" t="inlineStr">
        <is>
          <t>에이원테니스</t>
        </is>
      </c>
      <c r="E2554" s="46" t="n">
        <v>90</v>
      </c>
      <c r="F2554" s="46" t="inlineStr">
        <is>
          <t>마곡리</t>
        </is>
      </c>
      <c r="G2554" s="50" t="n"/>
      <c r="H2554" s="51" t="n"/>
      <c r="I2554" s="46" t="n"/>
      <c r="K2554" s="46" t="n">
        <v>2553</v>
      </c>
      <c r="L2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5">
      <c r="A2555" s="229" t="n">
        <v>46214</v>
      </c>
      <c r="B2555" s="46" t="inlineStr">
        <is>
          <t>정기검사</t>
        </is>
      </c>
      <c r="C2555" s="46" t="inlineStr">
        <is>
          <t>부천지역</t>
        </is>
      </c>
      <c r="D2555" s="46" t="inlineStr">
        <is>
          <t>다성빌딩</t>
        </is>
      </c>
      <c r="E2555" s="46" t="inlineStr">
        <is>
          <t>550/209</t>
        </is>
      </c>
      <c r="F2555" s="46" t="inlineStr">
        <is>
          <t>상동</t>
        </is>
      </c>
      <c r="G2555" s="50" t="n">
        <v>0.3333333333333333</v>
      </c>
      <c r="H2555" s="51" t="n">
        <v>1238050</v>
      </c>
      <c r="I2555" s="46" t="inlineStr">
        <is>
          <t>허록종</t>
        </is>
      </c>
      <c r="K2555" s="46" t="n">
        <v>2554</v>
      </c>
      <c r="L2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6">
      <c r="A2556" s="229" t="n">
        <v>46214</v>
      </c>
      <c r="B2556" s="46" t="inlineStr">
        <is>
          <t>정기검사</t>
        </is>
      </c>
      <c r="C2556" s="46" t="inlineStr">
        <is>
          <t>김포지역</t>
        </is>
      </c>
      <c r="D2556" s="46" t="inlineStr">
        <is>
          <t>김포센트럴프라자</t>
        </is>
      </c>
      <c r="E2556" s="46" t="inlineStr">
        <is>
          <t>1300/364</t>
        </is>
      </c>
      <c r="F2556" s="46" t="inlineStr">
        <is>
          <t>구래동</t>
        </is>
      </c>
      <c r="G2556" s="50" t="n">
        <v>0.2916666666666667</v>
      </c>
      <c r="H2556" s="51" t="n">
        <v>1531750</v>
      </c>
      <c r="I2556" s="46" t="inlineStr">
        <is>
          <t>이종석</t>
        </is>
      </c>
      <c r="K2556" s="46" t="n">
        <v>2555</v>
      </c>
      <c r="L2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7">
      <c r="A2557" s="229" t="n">
        <v>46214</v>
      </c>
      <c r="B2557" s="46" t="inlineStr">
        <is>
          <t>정기검사</t>
        </is>
      </c>
      <c r="C2557" s="46" t="inlineStr">
        <is>
          <t>김포지역</t>
        </is>
      </c>
      <c r="D2557" s="46" t="inlineStr">
        <is>
          <t>한국씰마스타</t>
        </is>
      </c>
      <c r="E2557" s="46" t="n">
        <v>995</v>
      </c>
      <c r="F2557" s="46" t="inlineStr">
        <is>
          <t>송마리</t>
        </is>
      </c>
      <c r="G2557" s="50" t="n">
        <v>0.3958333333333333</v>
      </c>
      <c r="H2557" s="51" t="n">
        <v>1176010</v>
      </c>
      <c r="I2557" s="46" t="inlineStr">
        <is>
          <t>허창수</t>
        </is>
      </c>
      <c r="K2557" s="46" t="n">
        <v>2556</v>
      </c>
      <c r="L2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8">
      <c r="A2558" s="229" t="n">
        <v>46214</v>
      </c>
      <c r="B2558" s="46" t="inlineStr">
        <is>
          <t>정기검사</t>
        </is>
      </c>
      <c r="C2558" s="46" t="inlineStr">
        <is>
          <t>김포지역</t>
        </is>
      </c>
      <c r="D2558" s="46" t="inlineStr">
        <is>
          <t>서울세관</t>
        </is>
      </c>
      <c r="E2558" s="46" t="n">
        <v>300</v>
      </c>
      <c r="F2558" s="46" t="inlineStr">
        <is>
          <t>고촌</t>
        </is>
      </c>
      <c r="G2558" s="50" t="n">
        <v>0.3958333333333333</v>
      </c>
      <c r="H2558" s="51" t="n">
        <v>890450</v>
      </c>
      <c r="I2558" s="46" t="inlineStr">
        <is>
          <t>변종국</t>
        </is>
      </c>
      <c r="K2558" s="46" t="n">
        <v>2557</v>
      </c>
      <c r="L2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9">
      <c r="A2559" s="229" t="n">
        <v>46214</v>
      </c>
      <c r="B2559" s="46" t="inlineStr">
        <is>
          <t>정기검사</t>
        </is>
      </c>
      <c r="C2559" s="46" t="inlineStr">
        <is>
          <t>김포지역</t>
        </is>
      </c>
      <c r="D2559" s="46" t="inlineStr">
        <is>
          <t>이엠케이산업</t>
        </is>
      </c>
      <c r="E2559" s="46" t="n">
        <v>400</v>
      </c>
      <c r="F2559" s="46" t="inlineStr">
        <is>
          <t>송마리</t>
        </is>
      </c>
      <c r="G2559" s="50" t="n">
        <v>0.4791666666666667</v>
      </c>
      <c r="H2559" s="51" t="n">
        <v>913990</v>
      </c>
      <c r="I2559" s="46" t="inlineStr">
        <is>
          <t>옹승완</t>
        </is>
      </c>
      <c r="K2559" s="46" t="n">
        <v>2558</v>
      </c>
      <c r="L2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0">
      <c r="A2560" s="229" t="n">
        <v>46214</v>
      </c>
      <c r="B2560" s="46" t="inlineStr">
        <is>
          <t>메모</t>
        </is>
      </c>
      <c r="C2560" s="46" t="inlineStr">
        <is>
          <t>부천지역</t>
        </is>
      </c>
      <c r="D2560" s="46" t="inlineStr">
        <is>
          <t>김영권휴가</t>
        </is>
      </c>
      <c r="E2560" s="46" t="n"/>
      <c r="F2560" s="46" t="n"/>
      <c r="G2560" s="50" t="n"/>
      <c r="H2560" s="51" t="n"/>
      <c r="I2560" s="46" t="n"/>
      <c r="K2560" s="46" t="n">
        <v>2559</v>
      </c>
      <c r="L2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1">
      <c r="A2561" s="229" t="n">
        <v>46214</v>
      </c>
      <c r="B2561" s="46" t="inlineStr">
        <is>
          <t>메모</t>
        </is>
      </c>
      <c r="C2561" s="46" t="inlineStr">
        <is>
          <t>부천지역</t>
        </is>
      </c>
      <c r="D2561" s="46" t="inlineStr">
        <is>
          <t>이덕기휴가</t>
        </is>
      </c>
      <c r="E2561" s="46" t="n"/>
      <c r="F2561" s="46" t="n"/>
      <c r="G2561" s="50" t="n"/>
      <c r="H2561" s="51" t="n"/>
      <c r="I2561" s="46" t="n"/>
      <c r="K2561" s="46" t="n">
        <v>2560</v>
      </c>
      <c r="L2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2">
      <c r="A2562" s="229" t="n">
        <v>46214</v>
      </c>
      <c r="B2562" s="46" t="inlineStr">
        <is>
          <t>메모</t>
        </is>
      </c>
      <c r="C2562" s="46" t="inlineStr">
        <is>
          <t>부천지역</t>
        </is>
      </c>
      <c r="D2562" s="46" t="inlineStr">
        <is>
          <t>정성관휴가</t>
        </is>
      </c>
      <c r="E2562" s="46" t="n"/>
      <c r="F2562" s="46" t="n"/>
      <c r="G2562" s="50" t="n"/>
      <c r="H2562" s="51" t="n"/>
      <c r="I2562" s="46" t="n"/>
      <c r="K2562" s="46" t="n">
        <v>2561</v>
      </c>
      <c r="L2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3">
      <c r="A2563" s="229" t="n">
        <v>46214</v>
      </c>
      <c r="B2563" s="46" t="inlineStr">
        <is>
          <t>메모</t>
        </is>
      </c>
      <c r="C2563" s="46" t="inlineStr">
        <is>
          <t>부천지역</t>
        </is>
      </c>
      <c r="D2563" s="46" t="inlineStr">
        <is>
          <t>정신배휴가</t>
        </is>
      </c>
      <c r="E2563" s="46" t="n"/>
      <c r="F2563" s="46" t="n"/>
      <c r="G2563" s="50" t="n"/>
      <c r="H2563" s="51" t="n"/>
      <c r="I2563" s="46" t="n"/>
      <c r="K2563" s="46" t="n">
        <v>2562</v>
      </c>
      <c r="L2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4">
      <c r="A2564" s="229" t="n">
        <v>46214</v>
      </c>
      <c r="B2564" s="46" t="inlineStr">
        <is>
          <t>사용전검사</t>
        </is>
      </c>
      <c r="C2564" s="46" t="inlineStr">
        <is>
          <t>김포지역</t>
        </is>
      </c>
      <c r="D2564" s="46" t="inlineStr">
        <is>
          <t>세명이앤씨</t>
        </is>
      </c>
      <c r="E2564" s="46" t="n">
        <v>700</v>
      </c>
      <c r="F2564" s="46" t="inlineStr">
        <is>
          <t>대명리</t>
        </is>
      </c>
      <c r="G2564" s="50" t="n"/>
      <c r="H2564" s="51" t="n"/>
      <c r="I2564" s="46" t="inlineStr">
        <is>
          <t>옹승완</t>
        </is>
      </c>
      <c r="K2564" s="46" t="n">
        <v>2563</v>
      </c>
      <c r="L2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5">
      <c r="A2565" s="229" t="n">
        <v>46215</v>
      </c>
      <c r="B2565" s="46" t="inlineStr">
        <is>
          <t>메모</t>
        </is>
      </c>
      <c r="C2565" s="46" t="inlineStr">
        <is>
          <t>부천지역</t>
        </is>
      </c>
      <c r="D2565" s="46" t="inlineStr">
        <is>
          <t>정성관휴가</t>
        </is>
      </c>
      <c r="E2565" s="46" t="n"/>
      <c r="F2565" s="46" t="n"/>
      <c r="G2565" s="50" t="n"/>
      <c r="H2565" s="51" t="n"/>
      <c r="I2565" s="46" t="n"/>
      <c r="K2565" s="46" t="n">
        <v>2564</v>
      </c>
      <c r="L2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6">
      <c r="A2566" s="229" t="n">
        <v>46215</v>
      </c>
      <c r="B2566" s="46" t="inlineStr">
        <is>
          <t>메모</t>
        </is>
      </c>
      <c r="C2566" s="46" t="inlineStr">
        <is>
          <t>부천지역</t>
        </is>
      </c>
      <c r="D2566" s="46" t="inlineStr">
        <is>
          <t>이덕기휴가</t>
        </is>
      </c>
      <c r="E2566" s="46" t="n"/>
      <c r="F2566" s="46" t="n"/>
      <c r="G2566" s="50" t="n"/>
      <c r="H2566" s="51" t="n"/>
      <c r="I2566" s="46" t="n"/>
      <c r="K2566" s="46" t="n">
        <v>2565</v>
      </c>
      <c r="L2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7">
      <c r="A2567" s="229" t="n">
        <v>46216</v>
      </c>
      <c r="B2567" s="46" t="inlineStr">
        <is>
          <t>정기검사</t>
        </is>
      </c>
      <c r="C2567" s="46" t="inlineStr">
        <is>
          <t>부천지역</t>
        </is>
      </c>
      <c r="D2567" s="46" t="inlineStr">
        <is>
          <t>두소내</t>
        </is>
      </c>
      <c r="E2567" s="46" t="n">
        <v>200</v>
      </c>
      <c r="F2567" s="46" t="inlineStr">
        <is>
          <t>삼정동</t>
        </is>
      </c>
      <c r="G2567" s="50" t="n">
        <v>0.4791666666666667</v>
      </c>
      <c r="H2567" s="51" t="n">
        <v>456720</v>
      </c>
      <c r="I2567" s="46" t="inlineStr">
        <is>
          <t>정성관</t>
        </is>
      </c>
      <c r="K2567" s="46" t="n">
        <v>2566</v>
      </c>
      <c r="L2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8">
      <c r="A2568" s="229" t="n">
        <v>46216</v>
      </c>
      <c r="B2568" s="46" t="inlineStr">
        <is>
          <t>정기검사</t>
        </is>
      </c>
      <c r="C2568" s="46" t="inlineStr">
        <is>
          <t>부천지역</t>
        </is>
      </c>
      <c r="D2568" s="46" t="inlineStr">
        <is>
          <t>옥길유치원 태양광</t>
        </is>
      </c>
      <c r="E2568" s="46" t="n">
        <v>80.955</v>
      </c>
      <c r="F2568" s="46" t="inlineStr">
        <is>
          <t>범박동</t>
        </is>
      </c>
      <c r="G2568" s="50" t="n">
        <v>0.4583333333333333</v>
      </c>
      <c r="H2568" s="51" t="n">
        <v>235620</v>
      </c>
      <c r="I2568" s="46" t="inlineStr">
        <is>
          <t>민재홍</t>
        </is>
      </c>
      <c r="K2568" s="46" t="n">
        <v>2567</v>
      </c>
      <c r="L2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9">
      <c r="A2569" s="229" t="n">
        <v>46216</v>
      </c>
      <c r="B2569" s="46" t="inlineStr">
        <is>
          <t>정기검사</t>
        </is>
      </c>
      <c r="C2569" s="46" t="inlineStr">
        <is>
          <t>부천지역</t>
        </is>
      </c>
      <c r="D2569" s="46" t="inlineStr">
        <is>
          <t>삼미산업</t>
        </is>
      </c>
      <c r="E2569" s="46" t="n">
        <v>550</v>
      </c>
      <c r="F2569" s="46" t="inlineStr">
        <is>
          <t>오정동</t>
        </is>
      </c>
      <c r="G2569" s="50" t="n">
        <v>0.4166666666666667</v>
      </c>
      <c r="H2569" s="51" t="n">
        <v>753940</v>
      </c>
      <c r="I2569" s="46" t="inlineStr">
        <is>
          <t>한태희</t>
        </is>
      </c>
      <c r="K2569" s="46" t="n">
        <v>2568</v>
      </c>
      <c r="L2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0">
      <c r="A2570" s="229" t="n">
        <v>46216</v>
      </c>
      <c r="B2570" s="46" t="inlineStr">
        <is>
          <t>정기검사</t>
        </is>
      </c>
      <c r="C2570" s="46" t="inlineStr">
        <is>
          <t>부천지역</t>
        </is>
      </c>
      <c r="D2570" s="46" t="inlineStr">
        <is>
          <t>광명폴리머</t>
        </is>
      </c>
      <c r="E2570" s="46" t="n">
        <v>290</v>
      </c>
      <c r="F2570" s="46" t="inlineStr">
        <is>
          <t>도당동</t>
        </is>
      </c>
      <c r="G2570" s="50" t="n">
        <v>0.5</v>
      </c>
      <c r="H2570" s="51" t="n">
        <v>515130</v>
      </c>
      <c r="I2570" s="46" t="inlineStr">
        <is>
          <t>송낙명</t>
        </is>
      </c>
      <c r="K2570" s="46" t="n">
        <v>2569</v>
      </c>
      <c r="L2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1">
      <c r="A2571" s="229" t="n">
        <v>46216</v>
      </c>
      <c r="B2571" s="46" t="inlineStr">
        <is>
          <t>정기검사</t>
        </is>
      </c>
      <c r="C2571" s="46" t="inlineStr">
        <is>
          <t>부천지역</t>
        </is>
      </c>
      <c r="D2571" s="46" t="inlineStr">
        <is>
          <t>우진하이테크</t>
        </is>
      </c>
      <c r="E2571" s="46" t="n">
        <v>500</v>
      </c>
      <c r="F2571" s="46" t="inlineStr">
        <is>
          <t>오정동</t>
        </is>
      </c>
      <c r="G2571" s="50" t="n">
        <v>0.6041666666666666</v>
      </c>
      <c r="H2571" s="51" t="n">
        <v>531410</v>
      </c>
      <c r="I2571" s="46" t="inlineStr">
        <is>
          <t>정신배</t>
        </is>
      </c>
      <c r="K2571" s="46" t="n">
        <v>2570</v>
      </c>
      <c r="L2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2">
      <c r="A2572" s="229" t="n">
        <v>46216</v>
      </c>
      <c r="B2572" s="46" t="inlineStr">
        <is>
          <t>정기검사</t>
        </is>
      </c>
      <c r="C2572" s="46" t="inlineStr">
        <is>
          <t>김포지역</t>
        </is>
      </c>
      <c r="D2572" s="46" t="inlineStr">
        <is>
          <t>원봉</t>
        </is>
      </c>
      <c r="E2572" s="46" t="n">
        <v>295</v>
      </c>
      <c r="F2572" s="46" t="inlineStr">
        <is>
          <t>도사리</t>
        </is>
      </c>
      <c r="G2572" s="50" t="n">
        <v>0.5416666666666666</v>
      </c>
      <c r="H2572" s="51" t="n">
        <v>518430</v>
      </c>
      <c r="I2572" s="46" t="inlineStr">
        <is>
          <t>이종석</t>
        </is>
      </c>
      <c r="K2572" s="46" t="n">
        <v>2571</v>
      </c>
      <c r="L2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3">
      <c r="A2573" s="229" t="n">
        <v>46216</v>
      </c>
      <c r="B2573" s="46" t="inlineStr">
        <is>
          <t>정기검사</t>
        </is>
      </c>
      <c r="C2573" s="46" t="inlineStr">
        <is>
          <t>김포지역</t>
        </is>
      </c>
      <c r="D2573" s="46" t="inlineStr">
        <is>
          <t>동천태양광</t>
        </is>
      </c>
      <c r="E2573" s="46" t="n">
        <v>997.92</v>
      </c>
      <c r="F2573" s="46" t="inlineStr">
        <is>
          <t>고양리</t>
        </is>
      </c>
      <c r="G2573" s="50" t="n">
        <v>0.4166666666666667</v>
      </c>
      <c r="H2573" s="51" t="n">
        <v>1374670</v>
      </c>
      <c r="I2573" s="46" t="inlineStr">
        <is>
          <t>변종국</t>
        </is>
      </c>
      <c r="K2573" s="46" t="n">
        <v>2572</v>
      </c>
      <c r="L2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4">
      <c r="A2574" s="229" t="n">
        <v>46216</v>
      </c>
      <c r="B2574" s="46" t="inlineStr">
        <is>
          <t>정기검사</t>
        </is>
      </c>
      <c r="C2574" s="46" t="inlineStr">
        <is>
          <t>김포지역</t>
        </is>
      </c>
      <c r="D2574" s="46" t="inlineStr">
        <is>
          <t>봉황기업</t>
        </is>
      </c>
      <c r="E2574" s="46" t="n">
        <v>280</v>
      </c>
      <c r="F2574" s="46" t="inlineStr">
        <is>
          <t>풍무동</t>
        </is>
      </c>
      <c r="G2574" s="50" t="n">
        <v>0.5833333333333334</v>
      </c>
      <c r="H2574" s="51" t="n">
        <v>508640</v>
      </c>
      <c r="I2574" s="46" t="inlineStr">
        <is>
          <t>옹승완</t>
        </is>
      </c>
      <c r="K2574" s="46" t="n">
        <v>2573</v>
      </c>
      <c r="L2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5">
      <c r="A2575" s="229" t="n">
        <v>46216</v>
      </c>
      <c r="B2575" s="46" t="inlineStr">
        <is>
          <t>정기검사</t>
        </is>
      </c>
      <c r="C2575" s="46" t="inlineStr">
        <is>
          <t>김포지역</t>
        </is>
      </c>
      <c r="D2575" s="46" t="inlineStr">
        <is>
          <t>김포컨벤센</t>
        </is>
      </c>
      <c r="E2575" s="46" t="inlineStr">
        <is>
          <t>전기차</t>
        </is>
      </c>
      <c r="F2575" s="46" t="inlineStr">
        <is>
          <t>북변동</t>
        </is>
      </c>
      <c r="G2575" s="50" t="n">
        <v>0.3958333333333333</v>
      </c>
      <c r="H2575" s="51" t="n">
        <v>64240</v>
      </c>
      <c r="I2575" s="46" t="inlineStr">
        <is>
          <t>옹승완</t>
        </is>
      </c>
      <c r="K2575" s="46" t="n">
        <v>2574</v>
      </c>
      <c r="L2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6">
      <c r="A2576" s="229" t="n">
        <v>46216</v>
      </c>
      <c r="B2576" s="46" t="inlineStr">
        <is>
          <t>정기검사</t>
        </is>
      </c>
      <c r="C2576" s="46" t="inlineStr">
        <is>
          <t>김포지역</t>
        </is>
      </c>
      <c r="D2576" s="46" t="inlineStr">
        <is>
          <t>동양기전</t>
        </is>
      </c>
      <c r="E2576" s="46" t="n">
        <v>290</v>
      </c>
      <c r="F2576" s="46" t="inlineStr">
        <is>
          <t>학운리</t>
        </is>
      </c>
      <c r="G2576" s="50" t="inlineStr">
        <is>
          <t>아무때나</t>
        </is>
      </c>
      <c r="H2576" s="51" t="n">
        <v>515130</v>
      </c>
      <c r="I2576" s="46" t="inlineStr">
        <is>
          <t>당효진</t>
        </is>
      </c>
      <c r="K2576" s="46" t="n">
        <v>2575</v>
      </c>
      <c r="L2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7">
      <c r="A2577" s="229" t="n">
        <v>46216</v>
      </c>
      <c r="B2577" s="46" t="inlineStr">
        <is>
          <t>정기검사</t>
        </is>
      </c>
      <c r="C2577" s="46" t="inlineStr">
        <is>
          <t>김포지역</t>
        </is>
      </c>
      <c r="D2577" s="46" t="inlineStr">
        <is>
          <t>운양프라자</t>
        </is>
      </c>
      <c r="E2577" s="46" t="inlineStr">
        <is>
          <t>1200/273</t>
        </is>
      </c>
      <c r="F2577" s="46" t="inlineStr">
        <is>
          <t>운양동</t>
        </is>
      </c>
      <c r="G2577" s="50" t="n">
        <v>0.3958333333333333</v>
      </c>
      <c r="H2577" s="51" t="n">
        <v>1153020</v>
      </c>
      <c r="I2577" s="46" t="inlineStr">
        <is>
          <t>허록종</t>
        </is>
      </c>
      <c r="K2577" s="46" t="n">
        <v>2576</v>
      </c>
      <c r="L2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8">
      <c r="A2578" s="229" t="n">
        <v>46216</v>
      </c>
      <c r="B2578" s="46" t="inlineStr">
        <is>
          <t>정기검사</t>
        </is>
      </c>
      <c r="C2578" s="46" t="inlineStr">
        <is>
          <t>김포지역</t>
        </is>
      </c>
      <c r="D2578" s="46" t="inlineStr">
        <is>
          <t>모던태양광</t>
        </is>
      </c>
      <c r="E2578" s="46" t="n">
        <v>195</v>
      </c>
      <c r="F2578" s="46" t="inlineStr">
        <is>
          <t>학운리</t>
        </is>
      </c>
      <c r="G2578" s="50" t="n">
        <v>0.4375</v>
      </c>
      <c r="H2578" s="51" t="n">
        <v>355960</v>
      </c>
      <c r="I2578" s="46" t="inlineStr">
        <is>
          <t>서수형</t>
        </is>
      </c>
      <c r="K2578" s="46" t="n">
        <v>2577</v>
      </c>
      <c r="L2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9">
      <c r="A2579" s="229" t="n">
        <v>46216</v>
      </c>
      <c r="B2579" s="46" t="inlineStr">
        <is>
          <t>정기검사</t>
        </is>
      </c>
      <c r="C2579" s="46" t="inlineStr">
        <is>
          <t>김포지역</t>
        </is>
      </c>
      <c r="D2579" s="46" t="inlineStr">
        <is>
          <t>박동수</t>
        </is>
      </c>
      <c r="E2579" s="46" t="n">
        <v>295</v>
      </c>
      <c r="F2579" s="46" t="inlineStr">
        <is>
          <t>석정리</t>
        </is>
      </c>
      <c r="G2579" s="50" t="n"/>
      <c r="H2579" s="51" t="n">
        <v>518430</v>
      </c>
      <c r="I2579" s="46" t="inlineStr">
        <is>
          <t>허록종</t>
        </is>
      </c>
      <c r="K2579" s="46" t="n">
        <v>2578</v>
      </c>
      <c r="L2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0">
      <c r="A2580" s="229" t="n">
        <v>46216</v>
      </c>
      <c r="B2580" s="46" t="inlineStr">
        <is>
          <t>사용전검사</t>
        </is>
      </c>
      <c r="C2580" s="46" t="inlineStr">
        <is>
          <t>부천지역</t>
        </is>
      </c>
      <c r="D2580" s="46" t="inlineStr">
        <is>
          <t>38소갈비살</t>
        </is>
      </c>
      <c r="E2580" s="46" t="n">
        <v>80</v>
      </c>
      <c r="F2580" s="46" t="inlineStr">
        <is>
          <t>중동</t>
        </is>
      </c>
      <c r="G2580" s="50" t="n"/>
      <c r="H2580" s="51" t="n"/>
      <c r="I2580" s="46" t="inlineStr">
        <is>
          <t>한태희</t>
        </is>
      </c>
      <c r="K2580" s="46" t="n">
        <v>2579</v>
      </c>
      <c r="L2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1">
      <c r="A2581" s="229" t="n">
        <v>46216</v>
      </c>
      <c r="B2581" s="46" t="inlineStr">
        <is>
          <t>사용전검사</t>
        </is>
      </c>
      <c r="C2581" s="46" t="inlineStr">
        <is>
          <t>부천지역</t>
        </is>
      </c>
      <c r="D2581" s="46" t="inlineStr">
        <is>
          <t>이윤수</t>
        </is>
      </c>
      <c r="E2581" s="46" t="n">
        <v>8</v>
      </c>
      <c r="F2581" s="46" t="inlineStr">
        <is>
          <t>성곡동</t>
        </is>
      </c>
      <c r="G2581" s="50" t="n"/>
      <c r="H2581" s="51" t="n"/>
      <c r="I2581" s="46" t="inlineStr">
        <is>
          <t>김영권</t>
        </is>
      </c>
      <c r="K2581" s="46" t="n">
        <v>2580</v>
      </c>
      <c r="L2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2">
      <c r="A2582" s="229" t="n">
        <v>46216</v>
      </c>
      <c r="B2582" s="46" t="inlineStr">
        <is>
          <t>사용전검사</t>
        </is>
      </c>
      <c r="C2582" s="46" t="inlineStr">
        <is>
          <t>부천지역</t>
        </is>
      </c>
      <c r="D2582" s="46" t="inlineStr">
        <is>
          <t>박윤주</t>
        </is>
      </c>
      <c r="E2582" s="46" t="n">
        <v>15</v>
      </c>
      <c r="F2582" s="46" t="inlineStr">
        <is>
          <t>원종동</t>
        </is>
      </c>
      <c r="G2582" s="50" t="n"/>
      <c r="H2582" s="51" t="n"/>
      <c r="I2582" s="46" t="inlineStr">
        <is>
          <t>정신배</t>
        </is>
      </c>
      <c r="K2582" s="46" t="n">
        <v>2581</v>
      </c>
      <c r="L2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3">
      <c r="A2583" s="229" t="n">
        <v>46216</v>
      </c>
      <c r="B2583" s="46" t="inlineStr">
        <is>
          <t>사용전검사</t>
        </is>
      </c>
      <c r="C2583" s="46" t="inlineStr">
        <is>
          <t>김포지역</t>
        </is>
      </c>
      <c r="D2583" s="46" t="inlineStr">
        <is>
          <t>이아이엘</t>
        </is>
      </c>
      <c r="E2583" s="46" t="n">
        <v>152</v>
      </c>
      <c r="F2583" s="46" t="inlineStr">
        <is>
          <t>학운리</t>
        </is>
      </c>
      <c r="G2583" s="50" t="n"/>
      <c r="H2583" s="51" t="n"/>
      <c r="I2583" s="46" t="inlineStr">
        <is>
          <t>허창수</t>
        </is>
      </c>
      <c r="K2583" s="46" t="n">
        <v>2582</v>
      </c>
      <c r="L2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4">
      <c r="A2584" s="229" t="n">
        <v>46216</v>
      </c>
      <c r="B2584" s="46" t="inlineStr">
        <is>
          <t>사용전검사</t>
        </is>
      </c>
      <c r="C2584" s="46" t="inlineStr">
        <is>
          <t>김포지역</t>
        </is>
      </c>
      <c r="D2584" s="46" t="inlineStr">
        <is>
          <t>바오르</t>
        </is>
      </c>
      <c r="E2584" s="46" t="n">
        <v>8</v>
      </c>
      <c r="F2584" s="46" t="inlineStr">
        <is>
          <t>마송리</t>
        </is>
      </c>
      <c r="G2584" s="50" t="n"/>
      <c r="H2584" s="51" t="n"/>
      <c r="I2584" s="46" t="inlineStr">
        <is>
          <t>변종국</t>
        </is>
      </c>
      <c r="K2584" s="46" t="n">
        <v>2583</v>
      </c>
      <c r="L2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5">
      <c r="A2585" s="229" t="n">
        <v>46216</v>
      </c>
      <c r="B2585" s="46" t="inlineStr">
        <is>
          <t>사용전검사</t>
        </is>
      </c>
      <c r="C2585" s="46" t="inlineStr">
        <is>
          <t>김포지역</t>
        </is>
      </c>
      <c r="D2585" s="46" t="inlineStr">
        <is>
          <t>아우룸헤어</t>
        </is>
      </c>
      <c r="E2585" s="46" t="n">
        <v>15</v>
      </c>
      <c r="F2585" s="46" t="inlineStr">
        <is>
          <t>풍무동</t>
        </is>
      </c>
      <c r="G2585" s="50" t="n"/>
      <c r="H2585" s="51" t="n"/>
      <c r="I2585" s="46" t="inlineStr">
        <is>
          <t>이덕기</t>
        </is>
      </c>
      <c r="K2585" s="46" t="n">
        <v>2584</v>
      </c>
      <c r="L2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6">
      <c r="A2586" s="229" t="n">
        <v>46217</v>
      </c>
      <c r="B2586" s="46" t="inlineStr">
        <is>
          <t>정기검사</t>
        </is>
      </c>
      <c r="C2586" s="46" t="inlineStr">
        <is>
          <t>부천지역</t>
        </is>
      </c>
      <c r="D2586" s="46" t="inlineStr">
        <is>
          <t>현대프라자</t>
        </is>
      </c>
      <c r="E2586" s="46" t="n">
        <v>250</v>
      </c>
      <c r="F2586" s="46" t="inlineStr">
        <is>
          <t>상동</t>
        </is>
      </c>
      <c r="G2586" s="50" t="n">
        <v>0.3958333333333333</v>
      </c>
      <c r="H2586" s="51" t="n">
        <v>489170</v>
      </c>
      <c r="I2586" s="46" t="inlineStr">
        <is>
          <t>이종석</t>
        </is>
      </c>
      <c r="K2586" s="46" t="n">
        <v>2585</v>
      </c>
      <c r="L2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7">
      <c r="A2587" s="229" t="n">
        <v>46217</v>
      </c>
      <c r="B2587" s="46" t="inlineStr">
        <is>
          <t>정기검사</t>
        </is>
      </c>
      <c r="C2587" s="46" t="inlineStr">
        <is>
          <t>김포지역</t>
        </is>
      </c>
      <c r="D2587" s="46" t="inlineStr">
        <is>
          <t>동양파라곤</t>
        </is>
      </c>
      <c r="E2587" s="46" t="inlineStr">
        <is>
          <t>전기차</t>
        </is>
      </c>
      <c r="F2587" s="46" t="inlineStr">
        <is>
          <t>북변동</t>
        </is>
      </c>
      <c r="G2587" s="50" t="n">
        <v>0.4166666666666667</v>
      </c>
      <c r="H2587" s="51" t="n">
        <v>98120</v>
      </c>
      <c r="I2587" s="46" t="inlineStr">
        <is>
          <t>허록종</t>
        </is>
      </c>
      <c r="K2587" s="46" t="n">
        <v>2586</v>
      </c>
      <c r="L2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8">
      <c r="A2588" s="229" t="n">
        <v>46217</v>
      </c>
      <c r="B2588" s="46" t="inlineStr">
        <is>
          <t>정기검사</t>
        </is>
      </c>
      <c r="C2588" s="46" t="inlineStr">
        <is>
          <t>김포지역</t>
        </is>
      </c>
      <c r="D2588" s="46" t="inlineStr">
        <is>
          <t>동양파라곤</t>
        </is>
      </c>
      <c r="E2588" s="46" t="inlineStr">
        <is>
          <t>800/159</t>
        </is>
      </c>
      <c r="F2588" s="46" t="inlineStr">
        <is>
          <t>북변동</t>
        </is>
      </c>
      <c r="G2588" s="50" t="n">
        <v>0.4166666666666667</v>
      </c>
      <c r="H2588" s="51" t="n">
        <v>1022230</v>
      </c>
      <c r="I2588" s="46" t="inlineStr">
        <is>
          <t>허록종</t>
        </is>
      </c>
      <c r="K2588" s="46" t="n">
        <v>2587</v>
      </c>
      <c r="L2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9">
      <c r="A2589" s="229" t="n">
        <v>46217</v>
      </c>
      <c r="B2589" s="46" t="inlineStr">
        <is>
          <t>정기검사</t>
        </is>
      </c>
      <c r="C2589" s="46" t="inlineStr">
        <is>
          <t>김포지역</t>
        </is>
      </c>
      <c r="D2589" s="46" t="inlineStr">
        <is>
          <t>우진산업</t>
        </is>
      </c>
      <c r="E2589" s="46" t="n">
        <v>500</v>
      </c>
      <c r="F2589" s="46" t="inlineStr">
        <is>
          <t>갈산리</t>
        </is>
      </c>
      <c r="G2589" s="50" t="n">
        <v>0.4583333333333333</v>
      </c>
      <c r="H2589" s="51" t="n">
        <v>737000</v>
      </c>
      <c r="I2589" s="46" t="inlineStr">
        <is>
          <t>서수형</t>
        </is>
      </c>
      <c r="K2589" s="46" t="n">
        <v>2588</v>
      </c>
      <c r="L2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0">
      <c r="A2590" s="229" t="n">
        <v>46217</v>
      </c>
      <c r="B2590" s="46" t="inlineStr">
        <is>
          <t>정기검사</t>
        </is>
      </c>
      <c r="C2590" s="46" t="inlineStr">
        <is>
          <t>김포지역</t>
        </is>
      </c>
      <c r="D2590" s="46" t="inlineStr">
        <is>
          <t>따벨라</t>
        </is>
      </c>
      <c r="E2590" s="46" t="n">
        <v>200</v>
      </c>
      <c r="F2590" s="46" t="inlineStr">
        <is>
          <t>학운리</t>
        </is>
      </c>
      <c r="G2590" s="50" t="n">
        <v>0.4583333333333333</v>
      </c>
      <c r="H2590" s="51" t="n">
        <v>456720</v>
      </c>
      <c r="I2590" s="46" t="inlineStr">
        <is>
          <t>김영권</t>
        </is>
      </c>
      <c r="K2590" s="46" t="n">
        <v>2589</v>
      </c>
      <c r="L2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1">
      <c r="A2591" s="229" t="n">
        <v>46217</v>
      </c>
      <c r="B2591" s="46" t="inlineStr">
        <is>
          <t>정기검사</t>
        </is>
      </c>
      <c r="C2591" s="46" t="inlineStr">
        <is>
          <t>김포지역</t>
        </is>
      </c>
      <c r="D2591" s="46" t="inlineStr">
        <is>
          <t>성원팩</t>
        </is>
      </c>
      <c r="E2591" s="46" t="n">
        <v>290</v>
      </c>
      <c r="F2591" s="46" t="inlineStr">
        <is>
          <t>송마리</t>
        </is>
      </c>
      <c r="G2591" s="50" t="n">
        <v>0.4791666666666667</v>
      </c>
      <c r="H2591" s="51" t="n">
        <v>515130</v>
      </c>
      <c r="I2591" s="46" t="inlineStr">
        <is>
          <t>옹승완</t>
        </is>
      </c>
      <c r="K2591" s="46" t="n">
        <v>2590</v>
      </c>
      <c r="L2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2">
      <c r="A2592" s="229" t="n">
        <v>46217</v>
      </c>
      <c r="B2592" s="46" t="inlineStr">
        <is>
          <t>사용전검사</t>
        </is>
      </c>
      <c r="C2592" s="46" t="inlineStr">
        <is>
          <t>부천지역</t>
        </is>
      </c>
      <c r="D2592" s="46" t="inlineStr">
        <is>
          <t>셀러리아</t>
        </is>
      </c>
      <c r="E2592" s="46" t="n">
        <v>15</v>
      </c>
      <c r="F2592" s="46" t="inlineStr">
        <is>
          <t>소사동</t>
        </is>
      </c>
      <c r="G2592" s="50" t="n"/>
      <c r="H2592" s="51" t="n"/>
      <c r="I2592" s="46" t="inlineStr">
        <is>
          <t>변종국</t>
        </is>
      </c>
      <c r="K2592" s="46" t="n">
        <v>2591</v>
      </c>
      <c r="L2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3">
      <c r="A2593" s="229" t="n">
        <v>46217</v>
      </c>
      <c r="B2593" s="46" t="inlineStr">
        <is>
          <t>메모</t>
        </is>
      </c>
      <c r="C2593" s="46" t="inlineStr">
        <is>
          <t>부천지역</t>
        </is>
      </c>
      <c r="D2593" s="46" t="inlineStr">
        <is>
          <t>정성관휴가</t>
        </is>
      </c>
      <c r="E2593" s="46" t="n"/>
      <c r="F2593" s="46" t="n"/>
      <c r="G2593" s="50" t="n"/>
      <c r="H2593" s="51" t="n"/>
      <c r="I2593" s="46" t="n"/>
      <c r="K2593" s="46" t="n">
        <v>2592</v>
      </c>
      <c r="L2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4">
      <c r="A2594" s="229" t="n">
        <v>46217</v>
      </c>
      <c r="B2594" s="46" t="inlineStr">
        <is>
          <t>메모</t>
        </is>
      </c>
      <c r="C2594" s="46" t="inlineStr">
        <is>
          <t>부천지역</t>
        </is>
      </c>
      <c r="D2594" s="46" t="inlineStr">
        <is>
          <t>변종국오후반차</t>
        </is>
      </c>
      <c r="E2594" s="46" t="n"/>
      <c r="F2594" s="46" t="n"/>
      <c r="G2594" s="50" t="n"/>
      <c r="H2594" s="51" t="n"/>
      <c r="I2594" s="46" t="n"/>
      <c r="K2594" s="46" t="n">
        <v>2593</v>
      </c>
      <c r="L2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5">
      <c r="A2595" s="229" t="n">
        <v>46217</v>
      </c>
      <c r="B2595" s="46" t="inlineStr">
        <is>
          <t>사용전검사</t>
        </is>
      </c>
      <c r="C2595" s="46" t="inlineStr">
        <is>
          <t>김포지역</t>
        </is>
      </c>
      <c r="D2595" s="46" t="inlineStr">
        <is>
          <t>와이지</t>
        </is>
      </c>
      <c r="E2595" s="46" t="n">
        <v>135</v>
      </c>
      <c r="F2595" s="46" t="inlineStr">
        <is>
          <t>학운리</t>
        </is>
      </c>
      <c r="G2595" s="50" t="n"/>
      <c r="H2595" s="51" t="n"/>
      <c r="I2595" s="46" t="inlineStr">
        <is>
          <t>민재홍</t>
        </is>
      </c>
      <c r="K2595" s="46" t="n">
        <v>2594</v>
      </c>
      <c r="L2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6">
      <c r="A2596" s="229" t="n">
        <v>46217</v>
      </c>
      <c r="B2596" s="46" t="inlineStr">
        <is>
          <t>사용전검사</t>
        </is>
      </c>
      <c r="C2596" s="46" t="inlineStr">
        <is>
          <t>김포지역</t>
        </is>
      </c>
      <c r="D2596" s="46" t="inlineStr">
        <is>
          <t>에이아트</t>
        </is>
      </c>
      <c r="E2596" s="46" t="n">
        <v>166.4</v>
      </c>
      <c r="F2596" s="46" t="inlineStr">
        <is>
          <t>양택리</t>
        </is>
      </c>
      <c r="G2596" s="50" t="n"/>
      <c r="H2596" s="51" t="n"/>
      <c r="I2596" s="46" t="inlineStr">
        <is>
          <t>정신배</t>
        </is>
      </c>
      <c r="K2596" s="46" t="n">
        <v>2595</v>
      </c>
      <c r="L2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7">
      <c r="A2597" s="229" t="n">
        <v>46217</v>
      </c>
      <c r="B2597" s="46" t="inlineStr">
        <is>
          <t>사용전검사</t>
        </is>
      </c>
      <c r="C2597" s="46" t="inlineStr">
        <is>
          <t>김포지역</t>
        </is>
      </c>
      <c r="D2597" s="46" t="inlineStr">
        <is>
          <t>에이아트</t>
        </is>
      </c>
      <c r="E2597" s="46" t="n">
        <v>167.4</v>
      </c>
      <c r="F2597" s="46" t="inlineStr">
        <is>
          <t>양택리</t>
        </is>
      </c>
      <c r="G2597" s="50" t="n"/>
      <c r="H2597" s="51" t="n"/>
      <c r="I2597" s="46" t="inlineStr">
        <is>
          <t>정신배</t>
        </is>
      </c>
      <c r="K2597" s="46" t="n">
        <v>2596</v>
      </c>
      <c r="L2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8">
      <c r="A2598" s="229" t="n">
        <v>46217</v>
      </c>
      <c r="B2598" s="46" t="inlineStr">
        <is>
          <t>사용전검사</t>
        </is>
      </c>
      <c r="C2598" s="46" t="inlineStr">
        <is>
          <t>김포지역</t>
        </is>
      </c>
      <c r="D2598" s="46" t="inlineStr">
        <is>
          <t>에이아트</t>
        </is>
      </c>
      <c r="E2598" s="46" t="n">
        <v>168.4</v>
      </c>
      <c r="F2598" s="46" t="inlineStr">
        <is>
          <t>양택리</t>
        </is>
      </c>
      <c r="G2598" s="50" t="n"/>
      <c r="H2598" s="51" t="n"/>
      <c r="I2598" s="46" t="inlineStr">
        <is>
          <t>정신배</t>
        </is>
      </c>
      <c r="K2598" s="46" t="n">
        <v>2597</v>
      </c>
      <c r="L2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9">
      <c r="A2599" s="229" t="n">
        <v>46217</v>
      </c>
      <c r="B2599" s="46" t="inlineStr">
        <is>
          <t>사용전검사</t>
        </is>
      </c>
      <c r="C2599" s="46" t="inlineStr">
        <is>
          <t>김포지역</t>
        </is>
      </c>
      <c r="D2599" s="46" t="inlineStr">
        <is>
          <t>에이아트</t>
        </is>
      </c>
      <c r="E2599" s="46" t="n">
        <v>169.4</v>
      </c>
      <c r="F2599" s="46" t="inlineStr">
        <is>
          <t>양택리</t>
        </is>
      </c>
      <c r="G2599" s="50" t="n"/>
      <c r="H2599" s="51" t="n"/>
      <c r="I2599" s="46" t="inlineStr">
        <is>
          <t>정신배</t>
        </is>
      </c>
      <c r="K2599" s="46" t="n">
        <v>2598</v>
      </c>
      <c r="L2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0">
      <c r="A2600" s="229" t="n">
        <v>46217</v>
      </c>
      <c r="B2600" s="46" t="inlineStr">
        <is>
          <t>사용전검사</t>
        </is>
      </c>
      <c r="C2600" s="46" t="inlineStr">
        <is>
          <t>김포지역</t>
        </is>
      </c>
      <c r="D2600" s="46" t="inlineStr">
        <is>
          <t>대한상사</t>
        </is>
      </c>
      <c r="E2600" s="46" t="n">
        <v>89</v>
      </c>
      <c r="F2600" s="46" t="inlineStr">
        <is>
          <t>원산리</t>
        </is>
      </c>
      <c r="G2600" s="50" t="n"/>
      <c r="H2600" s="51" t="n"/>
      <c r="I2600" s="46" t="inlineStr">
        <is>
          <t>허창수</t>
        </is>
      </c>
      <c r="K2600" s="46" t="n">
        <v>2599</v>
      </c>
      <c r="L2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1">
      <c r="A2601" s="229" t="n">
        <v>46217</v>
      </c>
      <c r="B2601" s="46" t="inlineStr">
        <is>
          <t>사용전검사</t>
        </is>
      </c>
      <c r="C2601" s="46" t="inlineStr">
        <is>
          <t>김포지역</t>
        </is>
      </c>
      <c r="D2601" s="46" t="inlineStr">
        <is>
          <t>세진종합주방</t>
        </is>
      </c>
      <c r="E2601" s="46" t="n">
        <v>200</v>
      </c>
      <c r="F2601" s="46" t="inlineStr">
        <is>
          <t>약암리</t>
        </is>
      </c>
      <c r="G2601" s="50" t="n"/>
      <c r="H2601" s="51" t="n"/>
      <c r="I2601" s="46" t="inlineStr">
        <is>
          <t>이덕기</t>
        </is>
      </c>
      <c r="K2601" s="46" t="n">
        <v>2600</v>
      </c>
      <c r="L2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2">
      <c r="A2602" s="229" t="n">
        <v>46218</v>
      </c>
      <c r="B2602" s="46" t="inlineStr">
        <is>
          <t>정기검사</t>
        </is>
      </c>
      <c r="C2602" s="46" t="inlineStr">
        <is>
          <t>부천지역</t>
        </is>
      </c>
      <c r="D2602" s="46" t="inlineStr">
        <is>
          <t>오정호</t>
        </is>
      </c>
      <c r="E2602" s="46" t="n">
        <v>100</v>
      </c>
      <c r="F2602" s="46" t="inlineStr">
        <is>
          <t>소사본동</t>
        </is>
      </c>
      <c r="G2602" s="50" t="n">
        <v>0.4791666666666667</v>
      </c>
      <c r="H2602" s="51" t="n">
        <v>391710</v>
      </c>
      <c r="I2602" s="46" t="inlineStr">
        <is>
          <t>이덕기</t>
        </is>
      </c>
      <c r="K2602" s="46" t="n">
        <v>2601</v>
      </c>
      <c r="L2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3">
      <c r="A2603" s="229" t="n">
        <v>46218</v>
      </c>
      <c r="B2603" s="46" t="inlineStr">
        <is>
          <t>정기검사</t>
        </is>
      </c>
      <c r="C2603" s="46" t="inlineStr">
        <is>
          <t>부천지역</t>
        </is>
      </c>
      <c r="D2603" s="46" t="inlineStr">
        <is>
          <t>e편한세상</t>
        </is>
      </c>
      <c r="E2603" s="46" t="n">
        <v>11.7</v>
      </c>
      <c r="F2603" s="46" t="inlineStr">
        <is>
          <t>심곡본동</t>
        </is>
      </c>
      <c r="G2603" s="50" t="n">
        <v>0.5625</v>
      </c>
      <c r="H2603" s="51" t="n">
        <v>91960</v>
      </c>
      <c r="I2603" s="46" t="inlineStr">
        <is>
          <t>옹승완</t>
        </is>
      </c>
      <c r="K2603" s="46" t="n">
        <v>2602</v>
      </c>
      <c r="L2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4">
      <c r="A2604" s="229" t="n">
        <v>46218</v>
      </c>
      <c r="B2604" s="46" t="inlineStr">
        <is>
          <t>정기검사</t>
        </is>
      </c>
      <c r="C2604" s="46" t="inlineStr">
        <is>
          <t>부천지역</t>
        </is>
      </c>
      <c r="D2604" s="46" t="inlineStr">
        <is>
          <t>진달래신동아</t>
        </is>
      </c>
      <c r="E2604" s="46" t="inlineStr">
        <is>
          <t>800/180</t>
        </is>
      </c>
      <c r="F2604" s="46" t="inlineStr">
        <is>
          <t>상동</t>
        </is>
      </c>
      <c r="G2604" s="50" t="n">
        <v>0.3958333333333333</v>
      </c>
      <c r="H2604" s="51" t="n">
        <v>1028500</v>
      </c>
      <c r="I2604" s="46" t="inlineStr">
        <is>
          <t>변종국</t>
        </is>
      </c>
      <c r="K2604" s="46" t="n">
        <v>2603</v>
      </c>
      <c r="L2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5">
      <c r="A2605" s="229" t="n">
        <v>46218</v>
      </c>
      <c r="B2605" s="46" t="inlineStr">
        <is>
          <t>정기검사</t>
        </is>
      </c>
      <c r="C2605" s="46" t="inlineStr">
        <is>
          <t>부천지역</t>
        </is>
      </c>
      <c r="D2605" s="46" t="inlineStr">
        <is>
          <t>한양금호상가</t>
        </is>
      </c>
      <c r="E2605" s="46" t="inlineStr">
        <is>
          <t>300/69</t>
        </is>
      </c>
      <c r="F2605" s="46" t="inlineStr">
        <is>
          <t>중동</t>
        </is>
      </c>
      <c r="G2605" s="50" t="n">
        <v>0.4375</v>
      </c>
      <c r="H2605" s="51" t="n">
        <v>678700</v>
      </c>
      <c r="I2605" s="46" t="inlineStr">
        <is>
          <t>서수형</t>
        </is>
      </c>
      <c r="K2605" s="46" t="n">
        <v>2604</v>
      </c>
      <c r="L2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6">
      <c r="A2606" s="229" t="n">
        <v>46218</v>
      </c>
      <c r="B2606" s="46" t="inlineStr">
        <is>
          <t>정기검사</t>
        </is>
      </c>
      <c r="C2606" s="46" t="inlineStr">
        <is>
          <t>부천지역</t>
        </is>
      </c>
      <c r="D2606" s="46" t="inlineStr">
        <is>
          <t>kcc</t>
        </is>
      </c>
      <c r="E2606" s="46" t="inlineStr">
        <is>
          <t>1750/509</t>
        </is>
      </c>
      <c r="F2606" s="46" t="inlineStr">
        <is>
          <t>심곡본동</t>
        </is>
      </c>
      <c r="G2606" s="50" t="n">
        <v>0.2916666666666667</v>
      </c>
      <c r="H2606" s="51" t="n">
        <v>1670460</v>
      </c>
      <c r="I2606" s="46" t="inlineStr">
        <is>
          <t>이종석</t>
        </is>
      </c>
      <c r="K2606" s="46" t="n">
        <v>2605</v>
      </c>
      <c r="L2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7">
      <c r="A2607" s="229" t="n">
        <v>46218</v>
      </c>
      <c r="B2607" s="46" t="inlineStr">
        <is>
          <t>정기검사</t>
        </is>
      </c>
      <c r="C2607" s="46" t="inlineStr">
        <is>
          <t>부천지역</t>
        </is>
      </c>
      <c r="D2607" s="46" t="inlineStr">
        <is>
          <t>심곡1동행정복지센터</t>
        </is>
      </c>
      <c r="E2607" s="46" t="inlineStr">
        <is>
          <t>발전15</t>
        </is>
      </c>
      <c r="F2607" s="46" t="inlineStr">
        <is>
          <t>심곡동</t>
        </is>
      </c>
      <c r="G2607" s="50" t="n">
        <v>0.3958333333333333</v>
      </c>
      <c r="H2607" s="51" t="n">
        <v>92950</v>
      </c>
      <c r="I2607" s="46" t="inlineStr">
        <is>
          <t>허창수</t>
        </is>
      </c>
      <c r="K2607" s="46" t="n">
        <v>2606</v>
      </c>
      <c r="L2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8">
      <c r="A2608" s="229" t="n">
        <v>46218</v>
      </c>
      <c r="B2608" s="46" t="inlineStr">
        <is>
          <t>정기검사</t>
        </is>
      </c>
      <c r="C2608" s="46" t="inlineStr">
        <is>
          <t>부천지역</t>
        </is>
      </c>
      <c r="D2608" s="46" t="inlineStr">
        <is>
          <t>에스엠피엠씨</t>
        </is>
      </c>
      <c r="E2608" s="46" t="inlineStr">
        <is>
          <t>UPS</t>
        </is>
      </c>
      <c r="F2608" s="46" t="inlineStr">
        <is>
          <t>옥길동</t>
        </is>
      </c>
      <c r="G2608" s="50" t="n">
        <v>0.6041666666666666</v>
      </c>
      <c r="H2608" s="51" t="n">
        <v>418220</v>
      </c>
      <c r="I2608" s="46" t="inlineStr">
        <is>
          <t>정신배</t>
        </is>
      </c>
      <c r="K2608" s="46" t="n">
        <v>2607</v>
      </c>
      <c r="L2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9">
      <c r="A2609" s="229" t="n">
        <v>46218</v>
      </c>
      <c r="B2609" s="46" t="inlineStr">
        <is>
          <t>정기검사</t>
        </is>
      </c>
      <c r="C2609" s="46" t="inlineStr">
        <is>
          <t>부천지역</t>
        </is>
      </c>
      <c r="D2609" s="46" t="inlineStr">
        <is>
          <t>아이파킹</t>
        </is>
      </c>
      <c r="E2609" s="46" t="inlineStr">
        <is>
          <t>전기차</t>
        </is>
      </c>
      <c r="F2609" s="46" t="inlineStr">
        <is>
          <t>상동</t>
        </is>
      </c>
      <c r="G2609" s="50" t="n">
        <v>0.3958333333333333</v>
      </c>
      <c r="H2609" s="51" t="n">
        <v>106590</v>
      </c>
      <c r="I2609" s="46" t="inlineStr">
        <is>
          <t>한태희</t>
        </is>
      </c>
      <c r="K2609" s="46" t="n">
        <v>2608</v>
      </c>
      <c r="L2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0">
      <c r="A2610" s="229" t="n">
        <v>46218</v>
      </c>
      <c r="B2610" s="46" t="inlineStr">
        <is>
          <t>정기검사</t>
        </is>
      </c>
      <c r="C2610" s="46" t="inlineStr">
        <is>
          <t>부천지역</t>
        </is>
      </c>
      <c r="D2610" s="46" t="inlineStr">
        <is>
          <t>조양전자</t>
        </is>
      </c>
      <c r="E2610" s="46" t="n"/>
      <c r="F2610" s="46" t="inlineStr">
        <is>
          <t>도당동</t>
        </is>
      </c>
      <c r="G2610" s="50" t="n">
        <v>0.5</v>
      </c>
      <c r="H2610" s="51" t="n">
        <v>489170</v>
      </c>
      <c r="I2610" s="46" t="inlineStr">
        <is>
          <t>송낙명</t>
        </is>
      </c>
      <c r="K2610" s="46" t="n">
        <v>2609</v>
      </c>
      <c r="L2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1">
      <c r="A2611" s="229" t="n">
        <v>46218</v>
      </c>
      <c r="B2611" s="46" t="inlineStr">
        <is>
          <t>정기검사</t>
        </is>
      </c>
      <c r="C2611" s="46" t="inlineStr">
        <is>
          <t>김포지역</t>
        </is>
      </c>
      <c r="D2611" s="46" t="inlineStr">
        <is>
          <t>변은례</t>
        </is>
      </c>
      <c r="E2611" s="46" t="n">
        <v>65</v>
      </c>
      <c r="F2611" s="46" t="inlineStr">
        <is>
          <t>거물대리</t>
        </is>
      </c>
      <c r="G2611" s="50" t="n">
        <v>0.4375</v>
      </c>
      <c r="H2611" s="51" t="n">
        <v>219450</v>
      </c>
      <c r="I2611" s="46" t="inlineStr">
        <is>
          <t>당효진</t>
        </is>
      </c>
      <c r="K2611" s="46" t="n">
        <v>2610</v>
      </c>
      <c r="L2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2">
      <c r="A2612" s="229" t="n">
        <v>46218</v>
      </c>
      <c r="B2612" s="46" t="inlineStr">
        <is>
          <t>정기검사</t>
        </is>
      </c>
      <c r="C2612" s="46" t="inlineStr">
        <is>
          <t>김포지역</t>
        </is>
      </c>
      <c r="D2612" s="46" t="inlineStr">
        <is>
          <t>본실업</t>
        </is>
      </c>
      <c r="E2612" s="46" t="n">
        <v>290</v>
      </c>
      <c r="F2612" s="46" t="inlineStr">
        <is>
          <t>학운리</t>
        </is>
      </c>
      <c r="G2612" s="50" t="n">
        <v>0.5</v>
      </c>
      <c r="H2612" s="51" t="n">
        <v>515130</v>
      </c>
      <c r="I2612" s="46" t="inlineStr">
        <is>
          <t>허록종</t>
        </is>
      </c>
      <c r="K2612" s="46" t="n">
        <v>2611</v>
      </c>
      <c r="L2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3">
      <c r="A2613" s="229" t="n">
        <v>46218</v>
      </c>
      <c r="B2613" s="46" t="inlineStr">
        <is>
          <t>정기검사</t>
        </is>
      </c>
      <c r="C2613" s="46" t="inlineStr">
        <is>
          <t>김포지역</t>
        </is>
      </c>
      <c r="D2613" s="46" t="inlineStr">
        <is>
          <t>선덕</t>
        </is>
      </c>
      <c r="E2613" s="46" t="n">
        <v>200</v>
      </c>
      <c r="F2613" s="46" t="inlineStr">
        <is>
          <t>옹정리</t>
        </is>
      </c>
      <c r="G2613" s="50" t="n">
        <v>0.4791666666666667</v>
      </c>
      <c r="H2613" s="51" t="n">
        <v>360360</v>
      </c>
      <c r="I2613" s="46" t="inlineStr">
        <is>
          <t>민재홍</t>
        </is>
      </c>
      <c r="K2613" s="46" t="n">
        <v>2612</v>
      </c>
      <c r="L2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4">
      <c r="A2614" s="229" t="n">
        <v>46218</v>
      </c>
      <c r="B2614" s="46" t="inlineStr">
        <is>
          <t>정기검사</t>
        </is>
      </c>
      <c r="C2614" s="46" t="inlineStr">
        <is>
          <t>김포지역</t>
        </is>
      </c>
      <c r="D2614" s="46" t="inlineStr">
        <is>
          <t>행병12대대</t>
        </is>
      </c>
      <c r="E2614" s="46" t="n">
        <v>375</v>
      </c>
      <c r="F2614" s="46" t="inlineStr">
        <is>
          <t>양택리</t>
        </is>
      </c>
      <c r="G2614" s="50" t="n"/>
      <c r="H2614" s="51" t="n">
        <v>694650</v>
      </c>
      <c r="I2614" s="46" t="inlineStr">
        <is>
          <t>김영권</t>
        </is>
      </c>
      <c r="K2614" s="46" t="n">
        <v>2613</v>
      </c>
      <c r="L2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5">
      <c r="A2615" s="229" t="n">
        <v>46218</v>
      </c>
      <c r="B2615" s="46" t="inlineStr">
        <is>
          <t>정기검사</t>
        </is>
      </c>
      <c r="C2615" s="46" t="inlineStr">
        <is>
          <t>김포지역</t>
        </is>
      </c>
      <c r="D2615" s="46" t="inlineStr">
        <is>
          <t>엠에스유</t>
        </is>
      </c>
      <c r="E2615" s="46" t="n">
        <v>200</v>
      </c>
      <c r="F2615" s="46" t="inlineStr">
        <is>
          <t>학운리</t>
        </is>
      </c>
      <c r="G2615" s="50" t="n">
        <v>0.4791666666666667</v>
      </c>
      <c r="H2615" s="51" t="n">
        <v>275440</v>
      </c>
      <c r="I2615" s="46" t="inlineStr">
        <is>
          <t>당효진</t>
        </is>
      </c>
      <c r="K2615" s="46" t="n">
        <v>2614</v>
      </c>
      <c r="L2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6">
      <c r="A2616" s="229" t="n">
        <v>46218</v>
      </c>
      <c r="B2616" s="46" t="inlineStr">
        <is>
          <t>사용전검사</t>
        </is>
      </c>
      <c r="C2616" s="46" t="inlineStr">
        <is>
          <t>부천지역</t>
        </is>
      </c>
      <c r="D2616" s="46" t="inlineStr">
        <is>
          <t>우원개발</t>
        </is>
      </c>
      <c r="E2616" s="46" t="n">
        <v>250</v>
      </c>
      <c r="F2616" s="46" t="inlineStr">
        <is>
          <t>삼정동</t>
        </is>
      </c>
      <c r="G2616" s="50" t="n"/>
      <c r="H2616" s="51" t="n"/>
      <c r="I2616" s="46" t="inlineStr">
        <is>
          <t>옹승완</t>
        </is>
      </c>
      <c r="K2616" s="46" t="n">
        <v>2615</v>
      </c>
      <c r="L2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7">
      <c r="A2617" s="229" t="n">
        <v>46218</v>
      </c>
      <c r="B2617" s="46" t="inlineStr">
        <is>
          <t>사용전검사</t>
        </is>
      </c>
      <c r="C2617" s="46" t="inlineStr">
        <is>
          <t>부천지역</t>
        </is>
      </c>
      <c r="D2617" s="46" t="inlineStr">
        <is>
          <t>윤종해</t>
        </is>
      </c>
      <c r="E2617" s="46" t="n">
        <v>18</v>
      </c>
      <c r="F2617" s="46" t="inlineStr">
        <is>
          <t>원미동</t>
        </is>
      </c>
      <c r="G2617" s="50" t="n"/>
      <c r="H2617" s="51" t="n"/>
      <c r="I2617" s="46" t="inlineStr">
        <is>
          <t>정성관</t>
        </is>
      </c>
      <c r="K2617" s="46" t="n">
        <v>2616</v>
      </c>
      <c r="L2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8">
      <c r="A2618" s="229" t="n">
        <v>46218</v>
      </c>
      <c r="B2618" s="46" t="inlineStr">
        <is>
          <t>사용전검사</t>
        </is>
      </c>
      <c r="C2618" s="46" t="inlineStr">
        <is>
          <t>김포지역</t>
        </is>
      </c>
      <c r="D2618" s="46" t="inlineStr">
        <is>
          <t>씨엔케이산업</t>
        </is>
      </c>
      <c r="E2618" s="46" t="n">
        <v>42.5</v>
      </c>
      <c r="F2618" s="46" t="inlineStr">
        <is>
          <t>송마리</t>
        </is>
      </c>
      <c r="G2618" s="50" t="n"/>
      <c r="H2618" s="51" t="n"/>
      <c r="I2618" s="46" t="inlineStr">
        <is>
          <t>민재홍</t>
        </is>
      </c>
      <c r="K2618" s="46" t="n">
        <v>2617</v>
      </c>
      <c r="L2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9">
      <c r="A2619" s="229" t="n">
        <v>46218</v>
      </c>
      <c r="B2619" s="46" t="inlineStr">
        <is>
          <t>사용전검사</t>
        </is>
      </c>
      <c r="C2619" s="46" t="inlineStr">
        <is>
          <t>김포지역</t>
        </is>
      </c>
      <c r="D2619" s="46" t="inlineStr">
        <is>
          <t>아몬드</t>
        </is>
      </c>
      <c r="E2619" s="46" t="n">
        <v>30</v>
      </c>
      <c r="F2619" s="46" t="inlineStr">
        <is>
          <t>대포리</t>
        </is>
      </c>
      <c r="G2619" s="50" t="n"/>
      <c r="H2619" s="51" t="n"/>
      <c r="I2619" s="46" t="inlineStr">
        <is>
          <t>당효진</t>
        </is>
      </c>
      <c r="K2619" s="46" t="n">
        <v>2618</v>
      </c>
      <c r="L2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0">
      <c r="A2620" s="229" t="n">
        <v>46218</v>
      </c>
      <c r="B2620" s="46" t="inlineStr">
        <is>
          <t>사용전검사</t>
        </is>
      </c>
      <c r="C2620" s="46" t="inlineStr">
        <is>
          <t>김포지역</t>
        </is>
      </c>
      <c r="D2620" s="46" t="inlineStr">
        <is>
          <t>김포운수</t>
        </is>
      </c>
      <c r="E2620" s="46" t="inlineStr">
        <is>
          <t>재검</t>
        </is>
      </c>
      <c r="F2620" s="46" t="n"/>
      <c r="G2620" s="50" t="n"/>
      <c r="H2620" s="51" t="n"/>
      <c r="I2620" s="46" t="inlineStr">
        <is>
          <t>김영권</t>
        </is>
      </c>
      <c r="K2620" s="46" t="n">
        <v>2619</v>
      </c>
      <c r="L2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1">
      <c r="A2621" s="229" t="n">
        <v>46218</v>
      </c>
      <c r="B2621" s="46" t="inlineStr">
        <is>
          <t>사용전검사</t>
        </is>
      </c>
      <c r="C2621" s="46" t="inlineStr">
        <is>
          <t>김포지역</t>
        </is>
      </c>
      <c r="D2621" s="46" t="inlineStr">
        <is>
          <t>알티에스</t>
        </is>
      </c>
      <c r="E2621" s="46" t="n">
        <v>153</v>
      </c>
      <c r="F2621" s="46" t="inlineStr">
        <is>
          <t>풍무동</t>
        </is>
      </c>
      <c r="G2621" s="50" t="n"/>
      <c r="H2621" s="51" t="n"/>
      <c r="I2621" s="46" t="inlineStr">
        <is>
          <t>당효진</t>
        </is>
      </c>
      <c r="K2621" s="46" t="n">
        <v>2620</v>
      </c>
      <c r="L2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2">
      <c r="A2622" s="229" t="n">
        <v>46218</v>
      </c>
      <c r="B2622" s="46" t="inlineStr">
        <is>
          <t>사용전검사</t>
        </is>
      </c>
      <c r="C2622" s="46" t="inlineStr">
        <is>
          <t>김포지역</t>
        </is>
      </c>
      <c r="D2622" s="46" t="inlineStr">
        <is>
          <t>김용영</t>
        </is>
      </c>
      <c r="E2622" s="46" t="n">
        <v>130</v>
      </c>
      <c r="F2622" s="46" t="inlineStr">
        <is>
          <t>원산리</t>
        </is>
      </c>
      <c r="G2622" s="50" t="n"/>
      <c r="H2622" s="51" t="n"/>
      <c r="I2622" s="46" t="inlineStr">
        <is>
          <t>김영권</t>
        </is>
      </c>
      <c r="K2622" s="46" t="n">
        <v>2621</v>
      </c>
      <c r="L2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3">
      <c r="A2623" s="229" t="n">
        <v>46219</v>
      </c>
      <c r="B2623" s="46" t="inlineStr">
        <is>
          <t>정기검사</t>
        </is>
      </c>
      <c r="C2623" s="46" t="inlineStr">
        <is>
          <t>부천지역</t>
        </is>
      </c>
      <c r="D2623" s="46" t="inlineStr">
        <is>
          <t>지지엠</t>
        </is>
      </c>
      <c r="E2623" s="46" t="n">
        <v>700</v>
      </c>
      <c r="F2623" s="46" t="inlineStr">
        <is>
          <t>원미동</t>
        </is>
      </c>
      <c r="G2623" s="50" t="n">
        <v>0.5416666666666666</v>
      </c>
      <c r="H2623" s="51" t="n">
        <v>804760</v>
      </c>
      <c r="I2623" s="46" t="inlineStr">
        <is>
          <t>정신배</t>
        </is>
      </c>
      <c r="K2623" s="46" t="n">
        <v>2622</v>
      </c>
      <c r="L2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4">
      <c r="A2624" s="229" t="n">
        <v>46219</v>
      </c>
      <c r="B2624" s="46" t="inlineStr">
        <is>
          <t>정기검사</t>
        </is>
      </c>
      <c r="C2624" s="46" t="inlineStr">
        <is>
          <t>부천지역</t>
        </is>
      </c>
      <c r="D2624" s="46" t="inlineStr">
        <is>
          <t>광장빌딩</t>
        </is>
      </c>
      <c r="E2624" s="46" t="n">
        <v>450</v>
      </c>
      <c r="F2624" s="46" t="inlineStr">
        <is>
          <t>괴안동</t>
        </is>
      </c>
      <c r="G2624" s="50" t="n">
        <v>0.2708333333333333</v>
      </c>
      <c r="H2624" s="51" t="n">
        <v>935990</v>
      </c>
      <c r="I2624" s="46" t="inlineStr">
        <is>
          <t>이덕기</t>
        </is>
      </c>
      <c r="K2624" s="46" t="n">
        <v>2623</v>
      </c>
      <c r="L2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5">
      <c r="A2625" s="229" t="n">
        <v>46219</v>
      </c>
      <c r="B2625" s="46" t="inlineStr">
        <is>
          <t>정기검사</t>
        </is>
      </c>
      <c r="C2625" s="46" t="inlineStr">
        <is>
          <t>부천지역</t>
        </is>
      </c>
      <c r="D2625" s="46" t="inlineStr">
        <is>
          <t>건영자동화시스템</t>
        </is>
      </c>
      <c r="E2625" s="46" t="n">
        <v>290</v>
      </c>
      <c r="F2625" s="46" t="inlineStr">
        <is>
          <t>원미동</t>
        </is>
      </c>
      <c r="G2625" s="50" t="n">
        <v>0.3958333333333333</v>
      </c>
      <c r="H2625" s="51" t="n">
        <v>515130</v>
      </c>
      <c r="I2625" s="46" t="inlineStr">
        <is>
          <t>정성관</t>
        </is>
      </c>
      <c r="K2625" s="46" t="n">
        <v>2624</v>
      </c>
      <c r="L2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6">
      <c r="A2626" s="229" t="n">
        <v>46219</v>
      </c>
      <c r="B2626" s="46" t="inlineStr">
        <is>
          <t>정기검사</t>
        </is>
      </c>
      <c r="C2626" s="46" t="inlineStr">
        <is>
          <t>부천지역</t>
        </is>
      </c>
      <c r="D2626" s="46" t="inlineStr">
        <is>
          <t>화일빌딩</t>
        </is>
      </c>
      <c r="E2626" s="46" t="n">
        <v>290</v>
      </c>
      <c r="F2626" s="46" t="inlineStr">
        <is>
          <t>도당동</t>
        </is>
      </c>
      <c r="G2626" s="50" t="n">
        <v>0.5208333333333334</v>
      </c>
      <c r="H2626" s="51" t="n">
        <v>515130</v>
      </c>
      <c r="I2626" s="46" t="inlineStr">
        <is>
          <t>김영권</t>
        </is>
      </c>
      <c r="K2626" s="46" t="n">
        <v>2625</v>
      </c>
      <c r="L2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7">
      <c r="A2627" s="229" t="n">
        <v>46219</v>
      </c>
      <c r="B2627" s="46" t="inlineStr">
        <is>
          <t>정기검사</t>
        </is>
      </c>
      <c r="C2627" s="46" t="inlineStr">
        <is>
          <t>부천지역</t>
        </is>
      </c>
      <c r="D2627" s="46" t="inlineStr">
        <is>
          <t>화일빌딩</t>
        </is>
      </c>
      <c r="E2627" s="46" t="n">
        <v>291</v>
      </c>
      <c r="F2627" s="46" t="inlineStr">
        <is>
          <t>도당동</t>
        </is>
      </c>
      <c r="G2627" s="50" t="n">
        <v>0.5833333333333334</v>
      </c>
      <c r="H2627" s="51" t="n">
        <v>515130</v>
      </c>
      <c r="I2627" s="46" t="inlineStr">
        <is>
          <t>송낙명</t>
        </is>
      </c>
      <c r="K2627" s="46" t="n">
        <v>2626</v>
      </c>
      <c r="L2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8">
      <c r="A2628" s="229" t="n">
        <v>46219</v>
      </c>
      <c r="B2628" s="46" t="inlineStr">
        <is>
          <t>정기검사</t>
        </is>
      </c>
      <c r="C2628" s="46" t="inlineStr">
        <is>
          <t>부천지역</t>
        </is>
      </c>
      <c r="D2628" s="46" t="inlineStr">
        <is>
          <t>창일정공</t>
        </is>
      </c>
      <c r="E2628" s="46" t="n">
        <v>290</v>
      </c>
      <c r="F2628" s="46" t="inlineStr">
        <is>
          <t>원미동</t>
        </is>
      </c>
      <c r="G2628" s="50" t="n">
        <v>0.4583333333333333</v>
      </c>
      <c r="H2628" s="51" t="n">
        <v>515130</v>
      </c>
      <c r="I2628" s="46" t="inlineStr">
        <is>
          <t>이덕기</t>
        </is>
      </c>
      <c r="K2628" s="46" t="n">
        <v>2627</v>
      </c>
      <c r="L2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9">
      <c r="A2629" s="229" t="n">
        <v>46219</v>
      </c>
      <c r="B2629" s="46" t="inlineStr">
        <is>
          <t>정기검사</t>
        </is>
      </c>
      <c r="C2629" s="46" t="inlineStr">
        <is>
          <t>부천지역</t>
        </is>
      </c>
      <c r="D2629" s="46" t="inlineStr">
        <is>
          <t>안효광</t>
        </is>
      </c>
      <c r="E2629" s="46" t="inlineStr">
        <is>
          <t>전기차</t>
        </is>
      </c>
      <c r="F2629" s="46" t="inlineStr">
        <is>
          <t>오정동</t>
        </is>
      </c>
      <c r="G2629" s="50" t="n">
        <v>0.6041666666666666</v>
      </c>
      <c r="H2629" s="51" t="n">
        <v>55770</v>
      </c>
      <c r="I2629" s="46" t="inlineStr">
        <is>
          <t>옹승완</t>
        </is>
      </c>
      <c r="K2629" s="46" t="n">
        <v>2628</v>
      </c>
      <c r="L2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0">
      <c r="A2630" s="229" t="n">
        <v>46219</v>
      </c>
      <c r="B2630" s="46" t="inlineStr">
        <is>
          <t>정기검사</t>
        </is>
      </c>
      <c r="C2630" s="46" t="inlineStr">
        <is>
          <t>부천지역</t>
        </is>
      </c>
      <c r="D2630" s="46" t="inlineStr">
        <is>
          <t>정명고</t>
        </is>
      </c>
      <c r="E2630" s="46" t="inlineStr">
        <is>
          <t>750/105</t>
        </is>
      </c>
      <c r="F2630" s="46" t="inlineStr">
        <is>
          <t>심곡본동</t>
        </is>
      </c>
      <c r="G2630" s="50" t="n">
        <v>0.5208333333333334</v>
      </c>
      <c r="H2630" s="51" t="n">
        <v>989340</v>
      </c>
      <c r="I2630" s="46" t="inlineStr">
        <is>
          <t>허록종</t>
        </is>
      </c>
      <c r="K2630" s="46" t="n">
        <v>2629</v>
      </c>
      <c r="L2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1">
      <c r="A2631" s="229" t="n">
        <v>46219</v>
      </c>
      <c r="B2631" s="46" t="inlineStr">
        <is>
          <t>정기검사</t>
        </is>
      </c>
      <c r="C2631" s="46" t="inlineStr">
        <is>
          <t>부천지역</t>
        </is>
      </c>
      <c r="D2631" s="46" t="inlineStr">
        <is>
          <t>시디피우정</t>
        </is>
      </c>
      <c r="E2631" s="46" t="n">
        <v>980</v>
      </c>
      <c r="F2631" s="46" t="inlineStr">
        <is>
          <t>내동</t>
        </is>
      </c>
      <c r="G2631" s="50" t="n">
        <v>0.5</v>
      </c>
      <c r="H2631" s="51" t="n">
        <v>899580</v>
      </c>
      <c r="I2631" s="46" t="inlineStr">
        <is>
          <t>당효진</t>
        </is>
      </c>
      <c r="K2631" s="46" t="n">
        <v>2630</v>
      </c>
      <c r="L2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2">
      <c r="A2632" s="229" t="n">
        <v>46219</v>
      </c>
      <c r="B2632" s="46" t="inlineStr">
        <is>
          <t>정기검사</t>
        </is>
      </c>
      <c r="C2632" s="46" t="inlineStr">
        <is>
          <t>김포지역</t>
        </is>
      </c>
      <c r="D2632" s="46" t="inlineStr">
        <is>
          <t>고려주물</t>
        </is>
      </c>
      <c r="E2632" s="46" t="n">
        <v>280</v>
      </c>
      <c r="F2632" s="46" t="inlineStr">
        <is>
          <t>학운리</t>
        </is>
      </c>
      <c r="G2632" s="50" t="n">
        <v>0.4583333333333333</v>
      </c>
      <c r="H2632" s="51" t="n">
        <v>508640</v>
      </c>
      <c r="I2632" s="46" t="inlineStr">
        <is>
          <t>허창수</t>
        </is>
      </c>
      <c r="K2632" s="46" t="n">
        <v>2631</v>
      </c>
      <c r="L2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3">
      <c r="A2633" s="229" t="n">
        <v>46219</v>
      </c>
      <c r="B2633" s="46" t="inlineStr">
        <is>
          <t>정기검사</t>
        </is>
      </c>
      <c r="C2633" s="46" t="inlineStr">
        <is>
          <t>김포지역</t>
        </is>
      </c>
      <c r="D2633" s="46" t="inlineStr">
        <is>
          <t>예지원</t>
        </is>
      </c>
      <c r="E2633" s="46" t="n">
        <v>9</v>
      </c>
      <c r="F2633" s="46" t="inlineStr">
        <is>
          <t>용강리</t>
        </is>
      </c>
      <c r="G2633" s="50" t="n">
        <v>0.5833333333333334</v>
      </c>
      <c r="H2633" s="51" t="n">
        <v>91080</v>
      </c>
      <c r="I2633" s="46" t="inlineStr">
        <is>
          <t>변종국</t>
        </is>
      </c>
      <c r="K2633" s="46" t="n">
        <v>2632</v>
      </c>
      <c r="L2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4">
      <c r="A2634" s="229" t="n">
        <v>46219</v>
      </c>
      <c r="B2634" s="46" t="inlineStr">
        <is>
          <t>정기검사</t>
        </is>
      </c>
      <c r="C2634" s="46" t="inlineStr">
        <is>
          <t>김포지역</t>
        </is>
      </c>
      <c r="D2634" s="46" t="inlineStr">
        <is>
          <t>양곡LH5</t>
        </is>
      </c>
      <c r="E2634" s="46" t="inlineStr">
        <is>
          <t>857/450</t>
        </is>
      </c>
      <c r="F2634" s="46" t="inlineStr">
        <is>
          <t>양곡리</t>
        </is>
      </c>
      <c r="G2634" s="50" t="n">
        <v>0.4166666666666667</v>
      </c>
      <c r="H2634" s="51" t="n">
        <v>1259390</v>
      </c>
      <c r="I2634" s="46" t="inlineStr">
        <is>
          <t>서수형</t>
        </is>
      </c>
      <c r="K2634" s="46" t="n">
        <v>2633</v>
      </c>
      <c r="L2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5">
      <c r="A2635" s="229" t="n">
        <v>46219</v>
      </c>
      <c r="B2635" s="46" t="inlineStr">
        <is>
          <t>정기검사</t>
        </is>
      </c>
      <c r="C2635" s="46" t="inlineStr">
        <is>
          <t>김포지역</t>
        </is>
      </c>
      <c r="D2635" s="46" t="inlineStr">
        <is>
          <t>코스텍산업</t>
        </is>
      </c>
      <c r="E2635" s="46" t="n">
        <v>250</v>
      </c>
      <c r="F2635" s="46" t="inlineStr">
        <is>
          <t>송마리</t>
        </is>
      </c>
      <c r="G2635" s="50" t="n">
        <v>0.4791666666666667</v>
      </c>
      <c r="H2635" s="51" t="n">
        <v>489170</v>
      </c>
      <c r="I2635" s="46" t="inlineStr">
        <is>
          <t>이종석</t>
        </is>
      </c>
      <c r="K2635" s="46" t="n">
        <v>2634</v>
      </c>
      <c r="L2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6">
      <c r="A2636" s="229" t="n">
        <v>46219</v>
      </c>
      <c r="B2636" s="46" t="inlineStr">
        <is>
          <t>정기검사</t>
        </is>
      </c>
      <c r="C2636" s="46" t="inlineStr">
        <is>
          <t>김포지역</t>
        </is>
      </c>
      <c r="D2636" s="46" t="inlineStr">
        <is>
          <t>김포태양광</t>
        </is>
      </c>
      <c r="E2636" s="46" t="n">
        <v>18</v>
      </c>
      <c r="F2636" s="46" t="inlineStr">
        <is>
          <t>도사리</t>
        </is>
      </c>
      <c r="G2636" s="50" t="n">
        <v>0.4166666666666667</v>
      </c>
      <c r="H2636" s="51" t="n">
        <v>94050</v>
      </c>
      <c r="I2636" s="46" t="inlineStr">
        <is>
          <t>이종석</t>
        </is>
      </c>
      <c r="K2636" s="46" t="n">
        <v>2635</v>
      </c>
      <c r="L2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7">
      <c r="A2637" s="229" t="n">
        <v>46219</v>
      </c>
      <c r="B2637" s="46" t="inlineStr">
        <is>
          <t>사용전검사</t>
        </is>
      </c>
      <c r="C2637" s="46" t="inlineStr">
        <is>
          <t>부천지역</t>
        </is>
      </c>
      <c r="D2637" s="46" t="inlineStr">
        <is>
          <t>대우건설2</t>
        </is>
      </c>
      <c r="E2637" s="46" t="n">
        <v>64</v>
      </c>
      <c r="F2637" s="46" t="inlineStr">
        <is>
          <t>송내동</t>
        </is>
      </c>
      <c r="G2637" s="50" t="n"/>
      <c r="H2637" s="51" t="n"/>
      <c r="I2637" s="46" t="inlineStr">
        <is>
          <t>이덕기</t>
        </is>
      </c>
      <c r="K2637" s="46" t="n">
        <v>2636</v>
      </c>
      <c r="L2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8">
      <c r="A2638" s="229" t="n">
        <v>46219</v>
      </c>
      <c r="B2638" s="46" t="inlineStr">
        <is>
          <t>사용전검사</t>
        </is>
      </c>
      <c r="C2638" s="46" t="inlineStr">
        <is>
          <t>부천지역</t>
        </is>
      </c>
      <c r="D2638" s="46" t="inlineStr">
        <is>
          <t>대우건설</t>
        </is>
      </c>
      <c r="E2638" s="46" t="n">
        <v>65</v>
      </c>
      <c r="F2638" s="46" t="inlineStr">
        <is>
          <t>송내동</t>
        </is>
      </c>
      <c r="G2638" s="50" t="n"/>
      <c r="H2638" s="51" t="n"/>
      <c r="I2638" s="46" t="inlineStr">
        <is>
          <t>정성관</t>
        </is>
      </c>
      <c r="K2638" s="46" t="n">
        <v>2637</v>
      </c>
      <c r="L2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9">
      <c r="A2639" s="229" t="n">
        <v>46219</v>
      </c>
      <c r="B2639" s="46" t="inlineStr">
        <is>
          <t>메모</t>
        </is>
      </c>
      <c r="C2639" s="46" t="inlineStr">
        <is>
          <t>부천지역</t>
        </is>
      </c>
      <c r="D2639" s="46" t="inlineStr">
        <is>
          <t>한태희휴가</t>
        </is>
      </c>
      <c r="E2639" s="46" t="n"/>
      <c r="F2639" s="46" t="n"/>
      <c r="G2639" s="50" t="n"/>
      <c r="H2639" s="51" t="n"/>
      <c r="I2639" s="46" t="n"/>
      <c r="K2639" s="46" t="n">
        <v>2638</v>
      </c>
      <c r="L2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0">
      <c r="A2640" s="229" t="n">
        <v>46219</v>
      </c>
      <c r="B2640" s="46" t="inlineStr">
        <is>
          <t>메모</t>
        </is>
      </c>
      <c r="C2640" s="46" t="inlineStr">
        <is>
          <t>부천지역</t>
        </is>
      </c>
      <c r="D2640" s="46" t="inlineStr">
        <is>
          <t>민재홍휴가</t>
        </is>
      </c>
      <c r="E2640" s="46" t="n"/>
      <c r="F2640" s="46" t="n"/>
      <c r="G2640" s="50" t="n"/>
      <c r="H2640" s="51" t="n"/>
      <c r="I2640" s="46" t="n"/>
      <c r="K2640" s="46" t="n">
        <v>2639</v>
      </c>
      <c r="L2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1">
      <c r="A2641" s="229" t="n">
        <v>46219</v>
      </c>
      <c r="B2641" s="46" t="inlineStr">
        <is>
          <t>사용전검사</t>
        </is>
      </c>
      <c r="C2641" s="46" t="inlineStr">
        <is>
          <t>김포지역</t>
        </is>
      </c>
      <c r="D2641" s="46" t="inlineStr">
        <is>
          <t>통진투엑스</t>
        </is>
      </c>
      <c r="E2641" s="46" t="n">
        <v>126</v>
      </c>
      <c r="F2641" s="46" t="inlineStr">
        <is>
          <t>가현리</t>
        </is>
      </c>
      <c r="G2641" s="50" t="n"/>
      <c r="H2641" s="51" t="n"/>
      <c r="I2641" s="46" t="inlineStr">
        <is>
          <t>허창수</t>
        </is>
      </c>
      <c r="K2641" s="46" t="n">
        <v>2640</v>
      </c>
      <c r="L2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2">
      <c r="A2642" s="229" t="n">
        <v>46219</v>
      </c>
      <c r="B2642" s="46" t="inlineStr">
        <is>
          <t>사용전검사</t>
        </is>
      </c>
      <c r="C2642" s="46" t="inlineStr">
        <is>
          <t>김포지역</t>
        </is>
      </c>
      <c r="D2642" s="46" t="inlineStr">
        <is>
          <t>코엘태양</t>
        </is>
      </c>
      <c r="E2642" s="46" t="n">
        <v>145</v>
      </c>
      <c r="F2642" s="46" t="inlineStr">
        <is>
          <t>귀전리</t>
        </is>
      </c>
      <c r="G2642" s="50" t="n"/>
      <c r="H2642" s="51" t="n"/>
      <c r="I2642" s="46" t="inlineStr">
        <is>
          <t>변종국</t>
        </is>
      </c>
      <c r="K2642" s="46" t="n">
        <v>2641</v>
      </c>
      <c r="L2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3">
      <c r="A2643" s="229" t="n">
        <v>46219</v>
      </c>
      <c r="B2643" s="46" t="inlineStr">
        <is>
          <t>사용전검사</t>
        </is>
      </c>
      <c r="C2643" s="46" t="inlineStr">
        <is>
          <t>김포지역</t>
        </is>
      </c>
      <c r="D2643" s="46" t="inlineStr">
        <is>
          <t>JI진공열처리</t>
        </is>
      </c>
      <c r="E2643" s="46" t="n">
        <v>290</v>
      </c>
      <c r="F2643" s="46" t="inlineStr">
        <is>
          <t>초원지리</t>
        </is>
      </c>
      <c r="G2643" s="50" t="n"/>
      <c r="H2643" s="51" t="n"/>
      <c r="I2643" s="46" t="inlineStr">
        <is>
          <t>서수형</t>
        </is>
      </c>
      <c r="K2643" s="46" t="n">
        <v>2642</v>
      </c>
      <c r="L2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4">
      <c r="A2644" s="229" t="n">
        <v>46220</v>
      </c>
      <c r="B2644" s="46" t="inlineStr">
        <is>
          <t>메모</t>
        </is>
      </c>
      <c r="C2644" s="46" t="inlineStr">
        <is>
          <t>부천지역</t>
        </is>
      </c>
      <c r="D2644" s="46" t="inlineStr">
        <is>
          <t>변종국휴가</t>
        </is>
      </c>
      <c r="E2644" s="46" t="n"/>
      <c r="F2644" s="46" t="n"/>
      <c r="G2644" s="50" t="n"/>
      <c r="H2644" s="51" t="n"/>
      <c r="I2644" s="46" t="n"/>
      <c r="K2644" s="46" t="n">
        <v>2643</v>
      </c>
      <c r="L2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5">
      <c r="A2645" s="229" t="n">
        <v>46220</v>
      </c>
      <c r="B2645" s="46" t="inlineStr">
        <is>
          <t>메모</t>
        </is>
      </c>
      <c r="C2645" s="46" t="inlineStr">
        <is>
          <t>부천지역</t>
        </is>
      </c>
      <c r="D2645" s="46" t="inlineStr">
        <is>
          <t>이덕기휴가</t>
        </is>
      </c>
      <c r="E2645" s="46" t="n"/>
      <c r="F2645" s="46" t="n"/>
      <c r="G2645" s="50" t="n"/>
      <c r="H2645" s="51" t="n"/>
      <c r="I2645" s="46" t="n"/>
      <c r="K2645" s="46" t="n">
        <v>2644</v>
      </c>
      <c r="L2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6">
      <c r="A2646" s="229" t="n">
        <v>46220</v>
      </c>
      <c r="B2646" s="46" t="inlineStr">
        <is>
          <t>메모</t>
        </is>
      </c>
      <c r="C2646" s="46" t="inlineStr">
        <is>
          <t>부천지역</t>
        </is>
      </c>
      <c r="D2646" s="46" t="inlineStr">
        <is>
          <t>민재홍휴가</t>
        </is>
      </c>
      <c r="E2646" s="46" t="n"/>
      <c r="F2646" s="46" t="n"/>
      <c r="G2646" s="50" t="n"/>
      <c r="H2646" s="51" t="n"/>
      <c r="I2646" s="46" t="n"/>
      <c r="K2646" s="46" t="n">
        <v>2645</v>
      </c>
      <c r="L2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7">
      <c r="A2647" s="229" t="n">
        <v>46221</v>
      </c>
      <c r="B2647" s="46" t="inlineStr">
        <is>
          <t>정기검사</t>
        </is>
      </c>
      <c r="C2647" s="46" t="inlineStr">
        <is>
          <t>부천지역</t>
        </is>
      </c>
      <c r="D2647" s="46" t="inlineStr">
        <is>
          <t>한국호세코</t>
        </is>
      </c>
      <c r="E2647" s="46" t="n">
        <v>700</v>
      </c>
      <c r="F2647" s="46" t="inlineStr">
        <is>
          <t>도당동</t>
        </is>
      </c>
      <c r="G2647" s="50" t="n">
        <v>0.375</v>
      </c>
      <c r="H2647" s="51" t="n">
        <v>1046100</v>
      </c>
      <c r="I2647" s="46" t="n"/>
      <c r="K2647" s="46" t="n">
        <v>2646</v>
      </c>
      <c r="L2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8">
      <c r="A2648" s="229" t="n">
        <v>46221</v>
      </c>
      <c r="B2648" s="46" t="inlineStr">
        <is>
          <t>정기검사</t>
        </is>
      </c>
      <c r="C2648" s="46" t="inlineStr">
        <is>
          <t>김포지역</t>
        </is>
      </c>
      <c r="D2648" s="46" t="inlineStr">
        <is>
          <t>정원엔지니어링</t>
        </is>
      </c>
      <c r="E2648" s="46" t="n">
        <v>2400</v>
      </c>
      <c r="F2648" s="46" t="inlineStr">
        <is>
          <t>송마리</t>
        </is>
      </c>
      <c r="G2648" s="50" t="n">
        <v>0.4583333333333333</v>
      </c>
      <c r="H2648" s="51" t="n">
        <v>1444520</v>
      </c>
      <c r="I2648" s="46" t="inlineStr">
        <is>
          <t>송낙명</t>
        </is>
      </c>
      <c r="K2648" s="46" t="n">
        <v>2647</v>
      </c>
      <c r="L2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9">
      <c r="A2649" s="229" t="n">
        <v>46221</v>
      </c>
      <c r="B2649" s="46" t="inlineStr">
        <is>
          <t>정기검사</t>
        </is>
      </c>
      <c r="C2649" s="46" t="inlineStr">
        <is>
          <t>김포지역</t>
        </is>
      </c>
      <c r="D2649" s="46" t="inlineStr">
        <is>
          <t>대진종합금속</t>
        </is>
      </c>
      <c r="E2649" s="46" t="n">
        <v>295</v>
      </c>
      <c r="F2649" s="46" t="inlineStr">
        <is>
          <t>석탄리</t>
        </is>
      </c>
      <c r="G2649" s="50" t="n">
        <v>0.375</v>
      </c>
      <c r="H2649" s="51" t="n">
        <v>673970</v>
      </c>
      <c r="I2649" s="46" t="inlineStr">
        <is>
          <t>한태희</t>
        </is>
      </c>
      <c r="K2649" s="46" t="n">
        <v>2648</v>
      </c>
      <c r="L2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0">
      <c r="A2650" s="229" t="n">
        <v>46221</v>
      </c>
      <c r="B2650" s="46" t="inlineStr">
        <is>
          <t>메모</t>
        </is>
      </c>
      <c r="C2650" s="46" t="inlineStr">
        <is>
          <t>부천지역</t>
        </is>
      </c>
      <c r="D2650" s="46" t="inlineStr">
        <is>
          <t>이덕기휴가</t>
        </is>
      </c>
      <c r="E2650" s="46" t="n"/>
      <c r="F2650" s="46" t="n"/>
      <c r="G2650" s="50" t="n"/>
      <c r="H2650" s="51" t="n"/>
      <c r="I2650" s="46" t="n"/>
      <c r="K2650" s="46" t="n">
        <v>2649</v>
      </c>
      <c r="L2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1">
      <c r="A2651" s="229" t="n">
        <v>46221</v>
      </c>
      <c r="B2651" s="46" t="inlineStr">
        <is>
          <t>메모</t>
        </is>
      </c>
      <c r="C2651" s="46" t="inlineStr">
        <is>
          <t>부천지역</t>
        </is>
      </c>
      <c r="D2651" s="46" t="inlineStr">
        <is>
          <t>김영권휴가</t>
        </is>
      </c>
      <c r="E2651" s="46" t="n"/>
      <c r="F2651" s="46" t="n"/>
      <c r="G2651" s="50" t="n"/>
      <c r="H2651" s="51" t="n"/>
      <c r="I2651" s="46" t="n"/>
      <c r="K2651" s="46" t="n">
        <v>2650</v>
      </c>
      <c r="L2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2">
      <c r="A2652" s="229" t="n">
        <v>46221</v>
      </c>
      <c r="B2652" s="46" t="inlineStr">
        <is>
          <t>메모</t>
        </is>
      </c>
      <c r="C2652" s="46" t="inlineStr">
        <is>
          <t>부천지역</t>
        </is>
      </c>
      <c r="D2652" s="46" t="inlineStr">
        <is>
          <t>민재홍휴가</t>
        </is>
      </c>
      <c r="E2652" s="46" t="n"/>
      <c r="F2652" s="46" t="n"/>
      <c r="G2652" s="50" t="n"/>
      <c r="H2652" s="51" t="n"/>
      <c r="I2652" s="46" t="n"/>
      <c r="K2652" s="46" t="n">
        <v>2651</v>
      </c>
      <c r="L2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3">
      <c r="A2653" s="229" t="n">
        <v>46221</v>
      </c>
      <c r="B2653" s="46" t="inlineStr">
        <is>
          <t>사용전검사</t>
        </is>
      </c>
      <c r="C2653" s="46" t="inlineStr">
        <is>
          <t>김포지역</t>
        </is>
      </c>
      <c r="D2653" s="46" t="inlineStr">
        <is>
          <t>영화수출포장</t>
        </is>
      </c>
      <c r="E2653" s="46" t="n">
        <v>500</v>
      </c>
      <c r="F2653" s="46" t="inlineStr">
        <is>
          <t>학운리</t>
        </is>
      </c>
      <c r="G2653" s="50" t="n">
        <v>0.375</v>
      </c>
      <c r="H2653" s="51" t="n"/>
      <c r="I2653" s="46" t="n"/>
      <c r="K2653" s="46" t="n">
        <v>2652</v>
      </c>
      <c r="L2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4">
      <c r="A2654" s="229" t="n">
        <v>46222</v>
      </c>
      <c r="B2654" s="46" t="inlineStr">
        <is>
          <t>메모</t>
        </is>
      </c>
      <c r="C2654" s="46" t="inlineStr">
        <is>
          <t>부천지역</t>
        </is>
      </c>
      <c r="D2654" s="46" t="inlineStr">
        <is>
          <t>이덕기휴가</t>
        </is>
      </c>
      <c r="E2654" s="46" t="n"/>
      <c r="F2654" s="46" t="n"/>
      <c r="G2654" s="50" t="n"/>
      <c r="H2654" s="51" t="n"/>
      <c r="I2654" s="46" t="n"/>
      <c r="K2654" s="46" t="n">
        <v>2653</v>
      </c>
      <c r="L2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5">
      <c r="A2655" s="229" t="n">
        <v>46222</v>
      </c>
      <c r="B2655" s="46" t="inlineStr">
        <is>
          <t>메모</t>
        </is>
      </c>
      <c r="C2655" s="46" t="inlineStr">
        <is>
          <t>부천지역</t>
        </is>
      </c>
      <c r="D2655" s="46" t="inlineStr">
        <is>
          <t>민재홍휴가</t>
        </is>
      </c>
      <c r="E2655" s="46" t="n"/>
      <c r="F2655" s="46" t="n"/>
      <c r="G2655" s="50" t="n"/>
      <c r="H2655" s="51" t="n"/>
      <c r="I2655" s="46" t="n"/>
      <c r="K2655" s="46" t="n">
        <v>2654</v>
      </c>
      <c r="L2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6">
      <c r="A2656" s="229" t="n">
        <v>46223</v>
      </c>
      <c r="B2656" s="46" t="inlineStr">
        <is>
          <t>정기검사</t>
        </is>
      </c>
      <c r="C2656" s="46" t="inlineStr">
        <is>
          <t>부천지역</t>
        </is>
      </c>
      <c r="D2656" s="46" t="inlineStr">
        <is>
          <t>원미고</t>
        </is>
      </c>
      <c r="E2656" s="46" t="n">
        <v>800</v>
      </c>
      <c r="F2656" s="46" t="inlineStr">
        <is>
          <t>도당동</t>
        </is>
      </c>
      <c r="G2656" s="50" t="n">
        <v>0.3958333333333333</v>
      </c>
      <c r="H2656" s="51" t="n">
        <v>838640</v>
      </c>
      <c r="I2656" s="46" t="inlineStr">
        <is>
          <t>정신배</t>
        </is>
      </c>
      <c r="K2656" s="46" t="n">
        <v>2655</v>
      </c>
      <c r="L2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7">
      <c r="A2657" s="229" t="n">
        <v>46223</v>
      </c>
      <c r="B2657" s="46" t="inlineStr">
        <is>
          <t>정기검사</t>
        </is>
      </c>
      <c r="C2657" s="46" t="inlineStr">
        <is>
          <t>부천지역</t>
        </is>
      </c>
      <c r="D2657" s="46" t="inlineStr">
        <is>
          <t>월드컬렉션</t>
        </is>
      </c>
      <c r="E2657" s="46" t="n">
        <v>97.5</v>
      </c>
      <c r="F2657" s="46" t="inlineStr">
        <is>
          <t>오정동</t>
        </is>
      </c>
      <c r="G2657" s="50" t="n">
        <v>0.4791666666666667</v>
      </c>
      <c r="H2657" s="51" t="n">
        <v>253000</v>
      </c>
      <c r="I2657" s="46" t="inlineStr">
        <is>
          <t>허창수</t>
        </is>
      </c>
      <c r="K2657" s="46" t="n">
        <v>2656</v>
      </c>
      <c r="L2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8">
      <c r="A2658" s="229" t="n">
        <v>46223</v>
      </c>
      <c r="B2658" s="46" t="inlineStr">
        <is>
          <t>정기검사</t>
        </is>
      </c>
      <c r="C2658" s="46" t="inlineStr">
        <is>
          <t>부천지역</t>
        </is>
      </c>
      <c r="D2658" s="46" t="inlineStr">
        <is>
          <t>상일고</t>
        </is>
      </c>
      <c r="E2658" s="46" t="n">
        <v>750</v>
      </c>
      <c r="F2658" s="46" t="inlineStr">
        <is>
          <t>중동</t>
        </is>
      </c>
      <c r="G2658" s="50" t="n">
        <v>0.4166666666666667</v>
      </c>
      <c r="H2658" s="51" t="n">
        <v>821700</v>
      </c>
      <c r="I2658" s="46" t="inlineStr">
        <is>
          <t>서수형</t>
        </is>
      </c>
      <c r="K2658" s="46" t="n">
        <v>2657</v>
      </c>
      <c r="L2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9">
      <c r="A2659" s="229" t="n">
        <v>46223</v>
      </c>
      <c r="B2659" s="46" t="inlineStr">
        <is>
          <t>정기검사</t>
        </is>
      </c>
      <c r="C2659" s="46" t="inlineStr">
        <is>
          <t>부천지역</t>
        </is>
      </c>
      <c r="D2659" s="46" t="inlineStr">
        <is>
          <t>두산위브트레지움</t>
        </is>
      </c>
      <c r="E2659" s="46" t="inlineStr">
        <is>
          <t>3550/1131</t>
        </is>
      </c>
      <c r="F2659" s="46" t="inlineStr">
        <is>
          <t>약대동</t>
        </is>
      </c>
      <c r="G2659" s="50" t="n">
        <v>0.3958333333333333</v>
      </c>
      <c r="H2659" s="51" t="n">
        <v>1681020</v>
      </c>
      <c r="I2659" s="46" t="inlineStr">
        <is>
          <t>허록종</t>
        </is>
      </c>
      <c r="K2659" s="46" t="n">
        <v>2658</v>
      </c>
      <c r="L2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0">
      <c r="A2660" s="229" t="n">
        <v>46223</v>
      </c>
      <c r="B2660" s="46" t="inlineStr">
        <is>
          <t>정기검사</t>
        </is>
      </c>
      <c r="C2660" s="46" t="inlineStr">
        <is>
          <t>부천지역</t>
        </is>
      </c>
      <c r="D2660" s="46" t="inlineStr">
        <is>
          <t>두산위브트레지움</t>
        </is>
      </c>
      <c r="E2660" s="46" t="inlineStr">
        <is>
          <t>전기차</t>
        </is>
      </c>
      <c r="F2660" s="46" t="n"/>
      <c r="G2660" s="50" t="n"/>
      <c r="H2660" s="51" t="n">
        <v>182820</v>
      </c>
      <c r="I2660" s="46" t="inlineStr">
        <is>
          <t>허록종</t>
        </is>
      </c>
      <c r="K2660" s="46" t="n">
        <v>2659</v>
      </c>
      <c r="L2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1">
      <c r="A2661" s="229" t="n">
        <v>46223</v>
      </c>
      <c r="B2661" s="46" t="inlineStr">
        <is>
          <t>정기검사</t>
        </is>
      </c>
      <c r="C2661" s="46" t="inlineStr">
        <is>
          <t>김포지역</t>
        </is>
      </c>
      <c r="D2661" s="46" t="inlineStr">
        <is>
          <t>윤성금속</t>
        </is>
      </c>
      <c r="E2661" s="46" t="n">
        <v>299</v>
      </c>
      <c r="F2661" s="46" t="inlineStr">
        <is>
          <t>학운리</t>
        </is>
      </c>
      <c r="G2661" s="50" t="n">
        <v>0.5</v>
      </c>
      <c r="H2661" s="51" t="n">
        <v>521070</v>
      </c>
      <c r="I2661" s="46" t="inlineStr">
        <is>
          <t>김영권</t>
        </is>
      </c>
      <c r="K2661" s="46" t="n">
        <v>2660</v>
      </c>
      <c r="L2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2">
      <c r="A2662" s="229" t="n">
        <v>46223</v>
      </c>
      <c r="B2662" s="46" t="inlineStr">
        <is>
          <t>정기검사</t>
        </is>
      </c>
      <c r="C2662" s="46" t="inlineStr">
        <is>
          <t>김포지역</t>
        </is>
      </c>
      <c r="D2662" s="46" t="inlineStr">
        <is>
          <t>그랜드타워</t>
        </is>
      </c>
      <c r="E2662" s="46" t="inlineStr">
        <is>
          <t>1250/209</t>
        </is>
      </c>
      <c r="F2662" s="46" t="inlineStr">
        <is>
          <t>운양동</t>
        </is>
      </c>
      <c r="G2662" s="50" t="n">
        <v>0.2708333333333333</v>
      </c>
      <c r="H2662" s="51" t="n">
        <v>1483790</v>
      </c>
      <c r="I2662" s="46" t="inlineStr">
        <is>
          <t>옹승완</t>
        </is>
      </c>
      <c r="K2662" s="46" t="n">
        <v>2661</v>
      </c>
      <c r="L2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3">
      <c r="A2663" s="229" t="n">
        <v>46223</v>
      </c>
      <c r="B2663" s="46" t="inlineStr">
        <is>
          <t>정기검사</t>
        </is>
      </c>
      <c r="C2663" s="46" t="inlineStr">
        <is>
          <t>김포지역</t>
        </is>
      </c>
      <c r="D2663" s="46" t="inlineStr">
        <is>
          <t>DY케미칼</t>
        </is>
      </c>
      <c r="E2663" s="46" t="n">
        <v>200</v>
      </c>
      <c r="F2663" s="46" t="inlineStr">
        <is>
          <t>고촌</t>
        </is>
      </c>
      <c r="G2663" s="50" t="n">
        <v>0.4791666666666667</v>
      </c>
      <c r="H2663" s="51" t="n">
        <v>456720</v>
      </c>
      <c r="I2663" s="46" t="inlineStr">
        <is>
          <t>이종석</t>
        </is>
      </c>
      <c r="K2663" s="46" t="n">
        <v>2662</v>
      </c>
      <c r="L2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4">
      <c r="A2664" s="229" t="n">
        <v>46223</v>
      </c>
      <c r="B2664" s="46" t="inlineStr">
        <is>
          <t>사용전검사</t>
        </is>
      </c>
      <c r="C2664" s="46" t="inlineStr">
        <is>
          <t>부천지역</t>
        </is>
      </c>
      <c r="D2664" s="46" t="inlineStr">
        <is>
          <t>삼우</t>
        </is>
      </c>
      <c r="E2664" s="46" t="inlineStr">
        <is>
          <t>부분</t>
        </is>
      </c>
      <c r="F2664" s="46" t="n"/>
      <c r="G2664" s="50" t="n"/>
      <c r="H2664" s="51" t="n"/>
      <c r="I2664" s="46" t="inlineStr">
        <is>
          <t>정신배</t>
        </is>
      </c>
      <c r="K2664" s="46" t="n">
        <v>2663</v>
      </c>
      <c r="L2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5">
      <c r="A2665" s="229" t="n">
        <v>46223</v>
      </c>
      <c r="B2665" s="46" t="inlineStr">
        <is>
          <t>사용전검사</t>
        </is>
      </c>
      <c r="C2665" s="46" t="inlineStr">
        <is>
          <t>부천지역</t>
        </is>
      </c>
      <c r="D2665" s="46" t="inlineStr">
        <is>
          <t>이행나</t>
        </is>
      </c>
      <c r="E2665" s="46" t="n">
        <v>11</v>
      </c>
      <c r="F2665" s="46" t="inlineStr">
        <is>
          <t>도당동</t>
        </is>
      </c>
      <c r="G2665" s="50" t="n"/>
      <c r="H2665" s="51" t="n"/>
      <c r="I2665" s="46" t="inlineStr">
        <is>
          <t>정성관</t>
        </is>
      </c>
      <c r="K2665" s="46" t="n">
        <v>2664</v>
      </c>
      <c r="L2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6">
      <c r="A2666" s="229" t="n">
        <v>46223</v>
      </c>
      <c r="B2666" s="46" t="inlineStr">
        <is>
          <t>사용전검사</t>
        </is>
      </c>
      <c r="C2666" s="46" t="inlineStr">
        <is>
          <t>김포지역</t>
        </is>
      </c>
      <c r="D2666" s="46" t="inlineStr">
        <is>
          <t>운양초</t>
        </is>
      </c>
      <c r="E2666" s="46" t="n">
        <v>950</v>
      </c>
      <c r="F2666" s="46" t="inlineStr">
        <is>
          <t>운양동</t>
        </is>
      </c>
      <c r="G2666" s="50" t="n"/>
      <c r="H2666" s="51" t="n"/>
      <c r="I2666" s="46" t="inlineStr">
        <is>
          <t>변종국</t>
        </is>
      </c>
      <c r="K2666" s="46" t="n">
        <v>2665</v>
      </c>
      <c r="L2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7">
      <c r="A2667" s="229" t="n">
        <v>46223</v>
      </c>
      <c r="B2667" s="46" t="inlineStr">
        <is>
          <t>사용전검사</t>
        </is>
      </c>
      <c r="C2667" s="46" t="inlineStr">
        <is>
          <t>김포지역</t>
        </is>
      </c>
      <c r="D2667" s="46" t="inlineStr">
        <is>
          <t>건영</t>
        </is>
      </c>
      <c r="E2667" s="46" t="n">
        <v>87</v>
      </c>
      <c r="F2667" s="46" t="inlineStr">
        <is>
          <t>석정리</t>
        </is>
      </c>
      <c r="G2667" s="50" t="n"/>
      <c r="H2667" s="51" t="n"/>
      <c r="I2667" s="46" t="inlineStr">
        <is>
          <t>민재홍</t>
        </is>
      </c>
      <c r="K2667" s="46" t="n">
        <v>2666</v>
      </c>
      <c r="L2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8">
      <c r="A2668" s="229" t="n">
        <v>46223</v>
      </c>
      <c r="B2668" s="46" t="inlineStr">
        <is>
          <t>사용전검사</t>
        </is>
      </c>
      <c r="C2668" s="46" t="inlineStr">
        <is>
          <t>김포지역</t>
        </is>
      </c>
      <c r="D2668" s="46" t="inlineStr">
        <is>
          <t>운양초</t>
        </is>
      </c>
      <c r="E2668" s="46" t="n">
        <v>91</v>
      </c>
      <c r="F2668" s="46" t="inlineStr">
        <is>
          <t>운양동</t>
        </is>
      </c>
      <c r="G2668" s="50" t="n"/>
      <c r="H2668" s="51" t="n"/>
      <c r="I2668" s="46" t="inlineStr">
        <is>
          <t>이종석</t>
        </is>
      </c>
      <c r="K2668" s="46" t="n">
        <v>2667</v>
      </c>
      <c r="L2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9">
      <c r="A2669" s="229" t="n">
        <v>46223</v>
      </c>
      <c r="B2669" s="46" t="inlineStr">
        <is>
          <t>사용전검사</t>
        </is>
      </c>
      <c r="C2669" s="46" t="inlineStr">
        <is>
          <t>김포지역</t>
        </is>
      </c>
      <c r="D2669" s="46" t="inlineStr">
        <is>
          <t>엠티엠</t>
        </is>
      </c>
      <c r="E2669" s="46" t="n">
        <v>120</v>
      </c>
      <c r="F2669" s="46" t="inlineStr">
        <is>
          <t>동을산리</t>
        </is>
      </c>
      <c r="G2669" s="50" t="n"/>
      <c r="H2669" s="51" t="n"/>
      <c r="I2669" s="46" t="inlineStr">
        <is>
          <t>이덕기</t>
        </is>
      </c>
      <c r="K2669" s="46" t="n">
        <v>2668</v>
      </c>
      <c r="L2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0">
      <c r="A2670" s="229" t="n">
        <v>46224</v>
      </c>
      <c r="B2670" s="46" t="inlineStr">
        <is>
          <t>정기검사</t>
        </is>
      </c>
      <c r="C2670" s="46" t="inlineStr">
        <is>
          <t>부천지역</t>
        </is>
      </c>
      <c r="D2670" s="46" t="inlineStr">
        <is>
          <t>수석프라자</t>
        </is>
      </c>
      <c r="E2670" s="46" t="inlineStr">
        <is>
          <t>950/115</t>
        </is>
      </c>
      <c r="F2670" s="46" t="inlineStr">
        <is>
          <t>상동</t>
        </is>
      </c>
      <c r="G2670" s="50" t="n">
        <v>0.3958333333333333</v>
      </c>
      <c r="H2670" s="51" t="n">
        <v>1060070</v>
      </c>
      <c r="I2670" s="46" t="inlineStr">
        <is>
          <t>이덕기</t>
        </is>
      </c>
      <c r="K2670" s="46" t="n">
        <v>2669</v>
      </c>
      <c r="L2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1">
      <c r="A2671" s="229" t="n">
        <v>46224</v>
      </c>
      <c r="B2671" s="46" t="inlineStr">
        <is>
          <t>정기검사</t>
        </is>
      </c>
      <c r="C2671" s="46" t="inlineStr">
        <is>
          <t>부천지역</t>
        </is>
      </c>
      <c r="D2671" s="46" t="inlineStr">
        <is>
          <t>우신세미텍</t>
        </is>
      </c>
      <c r="E2671" s="46" t="n">
        <v>290</v>
      </c>
      <c r="F2671" s="46" t="inlineStr">
        <is>
          <t>도당동</t>
        </is>
      </c>
      <c r="G2671" s="50" t="n">
        <v>0.5</v>
      </c>
      <c r="H2671" s="51" t="n">
        <v>515130</v>
      </c>
      <c r="I2671" s="46" t="inlineStr">
        <is>
          <t>옹승완</t>
        </is>
      </c>
      <c r="K2671" s="46" t="n">
        <v>2670</v>
      </c>
      <c r="L2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2">
      <c r="A2672" s="229" t="n">
        <v>46224</v>
      </c>
      <c r="B2672" s="46" t="inlineStr">
        <is>
          <t>정기검사</t>
        </is>
      </c>
      <c r="C2672" s="46" t="inlineStr">
        <is>
          <t>부천지역</t>
        </is>
      </c>
      <c r="D2672" s="46" t="inlineStr">
        <is>
          <t>월드선교회</t>
        </is>
      </c>
      <c r="E2672" s="46" t="n">
        <v>550</v>
      </c>
      <c r="F2672" s="46" t="inlineStr">
        <is>
          <t>괴안동</t>
        </is>
      </c>
      <c r="G2672" s="50" t="n">
        <v>0.5</v>
      </c>
      <c r="H2672" s="51" t="n">
        <v>753940</v>
      </c>
      <c r="I2672" s="46" t="inlineStr">
        <is>
          <t>한태희</t>
        </is>
      </c>
      <c r="K2672" s="46" t="n">
        <v>2671</v>
      </c>
      <c r="L2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3">
      <c r="A2673" s="229" t="n">
        <v>46224</v>
      </c>
      <c r="B2673" s="46" t="inlineStr">
        <is>
          <t>정기검사</t>
        </is>
      </c>
      <c r="C2673" s="46" t="inlineStr">
        <is>
          <t>부천지역</t>
        </is>
      </c>
      <c r="D2673" s="46" t="inlineStr">
        <is>
          <t>세창짜임아파트</t>
        </is>
      </c>
      <c r="E2673" s="46" t="inlineStr">
        <is>
          <t>600/145</t>
        </is>
      </c>
      <c r="F2673" s="46" t="inlineStr">
        <is>
          <t>역곡동</t>
        </is>
      </c>
      <c r="G2673" s="50" t="n">
        <v>0.4166666666666667</v>
      </c>
      <c r="H2673" s="51" t="n">
        <v>950400</v>
      </c>
      <c r="I2673" s="46" t="inlineStr">
        <is>
          <t>정신배</t>
        </is>
      </c>
      <c r="K2673" s="46" t="n">
        <v>2672</v>
      </c>
      <c r="L2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4">
      <c r="A2674" s="229" t="n">
        <v>46224</v>
      </c>
      <c r="B2674" s="46" t="inlineStr">
        <is>
          <t>정기검사</t>
        </is>
      </c>
      <c r="C2674" s="46" t="inlineStr">
        <is>
          <t>부천지역</t>
        </is>
      </c>
      <c r="D2674" s="46" t="inlineStr">
        <is>
          <t>보강센트럴빌</t>
        </is>
      </c>
      <c r="E2674" s="46" t="inlineStr">
        <is>
          <t>350/146</t>
        </is>
      </c>
      <c r="F2674" s="46" t="inlineStr">
        <is>
          <t>심곡본동</t>
        </is>
      </c>
      <c r="G2674" s="50" t="n">
        <v>0.5833333333333334</v>
      </c>
      <c r="H2674" s="51" t="n">
        <v>865920</v>
      </c>
      <c r="I2674" s="46" t="inlineStr">
        <is>
          <t>정신배</t>
        </is>
      </c>
      <c r="K2674" s="46" t="n">
        <v>2673</v>
      </c>
      <c r="L2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5">
      <c r="A2675" s="229" t="n">
        <v>46224</v>
      </c>
      <c r="B2675" s="46" t="inlineStr">
        <is>
          <t>정기검사</t>
        </is>
      </c>
      <c r="C2675" s="46" t="inlineStr">
        <is>
          <t>부천지역</t>
        </is>
      </c>
      <c r="D2675" s="46" t="inlineStr">
        <is>
          <t>대광정밀</t>
        </is>
      </c>
      <c r="E2675" s="46" t="n">
        <v>250</v>
      </c>
      <c r="F2675" s="46" t="inlineStr">
        <is>
          <t>오정동</t>
        </is>
      </c>
      <c r="G2675" s="50" t="n">
        <v>0.5</v>
      </c>
      <c r="H2675" s="51" t="n">
        <v>489170</v>
      </c>
      <c r="I2675" s="46" t="inlineStr">
        <is>
          <t>정성관</t>
        </is>
      </c>
      <c r="K2675" s="46" t="n">
        <v>2674</v>
      </c>
      <c r="L2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6">
      <c r="A2676" s="229" t="n">
        <v>46224</v>
      </c>
      <c r="B2676" s="46" t="inlineStr">
        <is>
          <t>정기검사</t>
        </is>
      </c>
      <c r="C2676" s="46" t="inlineStr">
        <is>
          <t>김포지역</t>
        </is>
      </c>
      <c r="D2676" s="46" t="inlineStr">
        <is>
          <t>엠앤피스테이션</t>
        </is>
      </c>
      <c r="E2676" s="46" t="n">
        <v>99</v>
      </c>
      <c r="F2676" s="46" t="inlineStr">
        <is>
          <t>동을산리</t>
        </is>
      </c>
      <c r="G2676" s="50" t="n">
        <v>0.3958333333333333</v>
      </c>
      <c r="H2676" s="51" t="n">
        <v>254870</v>
      </c>
      <c r="I2676" s="46" t="inlineStr">
        <is>
          <t>당효진</t>
        </is>
      </c>
      <c r="K2676" s="46" t="n">
        <v>2675</v>
      </c>
      <c r="L2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7">
      <c r="A2677" s="229" t="n">
        <v>46224</v>
      </c>
      <c r="B2677" s="46" t="inlineStr">
        <is>
          <t>정기검사</t>
        </is>
      </c>
      <c r="C2677" s="46" t="inlineStr">
        <is>
          <t>김포지역</t>
        </is>
      </c>
      <c r="D2677" s="46" t="inlineStr">
        <is>
          <t>프라임복합상가</t>
        </is>
      </c>
      <c r="E2677" s="46" t="inlineStr">
        <is>
          <t>2250/509</t>
        </is>
      </c>
      <c r="F2677" s="46" t="inlineStr">
        <is>
          <t>유현리</t>
        </is>
      </c>
      <c r="G2677" s="50" t="n">
        <v>0.25</v>
      </c>
      <c r="H2677" s="51" t="n">
        <v>1765500</v>
      </c>
      <c r="I2677" s="46" t="inlineStr">
        <is>
          <t>김영권</t>
        </is>
      </c>
      <c r="K2677" s="46" t="n">
        <v>2676</v>
      </c>
      <c r="L2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8">
      <c r="A2678" s="229" t="n">
        <v>46224</v>
      </c>
      <c r="B2678" s="46" t="inlineStr">
        <is>
          <t>정기검사</t>
        </is>
      </c>
      <c r="C2678" s="46" t="inlineStr">
        <is>
          <t>김포지역</t>
        </is>
      </c>
      <c r="D2678" s="46" t="inlineStr">
        <is>
          <t>성우공업</t>
        </is>
      </c>
      <c r="E2678" s="46" t="n">
        <v>600</v>
      </c>
      <c r="F2678" s="46" t="inlineStr">
        <is>
          <t>가현리</t>
        </is>
      </c>
      <c r="G2678" s="50" t="n">
        <v>0.5</v>
      </c>
      <c r="H2678" s="51" t="n">
        <v>770880</v>
      </c>
      <c r="I2678" s="46" t="inlineStr">
        <is>
          <t>허록종</t>
        </is>
      </c>
      <c r="K2678" s="46" t="n">
        <v>2677</v>
      </c>
      <c r="L2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9">
      <c r="A2679" s="229" t="n">
        <v>46224</v>
      </c>
      <c r="B2679" s="46" t="inlineStr">
        <is>
          <t>정기검사</t>
        </is>
      </c>
      <c r="C2679" s="46" t="inlineStr">
        <is>
          <t>김포지역</t>
        </is>
      </c>
      <c r="D2679" s="46" t="inlineStr">
        <is>
          <t>리치</t>
        </is>
      </c>
      <c r="E2679" s="46" t="n">
        <v>250</v>
      </c>
      <c r="F2679" s="46" t="inlineStr">
        <is>
          <t>송마리</t>
        </is>
      </c>
      <c r="G2679" s="50" t="n">
        <v>0.5</v>
      </c>
      <c r="H2679" s="51" t="n">
        <v>489170</v>
      </c>
      <c r="I2679" s="46" t="inlineStr">
        <is>
          <t>서수형</t>
        </is>
      </c>
      <c r="K2679" s="46" t="n">
        <v>2678</v>
      </c>
      <c r="L2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0">
      <c r="A2680" s="229" t="n">
        <v>46224</v>
      </c>
      <c r="B2680" s="46" t="inlineStr">
        <is>
          <t>정기검사</t>
        </is>
      </c>
      <c r="C2680" s="46" t="inlineStr">
        <is>
          <t>김포지역</t>
        </is>
      </c>
      <c r="D2680" s="46" t="inlineStr">
        <is>
          <t>삼연엔지니어링</t>
        </is>
      </c>
      <c r="E2680" s="46" t="n">
        <v>290</v>
      </c>
      <c r="F2680" s="46" t="inlineStr">
        <is>
          <t>학운리</t>
        </is>
      </c>
      <c r="G2680" s="50" t="n">
        <v>0.5208333333333334</v>
      </c>
      <c r="H2680" s="51" t="n">
        <v>515130</v>
      </c>
      <c r="I2680" s="46" t="inlineStr">
        <is>
          <t>이종석</t>
        </is>
      </c>
      <c r="K2680" s="46" t="n">
        <v>2679</v>
      </c>
      <c r="L2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1">
      <c r="A2681" s="229" t="n">
        <v>46224</v>
      </c>
      <c r="B2681" s="46" t="inlineStr">
        <is>
          <t>정기검사</t>
        </is>
      </c>
      <c r="C2681" s="46" t="inlineStr">
        <is>
          <t>김포지역</t>
        </is>
      </c>
      <c r="D2681" s="46" t="inlineStr">
        <is>
          <t>고촌중</t>
        </is>
      </c>
      <c r="E2681" s="46" t="n">
        <v>750</v>
      </c>
      <c r="F2681" s="46" t="inlineStr">
        <is>
          <t>신곡리</t>
        </is>
      </c>
      <c r="G2681" s="50" t="n">
        <v>0.5833333333333334</v>
      </c>
      <c r="H2681" s="51" t="n">
        <v>821700</v>
      </c>
      <c r="I2681" s="46" t="inlineStr">
        <is>
          <t>허창수</t>
        </is>
      </c>
      <c r="K2681" s="46" t="n">
        <v>2680</v>
      </c>
      <c r="L2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2">
      <c r="A2682" s="229" t="n">
        <v>46224</v>
      </c>
      <c r="B2682" s="46" t="inlineStr">
        <is>
          <t>사용전검사</t>
        </is>
      </c>
      <c r="C2682" s="46" t="inlineStr">
        <is>
          <t>부천지역</t>
        </is>
      </c>
      <c r="D2682" s="46" t="inlineStr">
        <is>
          <t>디엘건설</t>
        </is>
      </c>
      <c r="E2682" s="46" t="n">
        <v>500</v>
      </c>
      <c r="F2682" s="46" t="inlineStr">
        <is>
          <t>오정동</t>
        </is>
      </c>
      <c r="G2682" s="50" t="n"/>
      <c r="H2682" s="51" t="n"/>
      <c r="I2682" s="46" t="inlineStr">
        <is>
          <t>옹승완</t>
        </is>
      </c>
      <c r="K2682" s="46" t="n">
        <v>2681</v>
      </c>
      <c r="L2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3">
      <c r="A2683" s="229" t="n">
        <v>46224</v>
      </c>
      <c r="B2683" s="46" t="inlineStr">
        <is>
          <t>사용전검사</t>
        </is>
      </c>
      <c r="C2683" s="46" t="inlineStr">
        <is>
          <t>김포지역</t>
        </is>
      </c>
      <c r="D2683" s="46" t="inlineStr">
        <is>
          <t>동아특장차</t>
        </is>
      </c>
      <c r="E2683" s="46" t="n">
        <v>78</v>
      </c>
      <c r="F2683" s="46" t="inlineStr">
        <is>
          <t>고양리</t>
        </is>
      </c>
      <c r="G2683" s="50" t="n"/>
      <c r="H2683" s="51" t="n"/>
      <c r="I2683" s="46" t="inlineStr">
        <is>
          <t>민재홍</t>
        </is>
      </c>
      <c r="K2683" s="46" t="n">
        <v>2682</v>
      </c>
      <c r="L2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4">
      <c r="A2684" s="229" t="n">
        <v>46224</v>
      </c>
      <c r="B2684" s="46" t="inlineStr">
        <is>
          <t>사용전검사</t>
        </is>
      </c>
      <c r="C2684" s="46" t="inlineStr">
        <is>
          <t>김포지역</t>
        </is>
      </c>
      <c r="D2684" s="46" t="inlineStr">
        <is>
          <t>명성이앤비</t>
        </is>
      </c>
      <c r="E2684" s="46" t="n">
        <v>215.43</v>
      </c>
      <c r="F2684" s="46" t="inlineStr">
        <is>
          <t>상마리</t>
        </is>
      </c>
      <c r="G2684" s="50" t="n"/>
      <c r="H2684" s="51" t="n"/>
      <c r="I2684" s="46" t="inlineStr">
        <is>
          <t>변종국</t>
        </is>
      </c>
      <c r="K2684" s="46" t="n">
        <v>2683</v>
      </c>
      <c r="L2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5">
      <c r="A2685" s="229" t="n">
        <v>46224</v>
      </c>
      <c r="B2685" s="46" t="inlineStr">
        <is>
          <t>사용전검사</t>
        </is>
      </c>
      <c r="C2685" s="46" t="inlineStr">
        <is>
          <t>김포지역</t>
        </is>
      </c>
      <c r="D2685" s="46" t="inlineStr">
        <is>
          <t>케이티</t>
        </is>
      </c>
      <c r="E2685" s="46" t="n">
        <v>4</v>
      </c>
      <c r="F2685" s="46" t="inlineStr">
        <is>
          <t>대명리</t>
        </is>
      </c>
      <c r="G2685" s="50" t="n"/>
      <c r="H2685" s="51" t="n"/>
      <c r="I2685" s="46" t="inlineStr">
        <is>
          <t>변종국</t>
        </is>
      </c>
      <c r="K2685" s="46" t="n">
        <v>2684</v>
      </c>
      <c r="L2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6">
      <c r="A2686" s="229" t="n">
        <v>46225</v>
      </c>
      <c r="B2686" s="46" t="inlineStr">
        <is>
          <t>정기검사</t>
        </is>
      </c>
      <c r="C2686" s="46" t="inlineStr">
        <is>
          <t>부천지역</t>
        </is>
      </c>
      <c r="D2686" s="46" t="inlineStr">
        <is>
          <t>중흥중</t>
        </is>
      </c>
      <c r="E2686" s="46" t="n">
        <v>750</v>
      </c>
      <c r="F2686" s="46" t="inlineStr">
        <is>
          <t>중동</t>
        </is>
      </c>
      <c r="G2686" s="50" t="n">
        <v>0.3958333333333333</v>
      </c>
      <c r="H2686" s="51" t="n">
        <v>821700</v>
      </c>
      <c r="I2686" s="46" t="inlineStr">
        <is>
          <t>허록종</t>
        </is>
      </c>
      <c r="K2686" s="46" t="n">
        <v>2685</v>
      </c>
      <c r="L2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7">
      <c r="A2687" s="229" t="n">
        <v>46225</v>
      </c>
      <c r="B2687" s="46" t="inlineStr">
        <is>
          <t>정기검사</t>
        </is>
      </c>
      <c r="C2687" s="46" t="inlineStr">
        <is>
          <t>부천지역</t>
        </is>
      </c>
      <c r="D2687" s="46" t="inlineStr">
        <is>
          <t>예성빌딩</t>
        </is>
      </c>
      <c r="E2687" s="46" t="n">
        <v>300</v>
      </c>
      <c r="F2687" s="46" t="inlineStr">
        <is>
          <t>역곡동</t>
        </is>
      </c>
      <c r="G2687" s="50" t="n">
        <v>0.2916666666666667</v>
      </c>
      <c r="H2687" s="51" t="n">
        <v>678150</v>
      </c>
      <c r="I2687" s="46" t="inlineStr">
        <is>
          <t>당효진</t>
        </is>
      </c>
      <c r="K2687" s="46" t="n">
        <v>2686</v>
      </c>
      <c r="L2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8">
      <c r="A2688" s="229" t="n">
        <v>46225</v>
      </c>
      <c r="B2688" s="46" t="inlineStr">
        <is>
          <t>정기검사</t>
        </is>
      </c>
      <c r="C2688" s="46" t="inlineStr">
        <is>
          <t>부천지역</t>
        </is>
      </c>
      <c r="D2688" s="46" t="inlineStr">
        <is>
          <t>혜성열처리</t>
        </is>
      </c>
      <c r="E2688" s="46" t="n">
        <v>295</v>
      </c>
      <c r="F2688" s="46" t="inlineStr">
        <is>
          <t>내동</t>
        </is>
      </c>
      <c r="G2688" s="50" t="n">
        <v>0.5</v>
      </c>
      <c r="H2688" s="51" t="n">
        <v>518430</v>
      </c>
      <c r="I2688" s="46" t="inlineStr">
        <is>
          <t>허록종</t>
        </is>
      </c>
      <c r="K2688" s="46" t="n">
        <v>2687</v>
      </c>
      <c r="L2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9">
      <c r="A2689" s="229" t="n">
        <v>46225</v>
      </c>
      <c r="B2689" s="46" t="inlineStr">
        <is>
          <t>정기검사</t>
        </is>
      </c>
      <c r="C2689" s="46" t="inlineStr">
        <is>
          <t>부천지역</t>
        </is>
      </c>
      <c r="D2689" s="46" t="inlineStr">
        <is>
          <t>경도정밀</t>
        </is>
      </c>
      <c r="E2689" s="46" t="n">
        <v>150</v>
      </c>
      <c r="F2689" s="46" t="inlineStr">
        <is>
          <t>오정동</t>
        </is>
      </c>
      <c r="G2689" s="50" t="n">
        <v>0.5</v>
      </c>
      <c r="H2689" s="51" t="n">
        <v>424160</v>
      </c>
      <c r="I2689" s="46" t="inlineStr">
        <is>
          <t>정신배</t>
        </is>
      </c>
      <c r="K2689" s="46" t="n">
        <v>2688</v>
      </c>
      <c r="L2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0">
      <c r="A2690" s="229" t="n">
        <v>46225</v>
      </c>
      <c r="B2690" s="46" t="inlineStr">
        <is>
          <t>정기검사</t>
        </is>
      </c>
      <c r="C2690" s="46" t="inlineStr">
        <is>
          <t>부천지역</t>
        </is>
      </c>
      <c r="D2690" s="46" t="inlineStr">
        <is>
          <t>정수엔지니어링</t>
        </is>
      </c>
      <c r="E2690" s="46" t="n">
        <v>290</v>
      </c>
      <c r="F2690" s="46" t="inlineStr">
        <is>
          <t>내동</t>
        </is>
      </c>
      <c r="G2690" s="50" t="n">
        <v>0.5</v>
      </c>
      <c r="H2690" s="51" t="n">
        <v>515130</v>
      </c>
      <c r="I2690" s="46" t="inlineStr">
        <is>
          <t>한태희</t>
        </is>
      </c>
      <c r="K2690" s="46" t="n">
        <v>2689</v>
      </c>
      <c r="L2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1">
      <c r="A2691" s="229" t="n">
        <v>46225</v>
      </c>
      <c r="B2691" s="46" t="inlineStr">
        <is>
          <t>정기검사</t>
        </is>
      </c>
      <c r="C2691" s="46" t="inlineStr">
        <is>
          <t>부천지역</t>
        </is>
      </c>
      <c r="D2691" s="46" t="inlineStr">
        <is>
          <t>삼원타운</t>
        </is>
      </c>
      <c r="E2691" s="46" t="inlineStr">
        <is>
          <t>800/236</t>
        </is>
      </c>
      <c r="F2691" s="46" t="inlineStr">
        <is>
          <t>상동</t>
        </is>
      </c>
      <c r="G2691" s="50" t="n">
        <v>0.2708333333333333</v>
      </c>
      <c r="H2691" s="51" t="n">
        <v>1358610</v>
      </c>
      <c r="I2691" s="46" t="inlineStr">
        <is>
          <t>정성관</t>
        </is>
      </c>
      <c r="K2691" s="46" t="n">
        <v>2690</v>
      </c>
      <c r="L2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2">
      <c r="A2692" s="229" t="n">
        <v>46225</v>
      </c>
      <c r="B2692" s="46" t="inlineStr">
        <is>
          <t>정기검사</t>
        </is>
      </c>
      <c r="C2692" s="46" t="inlineStr">
        <is>
          <t>부천지역</t>
        </is>
      </c>
      <c r="D2692" s="46" t="inlineStr">
        <is>
          <t>역곡중학교</t>
        </is>
      </c>
      <c r="E2692" s="46" t="inlineStr">
        <is>
          <t>500/62</t>
        </is>
      </c>
      <c r="F2692" s="46" t="inlineStr">
        <is>
          <t>역곡동</t>
        </is>
      </c>
      <c r="G2692" s="50" t="n">
        <v>0.5833333333333334</v>
      </c>
      <c r="H2692" s="51" t="n">
        <v>953260</v>
      </c>
      <c r="I2692" s="46" t="inlineStr">
        <is>
          <t>정신배</t>
        </is>
      </c>
      <c r="K2692" s="46" t="n">
        <v>2691</v>
      </c>
      <c r="L2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3">
      <c r="A2693" s="229" t="n">
        <v>46225</v>
      </c>
      <c r="B2693" s="46" t="inlineStr">
        <is>
          <t>정기검사</t>
        </is>
      </c>
      <c r="C2693" s="46" t="inlineStr">
        <is>
          <t>김포지역</t>
        </is>
      </c>
      <c r="D2693" s="46" t="inlineStr">
        <is>
          <t>세광유리</t>
        </is>
      </c>
      <c r="E2693" s="46" t="n">
        <v>950</v>
      </c>
      <c r="F2693" s="46" t="inlineStr">
        <is>
          <t>가현리</t>
        </is>
      </c>
      <c r="G2693" s="50" t="n">
        <v>0.4791666666666667</v>
      </c>
      <c r="H2693" s="51" t="n">
        <v>889460</v>
      </c>
      <c r="I2693" s="46" t="inlineStr">
        <is>
          <t>서수형</t>
        </is>
      </c>
      <c r="K2693" s="46" t="n">
        <v>2692</v>
      </c>
      <c r="L2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4">
      <c r="A2694" s="229" t="n">
        <v>46225</v>
      </c>
      <c r="B2694" s="46" t="inlineStr">
        <is>
          <t>정기검사</t>
        </is>
      </c>
      <c r="C2694" s="46" t="inlineStr">
        <is>
          <t>김포지역</t>
        </is>
      </c>
      <c r="D2694" s="46" t="inlineStr">
        <is>
          <t>아너스힐병원</t>
        </is>
      </c>
      <c r="E2694" s="46" t="inlineStr">
        <is>
          <t>250/104</t>
        </is>
      </c>
      <c r="F2694" s="46" t="inlineStr">
        <is>
          <t>도사리</t>
        </is>
      </c>
      <c r="G2694" s="50" t="n">
        <v>0.5</v>
      </c>
      <c r="H2694" s="51" t="n">
        <v>656590</v>
      </c>
      <c r="I2694" s="46" t="inlineStr">
        <is>
          <t>이종석</t>
        </is>
      </c>
      <c r="K2694" s="46" t="n">
        <v>2693</v>
      </c>
      <c r="L2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5">
      <c r="A2695" s="229" t="n">
        <v>46225</v>
      </c>
      <c r="B2695" s="46" t="inlineStr">
        <is>
          <t>정기검사</t>
        </is>
      </c>
      <c r="C2695" s="46" t="inlineStr">
        <is>
          <t>김포지역</t>
        </is>
      </c>
      <c r="D2695" s="46" t="inlineStr">
        <is>
          <t>김포골드프라자</t>
        </is>
      </c>
      <c r="E2695" s="46" t="n">
        <v>750</v>
      </c>
      <c r="F2695" s="46" t="inlineStr">
        <is>
          <t>학운리</t>
        </is>
      </c>
      <c r="G2695" s="50" t="n">
        <v>0.5833333333333334</v>
      </c>
      <c r="H2695" s="51" t="n">
        <v>821700</v>
      </c>
      <c r="I2695" s="46" t="inlineStr">
        <is>
          <t>서수형</t>
        </is>
      </c>
      <c r="K2695" s="46" t="n">
        <v>2694</v>
      </c>
      <c r="L2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6">
      <c r="A2696" s="229" t="n">
        <v>46225</v>
      </c>
      <c r="B2696" s="46" t="inlineStr">
        <is>
          <t>정기검사</t>
        </is>
      </c>
      <c r="C2696" s="46" t="inlineStr">
        <is>
          <t>김포지역</t>
        </is>
      </c>
      <c r="D2696" s="46" t="inlineStr">
        <is>
          <t>연세프라자</t>
        </is>
      </c>
      <c r="E2696" s="46" t="inlineStr">
        <is>
          <t>950/227</t>
        </is>
      </c>
      <c r="F2696" s="46" t="inlineStr">
        <is>
          <t>구래동</t>
        </is>
      </c>
      <c r="G2696" s="50" t="n">
        <v>0.3958333333333333</v>
      </c>
      <c r="H2696" s="51" t="n">
        <v>1093180</v>
      </c>
      <c r="I2696" s="46" t="inlineStr">
        <is>
          <t>옹승완</t>
        </is>
      </c>
      <c r="K2696" s="46" t="n">
        <v>2695</v>
      </c>
      <c r="L2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7">
      <c r="A2697" s="229" t="n">
        <v>46225</v>
      </c>
      <c r="B2697" s="46" t="inlineStr">
        <is>
          <t>정기검사</t>
        </is>
      </c>
      <c r="C2697" s="46" t="inlineStr">
        <is>
          <t>김포지역</t>
        </is>
      </c>
      <c r="D2697" s="46" t="inlineStr">
        <is>
          <t>우세이씨엠</t>
        </is>
      </c>
      <c r="E2697" s="46" t="n">
        <v>290</v>
      </c>
      <c r="F2697" s="46" t="inlineStr">
        <is>
          <t>송마리</t>
        </is>
      </c>
      <c r="G2697" s="50" t="n">
        <v>0.5</v>
      </c>
      <c r="H2697" s="51" t="n">
        <v>515130</v>
      </c>
      <c r="I2697" s="46" t="inlineStr">
        <is>
          <t>이덕기</t>
        </is>
      </c>
      <c r="K2697" s="46" t="n">
        <v>2696</v>
      </c>
      <c r="L2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8">
      <c r="A2698" s="229" t="n">
        <v>46225</v>
      </c>
      <c r="B2698" s="46" t="inlineStr">
        <is>
          <t>정기검사</t>
        </is>
      </c>
      <c r="C2698" s="46" t="inlineStr">
        <is>
          <t>김포지역</t>
        </is>
      </c>
      <c r="D2698" s="46" t="inlineStr">
        <is>
          <t>더럭스</t>
        </is>
      </c>
      <c r="E2698" s="46" t="inlineStr">
        <is>
          <t>전기차</t>
        </is>
      </c>
      <c r="F2698" s="46" t="inlineStr">
        <is>
          <t>구래동</t>
        </is>
      </c>
      <c r="G2698" s="50" t="n">
        <v>0.4166666666666667</v>
      </c>
      <c r="H2698" s="51" t="n">
        <v>140470</v>
      </c>
      <c r="I2698" s="46" t="inlineStr">
        <is>
          <t>민재홍</t>
        </is>
      </c>
      <c r="K2698" s="46" t="n">
        <v>2697</v>
      </c>
      <c r="L2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9">
      <c r="A2699" s="229" t="n">
        <v>46225</v>
      </c>
      <c r="B2699" s="46" t="inlineStr">
        <is>
          <t>정기검사</t>
        </is>
      </c>
      <c r="C2699" s="46" t="inlineStr">
        <is>
          <t>김포지역</t>
        </is>
      </c>
      <c r="D2699" s="46" t="inlineStr">
        <is>
          <t>호반베르디움</t>
        </is>
      </c>
      <c r="E2699" s="46" t="inlineStr">
        <is>
          <t>전기차</t>
        </is>
      </c>
      <c r="F2699" s="46" t="inlineStr">
        <is>
          <t>장기동</t>
        </is>
      </c>
      <c r="G2699" s="50" t="n">
        <v>0.6666666666666666</v>
      </c>
      <c r="H2699" s="51" t="n">
        <v>279950</v>
      </c>
      <c r="I2699" s="46" t="inlineStr">
        <is>
          <t>허창수</t>
        </is>
      </c>
      <c r="K2699" s="46" t="n">
        <v>2698</v>
      </c>
      <c r="L2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0">
      <c r="A2700" s="229" t="n">
        <v>46225</v>
      </c>
      <c r="B2700" s="46" t="inlineStr">
        <is>
          <t>정기검사</t>
        </is>
      </c>
      <c r="C2700" s="46" t="inlineStr">
        <is>
          <t>김포지역</t>
        </is>
      </c>
      <c r="D2700" s="46" t="inlineStr">
        <is>
          <t>한국전력공사</t>
        </is>
      </c>
      <c r="E2700" s="46" t="inlineStr">
        <is>
          <t>전기차</t>
        </is>
      </c>
      <c r="F2700" s="46" t="inlineStr">
        <is>
          <t>구래동</t>
        </is>
      </c>
      <c r="G2700" s="50" t="n">
        <v>0.4166666666666667</v>
      </c>
      <c r="H2700" s="51" t="n">
        <v>191290</v>
      </c>
      <c r="I2700" s="46" t="inlineStr">
        <is>
          <t>민재홍</t>
        </is>
      </c>
      <c r="K2700" s="46" t="n">
        <v>2699</v>
      </c>
      <c r="L2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1">
      <c r="A2701" s="229" t="n">
        <v>46225</v>
      </c>
      <c r="B2701" s="46" t="inlineStr">
        <is>
          <t>정기검사</t>
        </is>
      </c>
      <c r="C2701" s="46" t="inlineStr">
        <is>
          <t>김포지역</t>
        </is>
      </c>
      <c r="D2701" s="46" t="inlineStr">
        <is>
          <t>김포고</t>
        </is>
      </c>
      <c r="E2701" s="46" t="n">
        <v>950</v>
      </c>
      <c r="F2701" s="46" t="inlineStr">
        <is>
          <t>사우동</t>
        </is>
      </c>
      <c r="G2701" s="50" t="n">
        <v>0.625</v>
      </c>
      <c r="H2701" s="51" t="n">
        <v>889460</v>
      </c>
      <c r="I2701" s="46" t="inlineStr">
        <is>
          <t>허창수</t>
        </is>
      </c>
      <c r="K2701" s="46" t="n">
        <v>2700</v>
      </c>
      <c r="L2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2">
      <c r="A2702" s="229" t="n">
        <v>46225</v>
      </c>
      <c r="B2702" s="46" t="inlineStr">
        <is>
          <t>정기검사</t>
        </is>
      </c>
      <c r="C2702" s="46" t="inlineStr">
        <is>
          <t>김포지역</t>
        </is>
      </c>
      <c r="D2702" s="46" t="inlineStr">
        <is>
          <t>김포골드라인</t>
        </is>
      </c>
      <c r="E2702" s="46" t="n">
        <v>175</v>
      </c>
      <c r="F2702" s="46" t="inlineStr">
        <is>
          <t>유현리</t>
        </is>
      </c>
      <c r="G2702" s="50" t="n">
        <v>0.625</v>
      </c>
      <c r="H2702" s="51" t="n">
        <v>567820</v>
      </c>
      <c r="I2702" s="46" t="inlineStr">
        <is>
          <t>이덕기</t>
        </is>
      </c>
      <c r="K2702" s="46" t="n">
        <v>2701</v>
      </c>
      <c r="L2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3">
      <c r="A2703" s="229" t="n">
        <v>46225</v>
      </c>
      <c r="B2703" s="46" t="inlineStr">
        <is>
          <t>사용전검사</t>
        </is>
      </c>
      <c r="C2703" s="46" t="inlineStr">
        <is>
          <t>부천지역</t>
        </is>
      </c>
      <c r="D2703" s="46" t="inlineStr">
        <is>
          <t>대원아파트</t>
        </is>
      </c>
      <c r="E2703" s="46" t="n">
        <v>1200</v>
      </c>
      <c r="F2703" s="46" t="inlineStr">
        <is>
          <t>중동</t>
        </is>
      </c>
      <c r="G2703" s="50" t="n">
        <v>0.6458333333333334</v>
      </c>
      <c r="H2703" s="51" t="n"/>
      <c r="I2703" s="46" t="inlineStr">
        <is>
          <t>허록종</t>
        </is>
      </c>
      <c r="K2703" s="46" t="n">
        <v>2702</v>
      </c>
      <c r="L2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4">
      <c r="A2704" s="229" t="n">
        <v>46225</v>
      </c>
      <c r="B2704" s="46" t="inlineStr">
        <is>
          <t>사용전검사</t>
        </is>
      </c>
      <c r="C2704" s="46" t="inlineStr">
        <is>
          <t>김포지역</t>
        </is>
      </c>
      <c r="D2704" s="46" t="inlineStr">
        <is>
          <t>김포골드라인</t>
        </is>
      </c>
      <c r="E2704" s="46" t="n">
        <v>175</v>
      </c>
      <c r="F2704" s="46" t="inlineStr">
        <is>
          <t>유현리</t>
        </is>
      </c>
      <c r="G2704" s="50" t="n"/>
      <c r="H2704" s="51" t="n"/>
      <c r="I2704" s="46" t="inlineStr">
        <is>
          <t>이덕기</t>
        </is>
      </c>
      <c r="K2704" s="46" t="n">
        <v>2703</v>
      </c>
      <c r="L2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5">
      <c r="A2705" s="229" t="n">
        <v>46225</v>
      </c>
      <c r="B2705" s="46" t="inlineStr">
        <is>
          <t>사용전검사</t>
        </is>
      </c>
      <c r="C2705" s="46" t="inlineStr">
        <is>
          <t>김포지역</t>
        </is>
      </c>
      <c r="D2705" s="46" t="inlineStr">
        <is>
          <t>알티에스</t>
        </is>
      </c>
      <c r="E2705" s="46" t="n">
        <v>153</v>
      </c>
      <c r="F2705" s="46" t="inlineStr">
        <is>
          <t>풍무동</t>
        </is>
      </c>
      <c r="G2705" s="50" t="n"/>
      <c r="H2705" s="51" t="n"/>
      <c r="I2705" s="46" t="inlineStr">
        <is>
          <t>김영권</t>
        </is>
      </c>
      <c r="K2705" s="46" t="n">
        <v>2704</v>
      </c>
      <c r="L2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6">
      <c r="A2706" s="229" t="n">
        <v>46226</v>
      </c>
      <c r="B2706" s="46" t="inlineStr">
        <is>
          <t>정기검사</t>
        </is>
      </c>
      <c r="C2706" s="46" t="inlineStr">
        <is>
          <t>부천지역</t>
        </is>
      </c>
      <c r="D2706" s="46" t="inlineStr">
        <is>
          <t>보원공업사</t>
        </is>
      </c>
      <c r="E2706" s="46" t="n">
        <v>285</v>
      </c>
      <c r="F2706" s="46" t="inlineStr">
        <is>
          <t>원미동</t>
        </is>
      </c>
      <c r="G2706" s="50" t="n">
        <v>0.5208333333333334</v>
      </c>
      <c r="H2706" s="51" t="n">
        <v>511940</v>
      </c>
      <c r="I2706" s="46" t="inlineStr">
        <is>
          <t>정성관</t>
        </is>
      </c>
      <c r="K2706" s="46" t="n">
        <v>2705</v>
      </c>
      <c r="L2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7">
      <c r="A2707" s="229" t="n">
        <v>46226</v>
      </c>
      <c r="B2707" s="46" t="inlineStr">
        <is>
          <t>정기검사</t>
        </is>
      </c>
      <c r="C2707" s="46" t="inlineStr">
        <is>
          <t>부천지역</t>
        </is>
      </c>
      <c r="D2707" s="46" t="inlineStr">
        <is>
          <t>엘지헬로비전</t>
        </is>
      </c>
      <c r="E2707" s="46" t="n">
        <v>520</v>
      </c>
      <c r="F2707" s="46" t="inlineStr">
        <is>
          <t>송내동</t>
        </is>
      </c>
      <c r="G2707" s="50" t="n">
        <v>0.4166666666666667</v>
      </c>
      <c r="H2707" s="51" t="n">
        <v>1384790</v>
      </c>
      <c r="I2707" s="46" t="inlineStr">
        <is>
          <t>정신배</t>
        </is>
      </c>
      <c r="K2707" s="46" t="n">
        <v>2706</v>
      </c>
      <c r="L2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8">
      <c r="A2708" s="229" t="n">
        <v>46226</v>
      </c>
      <c r="B2708" s="46" t="inlineStr">
        <is>
          <t>정기검사</t>
        </is>
      </c>
      <c r="C2708" s="46" t="inlineStr">
        <is>
          <t>김포지역</t>
        </is>
      </c>
      <c r="D2708" s="46" t="inlineStr">
        <is>
          <t>덕승기업</t>
        </is>
      </c>
      <c r="E2708" s="46" t="n">
        <v>290</v>
      </c>
      <c r="F2708" s="46" t="inlineStr">
        <is>
          <t>학운리</t>
        </is>
      </c>
      <c r="G2708" s="50" t="n">
        <v>0.5416666666666666</v>
      </c>
      <c r="H2708" s="51" t="n">
        <v>515130</v>
      </c>
      <c r="I2708" s="46" t="inlineStr">
        <is>
          <t>서수형</t>
        </is>
      </c>
      <c r="K2708" s="46" t="n">
        <v>2707</v>
      </c>
      <c r="L2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9">
      <c r="A2709" s="229" t="n">
        <v>46226</v>
      </c>
      <c r="B2709" s="46" t="inlineStr">
        <is>
          <t>정기검사</t>
        </is>
      </c>
      <c r="C2709" s="46" t="inlineStr">
        <is>
          <t>김포지역</t>
        </is>
      </c>
      <c r="D2709" s="46" t="inlineStr">
        <is>
          <t>김포대학교</t>
        </is>
      </c>
      <c r="E2709" s="46" t="n">
        <v>68</v>
      </c>
      <c r="F2709" s="46" t="inlineStr">
        <is>
          <t>포내리</t>
        </is>
      </c>
      <c r="G2709" s="50" t="n">
        <v>0.4166666666666667</v>
      </c>
      <c r="H2709" s="51" t="n">
        <v>156640</v>
      </c>
      <c r="I2709" s="46" t="inlineStr">
        <is>
          <t>이덕기</t>
        </is>
      </c>
      <c r="K2709" s="46" t="n">
        <v>2708</v>
      </c>
      <c r="L2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0">
      <c r="A2710" s="229" t="n">
        <v>46226</v>
      </c>
      <c r="B2710" s="46" t="inlineStr">
        <is>
          <t>정기검사</t>
        </is>
      </c>
      <c r="C2710" s="46" t="inlineStr">
        <is>
          <t>김포지역</t>
        </is>
      </c>
      <c r="D2710" s="46" t="inlineStr">
        <is>
          <t>김포대학교</t>
        </is>
      </c>
      <c r="E2710" s="46" t="inlineStr">
        <is>
          <t>3550/940</t>
        </is>
      </c>
      <c r="F2710" s="46" t="inlineStr">
        <is>
          <t>포내리</t>
        </is>
      </c>
      <c r="G2710" s="50" t="n">
        <v>0.4166666666666667</v>
      </c>
      <c r="H2710" s="51" t="n">
        <v>1928080</v>
      </c>
      <c r="I2710" s="46" t="inlineStr">
        <is>
          <t>이덕기</t>
        </is>
      </c>
      <c r="K2710" s="46" t="n">
        <v>2709</v>
      </c>
      <c r="L2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1">
      <c r="A2711" s="229" t="n">
        <v>46226</v>
      </c>
      <c r="B2711" s="46" t="inlineStr">
        <is>
          <t>정기검사</t>
        </is>
      </c>
      <c r="C2711" s="46" t="inlineStr">
        <is>
          <t>김포지역</t>
        </is>
      </c>
      <c r="D2711" s="46" t="inlineStr">
        <is>
          <t>반도유보라</t>
        </is>
      </c>
      <c r="E2711" s="46" t="inlineStr">
        <is>
          <t>전기차</t>
        </is>
      </c>
      <c r="F2711" s="46" t="inlineStr">
        <is>
          <t>운양동</t>
        </is>
      </c>
      <c r="G2711" s="50" t="n"/>
      <c r="H2711" s="51" t="n">
        <v>98120</v>
      </c>
      <c r="I2711" s="46" t="inlineStr">
        <is>
          <t>한태희</t>
        </is>
      </c>
      <c r="K2711" s="46" t="n">
        <v>2710</v>
      </c>
      <c r="L2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2">
      <c r="A2712" s="229" t="n">
        <v>46226</v>
      </c>
      <c r="B2712" s="46" t="inlineStr">
        <is>
          <t>정기검사</t>
        </is>
      </c>
      <c r="C2712" s="46" t="inlineStr">
        <is>
          <t>김포지역</t>
        </is>
      </c>
      <c r="D2712" s="46" t="inlineStr">
        <is>
          <t>동방화학</t>
        </is>
      </c>
      <c r="E2712" s="46" t="n">
        <v>300</v>
      </c>
      <c r="F2712" s="46" t="inlineStr">
        <is>
          <t>쇄암리</t>
        </is>
      </c>
      <c r="G2712" s="50" t="n">
        <v>0.6041666666666666</v>
      </c>
      <c r="H2712" s="51" t="n">
        <v>521730</v>
      </c>
      <c r="I2712" s="46" t="inlineStr">
        <is>
          <t>당효진</t>
        </is>
      </c>
      <c r="K2712" s="46" t="n">
        <v>2711</v>
      </c>
      <c r="L2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3">
      <c r="A2713" s="229" t="n">
        <v>46226</v>
      </c>
      <c r="B2713" s="46" t="inlineStr">
        <is>
          <t>정기검사</t>
        </is>
      </c>
      <c r="C2713" s="46" t="inlineStr">
        <is>
          <t>김포지역</t>
        </is>
      </c>
      <c r="D2713" s="46" t="inlineStr">
        <is>
          <t>대명초</t>
        </is>
      </c>
      <c r="E2713" s="46" t="n">
        <v>200</v>
      </c>
      <c r="F2713" s="46" t="inlineStr">
        <is>
          <t>대명리</t>
        </is>
      </c>
      <c r="G2713" s="50" t="n">
        <v>0.4166666666666667</v>
      </c>
      <c r="H2713" s="51" t="n">
        <v>456720</v>
      </c>
      <c r="I2713" s="46" t="inlineStr">
        <is>
          <t>김영권</t>
        </is>
      </c>
      <c r="K2713" s="46" t="n">
        <v>2712</v>
      </c>
      <c r="L2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4">
      <c r="A2714" s="229" t="n">
        <v>46226</v>
      </c>
      <c r="B2714" s="46" t="inlineStr">
        <is>
          <t>정기검사</t>
        </is>
      </c>
      <c r="C2714" s="46" t="inlineStr">
        <is>
          <t>김포지역</t>
        </is>
      </c>
      <c r="D2714" s="46" t="inlineStr">
        <is>
          <t>신명스텐</t>
        </is>
      </c>
      <c r="E2714" s="46" t="n">
        <v>300</v>
      </c>
      <c r="F2714" s="46" t="inlineStr">
        <is>
          <t>상마리</t>
        </is>
      </c>
      <c r="G2714" s="50" t="n">
        <v>0.4791666666666667</v>
      </c>
      <c r="H2714" s="51" t="n">
        <v>521730</v>
      </c>
      <c r="I2714" s="46" t="inlineStr">
        <is>
          <t>허록종</t>
        </is>
      </c>
      <c r="K2714" s="46" t="n">
        <v>2713</v>
      </c>
      <c r="L2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5">
      <c r="A2715" s="229" t="n">
        <v>46226</v>
      </c>
      <c r="B2715" s="46" t="inlineStr">
        <is>
          <t>정기검사</t>
        </is>
      </c>
      <c r="C2715" s="46" t="inlineStr">
        <is>
          <t>김포지역</t>
        </is>
      </c>
      <c r="D2715" s="46" t="inlineStr">
        <is>
          <t>엘지헬로비전</t>
        </is>
      </c>
      <c r="E2715" s="46" t="n">
        <v>240</v>
      </c>
      <c r="F2715" s="46" t="inlineStr">
        <is>
          <t>장기동</t>
        </is>
      </c>
      <c r="G2715" s="50" t="n">
        <v>0.5625</v>
      </c>
      <c r="H2715" s="51" t="n">
        <v>776050</v>
      </c>
      <c r="I2715" s="46" t="inlineStr">
        <is>
          <t>한태희</t>
        </is>
      </c>
      <c r="K2715" s="46" t="n">
        <v>2714</v>
      </c>
      <c r="L2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6">
      <c r="A2716" s="229" t="n">
        <v>46226</v>
      </c>
      <c r="B2716" s="46" t="inlineStr">
        <is>
          <t>사용전검사</t>
        </is>
      </c>
      <c r="C2716" s="46" t="inlineStr">
        <is>
          <t>부천지역</t>
        </is>
      </c>
      <c r="D2716" s="46" t="inlineStr">
        <is>
          <t>한국수자원공사</t>
        </is>
      </c>
      <c r="E2716" s="46" t="n">
        <v>500</v>
      </c>
      <c r="F2716" s="46" t="inlineStr">
        <is>
          <t>원종동</t>
        </is>
      </c>
      <c r="G2716" s="50" t="n"/>
      <c r="H2716" s="51" t="n"/>
      <c r="I2716" s="46" t="inlineStr">
        <is>
          <t>변종국</t>
        </is>
      </c>
      <c r="K2716" s="46" t="n">
        <v>2715</v>
      </c>
      <c r="L2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7">
      <c r="A2717" s="229" t="n">
        <v>46226</v>
      </c>
      <c r="B2717" s="46" t="inlineStr">
        <is>
          <t>사용전검사</t>
        </is>
      </c>
      <c r="C2717" s="46" t="inlineStr">
        <is>
          <t>부천지역</t>
        </is>
      </c>
      <c r="D2717" s="46" t="inlineStr">
        <is>
          <t>범안동가로주택</t>
        </is>
      </c>
      <c r="E2717" s="46" t="n">
        <v>14.8</v>
      </c>
      <c r="F2717" s="46" t="inlineStr">
        <is>
          <t>괴안동</t>
        </is>
      </c>
      <c r="G2717" s="50" t="n"/>
      <c r="H2717" s="51" t="n"/>
      <c r="I2717" s="46" t="inlineStr">
        <is>
          <t>정신배</t>
        </is>
      </c>
      <c r="K2717" s="46" t="n">
        <v>2716</v>
      </c>
      <c r="L2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8">
      <c r="A2718" s="229" t="n">
        <v>46226</v>
      </c>
      <c r="B2718" s="46" t="inlineStr">
        <is>
          <t>사용전검사</t>
        </is>
      </c>
      <c r="C2718" s="46" t="inlineStr">
        <is>
          <t>김포지역</t>
        </is>
      </c>
      <c r="D2718" s="46" t="inlineStr">
        <is>
          <t>그랜트코리아</t>
        </is>
      </c>
      <c r="E2718" s="46" t="n">
        <v>170</v>
      </c>
      <c r="F2718" s="46" t="inlineStr">
        <is>
          <t>대명리</t>
        </is>
      </c>
      <c r="G2718" s="50" t="n"/>
      <c r="H2718" s="51" t="n"/>
      <c r="I2718" s="46" t="inlineStr">
        <is>
          <t>민재홍</t>
        </is>
      </c>
      <c r="K2718" s="46" t="n">
        <v>2717</v>
      </c>
      <c r="L2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9">
      <c r="A2719" s="229" t="n">
        <v>46226</v>
      </c>
      <c r="B2719" s="46" t="inlineStr">
        <is>
          <t>사용전검사</t>
        </is>
      </c>
      <c r="C2719" s="46" t="inlineStr">
        <is>
          <t>김포지역</t>
        </is>
      </c>
      <c r="D2719" s="46" t="inlineStr">
        <is>
          <t>창성</t>
        </is>
      </c>
      <c r="E2719" s="46" t="n">
        <v>81</v>
      </c>
      <c r="F2719" s="46" t="inlineStr">
        <is>
          <t>학운리</t>
        </is>
      </c>
      <c r="G2719" s="50" t="n"/>
      <c r="H2719" s="51" t="n"/>
      <c r="I2719" s="46" t="inlineStr">
        <is>
          <t>허창수</t>
        </is>
      </c>
      <c r="K2719" s="46" t="n">
        <v>2718</v>
      </c>
      <c r="L2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0">
      <c r="A2720" s="229" t="n">
        <v>46226</v>
      </c>
      <c r="B2720" s="46" t="inlineStr">
        <is>
          <t>사용전검사</t>
        </is>
      </c>
      <c r="C2720" s="46" t="inlineStr">
        <is>
          <t>김포지역</t>
        </is>
      </c>
      <c r="D2720" s="46" t="inlineStr">
        <is>
          <t>원창2호</t>
        </is>
      </c>
      <c r="E2720" s="46" t="n">
        <v>127</v>
      </c>
      <c r="F2720" s="46" t="inlineStr">
        <is>
          <t>고정리</t>
        </is>
      </c>
      <c r="G2720" s="50" t="n"/>
      <c r="H2720" s="51" t="n"/>
      <c r="I2720" s="46" t="inlineStr">
        <is>
          <t>옹승완</t>
        </is>
      </c>
      <c r="K2720" s="46" t="n">
        <v>2719</v>
      </c>
      <c r="L2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1">
      <c r="A2721" s="229" t="n">
        <v>46226</v>
      </c>
      <c r="B2721" s="46" t="inlineStr">
        <is>
          <t>사용전검사</t>
        </is>
      </c>
      <c r="C2721" s="46" t="inlineStr">
        <is>
          <t>김포지역</t>
        </is>
      </c>
      <c r="D2721" s="46" t="inlineStr">
        <is>
          <t>힙춘향마라</t>
        </is>
      </c>
      <c r="E2721" s="46" t="n">
        <v>19</v>
      </c>
      <c r="F2721" s="46" t="inlineStr">
        <is>
          <t>사우동</t>
        </is>
      </c>
      <c r="G2721" s="50" t="n"/>
      <c r="H2721" s="51" t="n"/>
      <c r="I2721" s="46" t="inlineStr">
        <is>
          <t>한태희</t>
        </is>
      </c>
      <c r="K2721" s="46" t="n">
        <v>2720</v>
      </c>
      <c r="L2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2">
      <c r="A2722" s="229" t="n">
        <v>46227</v>
      </c>
      <c r="B2722" s="46" t="inlineStr">
        <is>
          <t>정기검사</t>
        </is>
      </c>
      <c r="C2722" s="46" t="inlineStr">
        <is>
          <t>부천지역</t>
        </is>
      </c>
      <c r="D2722" s="46" t="inlineStr">
        <is>
          <t>부천여월중</t>
        </is>
      </c>
      <c r="E2722" s="46" t="n">
        <v>600</v>
      </c>
      <c r="F2722" s="46" t="inlineStr">
        <is>
          <t>여월동</t>
        </is>
      </c>
      <c r="G2722" s="50" t="n">
        <v>0.625</v>
      </c>
      <c r="H2722" s="51" t="n">
        <v>770880</v>
      </c>
      <c r="I2722" s="46" t="inlineStr">
        <is>
          <t>민재홍</t>
        </is>
      </c>
      <c r="K2722" s="46" t="n">
        <v>2721</v>
      </c>
      <c r="L2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3">
      <c r="A2723" s="229" t="n">
        <v>46227</v>
      </c>
      <c r="B2723" s="46" t="inlineStr">
        <is>
          <t>정기검사</t>
        </is>
      </c>
      <c r="C2723" s="46" t="inlineStr">
        <is>
          <t>부천지역</t>
        </is>
      </c>
      <c r="D2723" s="46" t="inlineStr">
        <is>
          <t>신성기연</t>
        </is>
      </c>
      <c r="E2723" s="46" t="n">
        <v>200</v>
      </c>
      <c r="F2723" s="46" t="inlineStr">
        <is>
          <t>도당동</t>
        </is>
      </c>
      <c r="G2723" s="50" t="n">
        <v>0.3958333333333333</v>
      </c>
      <c r="H2723" s="51" t="n">
        <v>456720</v>
      </c>
      <c r="I2723" s="46" t="inlineStr">
        <is>
          <t>김영권</t>
        </is>
      </c>
      <c r="K2723" s="46" t="n">
        <v>2722</v>
      </c>
      <c r="L2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4">
      <c r="A2724" s="229" t="n">
        <v>46227</v>
      </c>
      <c r="B2724" s="46" t="inlineStr">
        <is>
          <t>정기검사</t>
        </is>
      </c>
      <c r="C2724" s="46" t="inlineStr">
        <is>
          <t>부천지역</t>
        </is>
      </c>
      <c r="D2724" s="46" t="inlineStr">
        <is>
          <t>신길천연가스</t>
        </is>
      </c>
      <c r="E2724" s="46" t="n">
        <v>950</v>
      </c>
      <c r="F2724" s="46" t="inlineStr">
        <is>
          <t>상동</t>
        </is>
      </c>
      <c r="G2724" s="50" t="n">
        <v>0.4791666666666667</v>
      </c>
      <c r="H2724" s="51" t="n">
        <v>889460</v>
      </c>
      <c r="I2724" s="46" t="inlineStr">
        <is>
          <t>허창수</t>
        </is>
      </c>
      <c r="K2724" s="46" t="n">
        <v>2723</v>
      </c>
      <c r="L2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5">
      <c r="A2725" s="229" t="n">
        <v>46227</v>
      </c>
      <c r="B2725" s="46" t="inlineStr">
        <is>
          <t>정기검사</t>
        </is>
      </c>
      <c r="C2725" s="46" t="inlineStr">
        <is>
          <t>부천지역</t>
        </is>
      </c>
      <c r="D2725" s="46" t="inlineStr">
        <is>
          <t>경기국제통상고</t>
        </is>
      </c>
      <c r="E2725" s="46" t="n">
        <v>900</v>
      </c>
      <c r="F2725" s="46" t="inlineStr">
        <is>
          <t>중동</t>
        </is>
      </c>
      <c r="G2725" s="50" t="n">
        <v>0.625</v>
      </c>
      <c r="H2725" s="51" t="n">
        <v>872520</v>
      </c>
      <c r="I2725" s="46" t="inlineStr">
        <is>
          <t>허창수</t>
        </is>
      </c>
      <c r="K2725" s="46" t="n">
        <v>2724</v>
      </c>
      <c r="L2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6">
      <c r="A2726" s="229" t="n">
        <v>46227</v>
      </c>
      <c r="B2726" s="46" t="inlineStr">
        <is>
          <t>정기검사</t>
        </is>
      </c>
      <c r="C2726" s="46" t="inlineStr">
        <is>
          <t>부천지역</t>
        </is>
      </c>
      <c r="D2726" s="46" t="inlineStr">
        <is>
          <t>대동기공</t>
        </is>
      </c>
      <c r="E2726" s="46" t="n">
        <v>300</v>
      </c>
      <c r="F2726" s="46" t="inlineStr">
        <is>
          <t>내동</t>
        </is>
      </c>
      <c r="G2726" s="50" t="n">
        <v>0.5</v>
      </c>
      <c r="H2726" s="51" t="n">
        <v>521730</v>
      </c>
      <c r="I2726" s="46" t="inlineStr">
        <is>
          <t>김영권</t>
        </is>
      </c>
      <c r="K2726" s="46" t="n">
        <v>2725</v>
      </c>
      <c r="L2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7">
      <c r="A2727" s="229" t="n">
        <v>46227</v>
      </c>
      <c r="B2727" s="46" t="inlineStr">
        <is>
          <t>정기검사</t>
        </is>
      </c>
      <c r="C2727" s="46" t="inlineStr">
        <is>
          <t>부천지역</t>
        </is>
      </c>
      <c r="D2727" s="46" t="inlineStr">
        <is>
          <t>하나리나벨주상</t>
        </is>
      </c>
      <c r="E2727" s="46" t="inlineStr">
        <is>
          <t>300/150</t>
        </is>
      </c>
      <c r="F2727" s="46" t="inlineStr">
        <is>
          <t>심곡동</t>
        </is>
      </c>
      <c r="G2727" s="50" t="n">
        <v>0.3958333333333333</v>
      </c>
      <c r="H2727" s="51" t="n">
        <v>710050</v>
      </c>
      <c r="I2727" s="46" t="inlineStr">
        <is>
          <t>서수형</t>
        </is>
      </c>
      <c r="K2727" s="46" t="n">
        <v>2726</v>
      </c>
      <c r="L2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8">
      <c r="A2728" s="229" t="n">
        <v>46227</v>
      </c>
      <c r="B2728" s="46" t="inlineStr">
        <is>
          <t>정기검사</t>
        </is>
      </c>
      <c r="C2728" s="46" t="inlineStr">
        <is>
          <t>김포지역</t>
        </is>
      </c>
      <c r="D2728" s="46" t="inlineStr">
        <is>
          <t>한솔3태양광</t>
        </is>
      </c>
      <c r="E2728" s="46" t="n">
        <v>86.40000000000001</v>
      </c>
      <c r="F2728" s="46" t="inlineStr">
        <is>
          <t>갈산리</t>
        </is>
      </c>
      <c r="G2728" s="50" t="n">
        <v>0.5625</v>
      </c>
      <c r="H2728" s="51" t="n">
        <v>241340</v>
      </c>
      <c r="I2728" s="46" t="inlineStr">
        <is>
          <t>옹승완</t>
        </is>
      </c>
      <c r="K2728" s="46" t="n">
        <v>2727</v>
      </c>
      <c r="L2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9">
      <c r="A2729" s="229" t="n">
        <v>46227</v>
      </c>
      <c r="B2729" s="46" t="inlineStr">
        <is>
          <t>정기검사</t>
        </is>
      </c>
      <c r="C2729" s="46" t="inlineStr">
        <is>
          <t>김포지역</t>
        </is>
      </c>
      <c r="D2729" s="46" t="inlineStr">
        <is>
          <t>대경에너지태양광</t>
        </is>
      </c>
      <c r="E2729" s="46" t="n">
        <v>93.22</v>
      </c>
      <c r="F2729" s="46" t="inlineStr">
        <is>
          <t>학운리</t>
        </is>
      </c>
      <c r="G2729" s="50" t="n">
        <v>0.4791666666666667</v>
      </c>
      <c r="H2729" s="51" t="n">
        <v>248490</v>
      </c>
      <c r="I2729" s="46" t="inlineStr">
        <is>
          <t>당효진</t>
        </is>
      </c>
      <c r="K2729" s="46" t="n">
        <v>2728</v>
      </c>
      <c r="L2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0">
      <c r="A2730" s="229" t="n">
        <v>46227</v>
      </c>
      <c r="B2730" s="46" t="inlineStr">
        <is>
          <t>정기검사</t>
        </is>
      </c>
      <c r="C2730" s="46" t="inlineStr">
        <is>
          <t>김포지역</t>
        </is>
      </c>
      <c r="D2730" s="46" t="inlineStr">
        <is>
          <t>갑순네태양광</t>
        </is>
      </c>
      <c r="E2730" s="46" t="n">
        <v>92.63</v>
      </c>
      <c r="F2730" s="46" t="inlineStr">
        <is>
          <t>학운리</t>
        </is>
      </c>
      <c r="G2730" s="50" t="n">
        <v>0.4583333333333333</v>
      </c>
      <c r="H2730" s="51" t="n">
        <v>247830</v>
      </c>
      <c r="I2730" s="46" t="inlineStr">
        <is>
          <t>당효진</t>
        </is>
      </c>
      <c r="K2730" s="46" t="n">
        <v>2729</v>
      </c>
      <c r="L2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1">
      <c r="A2731" s="229" t="n">
        <v>46227</v>
      </c>
      <c r="B2731" s="46" t="inlineStr">
        <is>
          <t>정기검사</t>
        </is>
      </c>
      <c r="C2731" s="46" t="inlineStr">
        <is>
          <t>김포지역</t>
        </is>
      </c>
      <c r="D2731" s="46" t="inlineStr">
        <is>
          <t>골든팩키지</t>
        </is>
      </c>
      <c r="E2731" s="46" t="n">
        <v>950</v>
      </c>
      <c r="F2731" s="46" t="inlineStr">
        <is>
          <t>귀전리</t>
        </is>
      </c>
      <c r="G2731" s="50" t="n">
        <v>0.5208333333333334</v>
      </c>
      <c r="H2731" s="51" t="n">
        <v>889460</v>
      </c>
      <c r="I2731" s="46" t="inlineStr">
        <is>
          <t>이덕기</t>
        </is>
      </c>
      <c r="K2731" s="46" t="n">
        <v>2730</v>
      </c>
      <c r="L2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2">
      <c r="A2732" s="229" t="n">
        <v>46227</v>
      </c>
      <c r="B2732" s="46" t="inlineStr">
        <is>
          <t>정기검사</t>
        </is>
      </c>
      <c r="C2732" s="46" t="inlineStr">
        <is>
          <t>김포지역</t>
        </is>
      </c>
      <c r="D2732" s="46" t="inlineStr">
        <is>
          <t>우리소결</t>
        </is>
      </c>
      <c r="E2732" s="46" t="n">
        <v>250</v>
      </c>
      <c r="F2732" s="46" t="inlineStr">
        <is>
          <t>학운리</t>
        </is>
      </c>
      <c r="G2732" s="50" t="n">
        <v>0.5</v>
      </c>
      <c r="H2732" s="51" t="n">
        <v>489170</v>
      </c>
      <c r="I2732" s="46" t="inlineStr">
        <is>
          <t>허록종</t>
        </is>
      </c>
      <c r="K2732" s="46" t="n">
        <v>2731</v>
      </c>
      <c r="L2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3">
      <c r="A2733" s="229" t="n">
        <v>46227</v>
      </c>
      <c r="B2733" s="46" t="inlineStr">
        <is>
          <t>정기검사</t>
        </is>
      </c>
      <c r="C2733" s="46" t="inlineStr">
        <is>
          <t>김포지역</t>
        </is>
      </c>
      <c r="D2733" s="46" t="inlineStr">
        <is>
          <t>대성금속</t>
        </is>
      </c>
      <c r="E2733" s="46" t="n">
        <v>200</v>
      </c>
      <c r="F2733" s="46" t="inlineStr">
        <is>
          <t>누산리</t>
        </is>
      </c>
      <c r="G2733" s="50" t="n">
        <v>0.3958333333333333</v>
      </c>
      <c r="H2733" s="51" t="n">
        <v>456720</v>
      </c>
      <c r="I2733" s="46" t="inlineStr">
        <is>
          <t>변종국</t>
        </is>
      </c>
      <c r="K2733" s="46" t="n">
        <v>2732</v>
      </c>
      <c r="L2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4">
      <c r="A2734" s="229" t="n">
        <v>46227</v>
      </c>
      <c r="B2734" s="46" t="inlineStr">
        <is>
          <t>정기검사</t>
        </is>
      </c>
      <c r="C2734" s="46" t="inlineStr">
        <is>
          <t>김포지역</t>
        </is>
      </c>
      <c r="D2734" s="46" t="inlineStr">
        <is>
          <t>한국에이엘</t>
        </is>
      </c>
      <c r="E2734" s="46" t="n">
        <v>600</v>
      </c>
      <c r="F2734" s="46" t="inlineStr">
        <is>
          <t>대명리</t>
        </is>
      </c>
      <c r="G2734" s="50" t="n">
        <v>0.6041666666666666</v>
      </c>
      <c r="H2734" s="51" t="n">
        <v>770880</v>
      </c>
      <c r="I2734" s="46" t="inlineStr">
        <is>
          <t>정신배</t>
        </is>
      </c>
      <c r="K2734" s="46" t="n">
        <v>2733</v>
      </c>
      <c r="L2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5">
      <c r="A2735" s="229" t="n">
        <v>46227</v>
      </c>
      <c r="B2735" s="46" t="inlineStr">
        <is>
          <t>정기검사</t>
        </is>
      </c>
      <c r="C2735" s="46" t="inlineStr">
        <is>
          <t>김포지역</t>
        </is>
      </c>
      <c r="D2735" s="46" t="inlineStr">
        <is>
          <t>김포태양광</t>
        </is>
      </c>
      <c r="E2735" s="46" t="n">
        <v>18</v>
      </c>
      <c r="F2735" s="46" t="inlineStr">
        <is>
          <t>도사리</t>
        </is>
      </c>
      <c r="G2735" s="50" t="n">
        <v>0.4166666666666667</v>
      </c>
      <c r="H2735" s="51" t="n">
        <v>94050</v>
      </c>
      <c r="I2735" s="46" t="inlineStr">
        <is>
          <t>이종석</t>
        </is>
      </c>
      <c r="K2735" s="46" t="n">
        <v>2734</v>
      </c>
      <c r="L2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6">
      <c r="A2736" s="229" t="n">
        <v>46227</v>
      </c>
      <c r="B2736" s="46" t="inlineStr">
        <is>
          <t>사용전검사</t>
        </is>
      </c>
      <c r="C2736" s="46" t="inlineStr">
        <is>
          <t>부천지역</t>
        </is>
      </c>
      <c r="D2736" s="46" t="inlineStr">
        <is>
          <t>맛챁들왕소금구이</t>
        </is>
      </c>
      <c r="E2736" s="46" t="n">
        <v>55</v>
      </c>
      <c r="F2736" s="46" t="inlineStr">
        <is>
          <t>중동</t>
        </is>
      </c>
      <c r="G2736" s="50" t="n"/>
      <c r="H2736" s="51" t="n"/>
      <c r="I2736" s="46" t="inlineStr">
        <is>
          <t>민재홍</t>
        </is>
      </c>
      <c r="K2736" s="46" t="n">
        <v>2735</v>
      </c>
      <c r="L2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7">
      <c r="A2737" s="229" t="n">
        <v>46227</v>
      </c>
      <c r="B2737" s="46" t="inlineStr">
        <is>
          <t>사용전검사</t>
        </is>
      </c>
      <c r="C2737" s="46" t="inlineStr">
        <is>
          <t>부천지역</t>
        </is>
      </c>
      <c r="D2737" s="46" t="n"/>
      <c r="E2737" s="46" t="inlineStr">
        <is>
          <t>정신배-한태희</t>
        </is>
      </c>
      <c r="F2737" s="46" t="n"/>
      <c r="G2737" s="50" t="n"/>
      <c r="H2737" s="51" t="n"/>
      <c r="I2737" s="46" t="n"/>
      <c r="K2737" s="46" t="n">
        <v>2736</v>
      </c>
      <c r="L2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8">
      <c r="A2738" s="229" t="n">
        <v>46227</v>
      </c>
      <c r="B2738" s="46" t="inlineStr">
        <is>
          <t>메모</t>
        </is>
      </c>
      <c r="C2738" s="46" t="inlineStr">
        <is>
          <t>부천지역</t>
        </is>
      </c>
      <c r="D2738" s="46" t="inlineStr">
        <is>
          <t>정성관휴가</t>
        </is>
      </c>
      <c r="E2738" s="46" t="n"/>
      <c r="F2738" s="46" t="n"/>
      <c r="G2738" s="50" t="n"/>
      <c r="H2738" s="51" t="n"/>
      <c r="I2738" s="46" t="n"/>
      <c r="K2738" s="46" t="n">
        <v>2737</v>
      </c>
      <c r="L2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9">
      <c r="A2739" s="229" t="n">
        <v>46227</v>
      </c>
      <c r="B2739" s="46" t="inlineStr">
        <is>
          <t>사용전검사</t>
        </is>
      </c>
      <c r="C2739" s="46" t="inlineStr">
        <is>
          <t>김포지역</t>
        </is>
      </c>
      <c r="D2739" s="46" t="inlineStr">
        <is>
          <t>배가네토종장칼국수</t>
        </is>
      </c>
      <c r="E2739" s="46" t="n">
        <v>7</v>
      </c>
      <c r="F2739" s="46" t="inlineStr">
        <is>
          <t>양곡리</t>
        </is>
      </c>
      <c r="G2739" s="50" t="n"/>
      <c r="H2739" s="51" t="n"/>
      <c r="I2739" s="46" t="inlineStr">
        <is>
          <t>변종국</t>
        </is>
      </c>
      <c r="K2739" s="46" t="n">
        <v>2738</v>
      </c>
      <c r="L2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0">
      <c r="A2740" s="229" t="n">
        <v>46228</v>
      </c>
      <c r="B2740" s="46" t="inlineStr">
        <is>
          <t>정기검사</t>
        </is>
      </c>
      <c r="C2740" s="46" t="inlineStr">
        <is>
          <t>부천지역</t>
        </is>
      </c>
      <c r="D2740" s="46" t="inlineStr">
        <is>
          <t>부천축산물</t>
        </is>
      </c>
      <c r="E2740" s="46" t="inlineStr">
        <is>
          <t>4250/1000</t>
        </is>
      </c>
      <c r="F2740" s="46" t="inlineStr">
        <is>
          <t>삼정동</t>
        </is>
      </c>
      <c r="G2740" s="50" t="n"/>
      <c r="H2740" s="51" t="n">
        <v>2265230</v>
      </c>
      <c r="I2740" s="46" t="inlineStr">
        <is>
          <t>정신배</t>
        </is>
      </c>
      <c r="K2740" s="46" t="n">
        <v>2739</v>
      </c>
      <c r="L2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1">
      <c r="A2741" s="229" t="n">
        <v>46228</v>
      </c>
      <c r="B2741" s="46" t="inlineStr">
        <is>
          <t>사용전검사</t>
        </is>
      </c>
      <c r="C2741" s="46" t="inlineStr">
        <is>
          <t>부천지역</t>
        </is>
      </c>
      <c r="D2741" s="46" t="inlineStr">
        <is>
          <t>부천축산물폐수처리장</t>
        </is>
      </c>
      <c r="E2741" s="46" t="n">
        <v>1050</v>
      </c>
      <c r="F2741" s="46" t="inlineStr">
        <is>
          <t>삼정동</t>
        </is>
      </c>
      <c r="G2741" s="50" t="n"/>
      <c r="H2741" s="51" t="n"/>
      <c r="I2741" s="46" t="inlineStr">
        <is>
          <t>정신배</t>
        </is>
      </c>
      <c r="K2741" s="46" t="n">
        <v>2740</v>
      </c>
      <c r="L2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2">
      <c r="A2742" s="229" t="n">
        <v>46228</v>
      </c>
      <c r="B2742" s="46" t="inlineStr">
        <is>
          <t>메모</t>
        </is>
      </c>
      <c r="C2742" s="46" t="inlineStr">
        <is>
          <t>부천지역</t>
        </is>
      </c>
      <c r="D2742" s="46" t="inlineStr">
        <is>
          <t>옹승환휴가</t>
        </is>
      </c>
      <c r="E2742" s="46" t="n"/>
      <c r="F2742" s="46" t="n"/>
      <c r="G2742" s="50" t="n"/>
      <c r="H2742" s="51" t="n"/>
      <c r="I2742" s="46" t="n"/>
      <c r="K2742" s="46" t="n">
        <v>2741</v>
      </c>
      <c r="L2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3">
      <c r="A2743" s="229" t="n">
        <v>46228</v>
      </c>
      <c r="B2743" s="46" t="inlineStr">
        <is>
          <t>메모</t>
        </is>
      </c>
      <c r="C2743" s="46" t="inlineStr">
        <is>
          <t>부천지역</t>
        </is>
      </c>
      <c r="D2743" s="46" t="inlineStr">
        <is>
          <t>서수혛 휴가</t>
        </is>
      </c>
      <c r="E2743" s="46" t="n"/>
      <c r="F2743" s="46" t="n"/>
      <c r="G2743" s="50" t="n"/>
      <c r="H2743" s="51" t="n"/>
      <c r="I2743" s="46" t="n"/>
      <c r="K2743" s="46" t="n">
        <v>2742</v>
      </c>
      <c r="L2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4">
      <c r="A2744" s="229" t="n">
        <v>46228</v>
      </c>
      <c r="B2744" s="46" t="inlineStr">
        <is>
          <t>메모</t>
        </is>
      </c>
      <c r="C2744" s="46" t="inlineStr">
        <is>
          <t>부천지역</t>
        </is>
      </c>
      <c r="D2744" s="46" t="inlineStr">
        <is>
          <t>정성관휴가</t>
        </is>
      </c>
      <c r="E2744" s="46" t="n"/>
      <c r="F2744" s="46" t="n"/>
      <c r="G2744" s="50" t="n"/>
      <c r="H2744" s="51" t="n"/>
      <c r="I2744" s="46" t="n"/>
      <c r="K2744" s="46" t="n">
        <v>2743</v>
      </c>
      <c r="L2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5">
      <c r="A2745" s="229" t="n">
        <v>46228</v>
      </c>
      <c r="B2745" s="46" t="inlineStr">
        <is>
          <t>사용전검사</t>
        </is>
      </c>
      <c r="C2745" s="46" t="inlineStr">
        <is>
          <t>김포지역</t>
        </is>
      </c>
      <c r="D2745" s="46" t="inlineStr">
        <is>
          <t>진영케미칼</t>
        </is>
      </c>
      <c r="E2745" s="46" t="n">
        <v>2600</v>
      </c>
      <c r="F2745" s="46" t="inlineStr">
        <is>
          <t>석정리</t>
        </is>
      </c>
      <c r="G2745" s="50" t="n"/>
      <c r="H2745" s="51" t="n"/>
      <c r="I2745" s="46" t="n"/>
      <c r="K2745" s="46" t="n">
        <v>2744</v>
      </c>
      <c r="L2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6">
      <c r="A2746" s="229" t="n">
        <v>46229</v>
      </c>
      <c r="B2746" s="46" t="inlineStr">
        <is>
          <t>메모</t>
        </is>
      </c>
      <c r="C2746" s="46" t="inlineStr">
        <is>
          <t>부천지역</t>
        </is>
      </c>
      <c r="D2746" s="46" t="inlineStr">
        <is>
          <t>서수혛 휴가</t>
        </is>
      </c>
      <c r="E2746" s="46" t="n"/>
      <c r="F2746" s="46" t="n"/>
      <c r="G2746" s="50" t="n"/>
      <c r="H2746" s="51" t="n"/>
      <c r="I2746" s="46" t="n"/>
      <c r="K2746" s="46" t="n">
        <v>2745</v>
      </c>
      <c r="L2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7">
      <c r="A2747" s="229" t="n">
        <v>46230</v>
      </c>
      <c r="B2747" s="46" t="inlineStr">
        <is>
          <t>정기검사</t>
        </is>
      </c>
      <c r="C2747" s="46" t="inlineStr">
        <is>
          <t>부천지역</t>
        </is>
      </c>
      <c r="D2747" s="46" t="inlineStr">
        <is>
          <t>상지초</t>
        </is>
      </c>
      <c r="E2747" s="46" t="n">
        <v>750</v>
      </c>
      <c r="F2747" s="46" t="inlineStr">
        <is>
          <t>중동</t>
        </is>
      </c>
      <c r="G2747" s="50" t="n">
        <v>0.6458333333333334</v>
      </c>
      <c r="H2747" s="51" t="n">
        <v>821700</v>
      </c>
      <c r="I2747" s="46" t="inlineStr">
        <is>
          <t>정신배</t>
        </is>
      </c>
      <c r="K2747" s="46" t="n">
        <v>2746</v>
      </c>
      <c r="L2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8">
      <c r="A2748" s="229" t="n">
        <v>46230</v>
      </c>
      <c r="B2748" s="46" t="inlineStr">
        <is>
          <t>정기검사</t>
        </is>
      </c>
      <c r="C2748" s="46" t="inlineStr">
        <is>
          <t>부천지역</t>
        </is>
      </c>
      <c r="D2748" s="46" t="inlineStr">
        <is>
          <t>남경</t>
        </is>
      </c>
      <c r="E2748" s="46" t="n">
        <v>250</v>
      </c>
      <c r="F2748" s="46" t="inlineStr">
        <is>
          <t>원종동</t>
        </is>
      </c>
      <c r="G2748" s="50" t="n">
        <v>0.5</v>
      </c>
      <c r="H2748" s="51" t="n">
        <v>489170</v>
      </c>
      <c r="I2748" s="46" t="inlineStr">
        <is>
          <t>허창수</t>
        </is>
      </c>
      <c r="K2748" s="46" t="n">
        <v>2747</v>
      </c>
      <c r="L2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9">
      <c r="A2749" s="229" t="n">
        <v>46230</v>
      </c>
      <c r="B2749" s="46" t="inlineStr">
        <is>
          <t>정기검사</t>
        </is>
      </c>
      <c r="C2749" s="46" t="inlineStr">
        <is>
          <t>부천지역</t>
        </is>
      </c>
      <c r="D2749" s="46" t="inlineStr">
        <is>
          <t>은일es</t>
        </is>
      </c>
      <c r="E2749" s="46" t="inlineStr">
        <is>
          <t>750/250</t>
        </is>
      </c>
      <c r="F2749" s="46" t="inlineStr">
        <is>
          <t>옥길동</t>
        </is>
      </c>
      <c r="G2749" s="50" t="n">
        <v>0.4166666666666667</v>
      </c>
      <c r="H2749" s="51" t="n">
        <v>1032240</v>
      </c>
      <c r="I2749" s="46" t="inlineStr">
        <is>
          <t>이종석</t>
        </is>
      </c>
      <c r="K2749" s="46" t="n">
        <v>2748</v>
      </c>
      <c r="L2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0">
      <c r="A2750" s="229" t="n">
        <v>46230</v>
      </c>
      <c r="B2750" s="46" t="inlineStr">
        <is>
          <t>정기검사</t>
        </is>
      </c>
      <c r="C2750" s="46" t="inlineStr">
        <is>
          <t>부천지역</t>
        </is>
      </c>
      <c r="D2750" s="46" t="inlineStr">
        <is>
          <t>라일락시성</t>
        </is>
      </c>
      <c r="E2750" s="46" t="inlineStr">
        <is>
          <t>전기차</t>
        </is>
      </c>
      <c r="F2750" s="46" t="inlineStr">
        <is>
          <t>상동</t>
        </is>
      </c>
      <c r="G2750" s="50" t="n">
        <v>0.4166666666666667</v>
      </c>
      <c r="H2750" s="51" t="n">
        <v>225710</v>
      </c>
      <c r="I2750" s="46" t="inlineStr">
        <is>
          <t>한태희</t>
        </is>
      </c>
      <c r="K2750" s="46" t="n">
        <v>2749</v>
      </c>
      <c r="L2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1">
      <c r="A2751" s="229" t="n">
        <v>46230</v>
      </c>
      <c r="B2751" s="46" t="inlineStr">
        <is>
          <t>정기검사</t>
        </is>
      </c>
      <c r="C2751" s="46" t="inlineStr">
        <is>
          <t>부천지역</t>
        </is>
      </c>
      <c r="D2751" s="46" t="inlineStr">
        <is>
          <t>스타필드</t>
        </is>
      </c>
      <c r="E2751" s="46" t="inlineStr">
        <is>
          <t>ups</t>
        </is>
      </c>
      <c r="F2751" s="46" t="inlineStr">
        <is>
          <t>옥길동</t>
        </is>
      </c>
      <c r="G2751" s="50" t="n">
        <v>0.5833333333333334</v>
      </c>
      <c r="H2751" s="51" t="n">
        <v>289300</v>
      </c>
      <c r="I2751" s="46" t="inlineStr">
        <is>
          <t>허창수</t>
        </is>
      </c>
      <c r="K2751" s="46" t="n">
        <v>2750</v>
      </c>
      <c r="L2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2">
      <c r="A2752" s="229" t="n">
        <v>46230</v>
      </c>
      <c r="B2752" s="46" t="inlineStr">
        <is>
          <t>정기검사</t>
        </is>
      </c>
      <c r="C2752" s="46" t="inlineStr">
        <is>
          <t>부천지역</t>
        </is>
      </c>
      <c r="D2752" s="46" t="inlineStr">
        <is>
          <t>신안아파트</t>
        </is>
      </c>
      <c r="E2752" s="46" t="inlineStr">
        <is>
          <t>전기차</t>
        </is>
      </c>
      <c r="F2752" s="46" t="inlineStr">
        <is>
          <t>중동</t>
        </is>
      </c>
      <c r="G2752" s="50" t="n">
        <v>0.4791666666666667</v>
      </c>
      <c r="H2752" s="51" t="n">
        <v>174350</v>
      </c>
      <c r="I2752" s="46" t="inlineStr">
        <is>
          <t>변종국</t>
        </is>
      </c>
      <c r="K2752" s="46" t="n">
        <v>2751</v>
      </c>
      <c r="L2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3">
      <c r="A2753" s="229" t="n">
        <v>46230</v>
      </c>
      <c r="B2753" s="46" t="inlineStr">
        <is>
          <t>정기검사</t>
        </is>
      </c>
      <c r="C2753" s="46" t="inlineStr">
        <is>
          <t>부천지역</t>
        </is>
      </c>
      <c r="D2753" s="46" t="inlineStr">
        <is>
          <t>도원초</t>
        </is>
      </c>
      <c r="E2753" s="46" t="n">
        <v>400</v>
      </c>
      <c r="F2753" s="46" t="inlineStr">
        <is>
          <t>소사동</t>
        </is>
      </c>
      <c r="G2753" s="50" t="n">
        <v>0.4166666666666667</v>
      </c>
      <c r="H2753" s="51" t="n">
        <v>703120</v>
      </c>
      <c r="I2753" s="46" t="inlineStr">
        <is>
          <t>민재홍</t>
        </is>
      </c>
      <c r="K2753" s="46" t="n">
        <v>2752</v>
      </c>
      <c r="L2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4">
      <c r="A2754" s="229" t="n">
        <v>46230</v>
      </c>
      <c r="B2754" s="46" t="inlineStr">
        <is>
          <t>정기검사</t>
        </is>
      </c>
      <c r="C2754" s="46" t="inlineStr">
        <is>
          <t>김포지역</t>
        </is>
      </c>
      <c r="D2754" s="46" t="inlineStr">
        <is>
          <t>청눈팰리스</t>
        </is>
      </c>
      <c r="E2754" s="46" t="inlineStr">
        <is>
          <t>400/182</t>
        </is>
      </c>
      <c r="F2754" s="46" t="inlineStr">
        <is>
          <t>사우동</t>
        </is>
      </c>
      <c r="G2754" s="50" t="n">
        <v>0.2708333333333333</v>
      </c>
      <c r="H2754" s="51" t="n">
        <v>1161600</v>
      </c>
      <c r="I2754" s="46" t="inlineStr">
        <is>
          <t>옹승완</t>
        </is>
      </c>
      <c r="K2754" s="46" t="n">
        <v>2753</v>
      </c>
      <c r="L2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5">
      <c r="A2755" s="229" t="n">
        <v>46230</v>
      </c>
      <c r="B2755" s="46" t="inlineStr">
        <is>
          <t>정기검사</t>
        </is>
      </c>
      <c r="C2755" s="46" t="inlineStr">
        <is>
          <t>김포지역</t>
        </is>
      </c>
      <c r="D2755" s="46" t="inlineStr">
        <is>
          <t>성민금속</t>
        </is>
      </c>
      <c r="E2755" s="46" t="n">
        <v>450</v>
      </c>
      <c r="F2755" s="46" t="inlineStr">
        <is>
          <t>초원지리</t>
        </is>
      </c>
      <c r="G2755" s="50" t="n">
        <v>0.4166666666666667</v>
      </c>
      <c r="H2755" s="51" t="n">
        <v>720060</v>
      </c>
      <c r="I2755" s="46" t="inlineStr">
        <is>
          <t>이덕기</t>
        </is>
      </c>
      <c r="K2755" s="46" t="n">
        <v>2754</v>
      </c>
      <c r="L2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6">
      <c r="A2756" s="229" t="n">
        <v>46230</v>
      </c>
      <c r="B2756" s="46" t="inlineStr">
        <is>
          <t>정기검사</t>
        </is>
      </c>
      <c r="C2756" s="46" t="inlineStr">
        <is>
          <t>김포지역</t>
        </is>
      </c>
      <c r="D2756" s="46" t="inlineStr">
        <is>
          <t>풍성</t>
        </is>
      </c>
      <c r="E2756" s="46" t="n">
        <v>500</v>
      </c>
      <c r="F2756" s="46" t="inlineStr">
        <is>
          <t>고정리</t>
        </is>
      </c>
      <c r="G2756" s="50" t="n">
        <v>0.4791666666666667</v>
      </c>
      <c r="H2756" s="51" t="n">
        <v>737000</v>
      </c>
      <c r="I2756" s="46" t="inlineStr">
        <is>
          <t>허록종</t>
        </is>
      </c>
      <c r="K2756" s="46" t="n">
        <v>2755</v>
      </c>
      <c r="L2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7">
      <c r="A2757" s="229" t="n">
        <v>46230</v>
      </c>
      <c r="B2757" s="46" t="inlineStr">
        <is>
          <t>사용전검사</t>
        </is>
      </c>
      <c r="C2757" s="46" t="inlineStr">
        <is>
          <t>부천지역</t>
        </is>
      </c>
      <c r="D2757" s="46" t="inlineStr">
        <is>
          <t>비앤디앤씨</t>
        </is>
      </c>
      <c r="E2757" s="46" t="n">
        <v>8</v>
      </c>
      <c r="F2757" s="46" t="inlineStr">
        <is>
          <t>역곡동</t>
        </is>
      </c>
      <c r="G2757" s="50" t="n"/>
      <c r="H2757" s="51" t="n"/>
      <c r="I2757" s="46" t="inlineStr">
        <is>
          <t>민재홍</t>
        </is>
      </c>
      <c r="K2757" s="46" t="n">
        <v>2756</v>
      </c>
      <c r="L2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8">
      <c r="A2758" s="229" t="n">
        <v>46230</v>
      </c>
      <c r="B2758" s="46" t="inlineStr">
        <is>
          <t>사용전검사</t>
        </is>
      </c>
      <c r="C2758" s="46" t="inlineStr">
        <is>
          <t>부천지역</t>
        </is>
      </c>
      <c r="D2758" s="46" t="inlineStr">
        <is>
          <t>모미락역곡점</t>
        </is>
      </c>
      <c r="E2758" s="46" t="n">
        <v>7</v>
      </c>
      <c r="F2758" s="46" t="inlineStr">
        <is>
          <t>역곡동</t>
        </is>
      </c>
      <c r="G2758" s="50" t="n"/>
      <c r="H2758" s="51" t="n"/>
      <c r="I2758" s="46" t="inlineStr">
        <is>
          <t>이종석</t>
        </is>
      </c>
      <c r="K2758" s="46" t="n">
        <v>2757</v>
      </c>
      <c r="L2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9">
      <c r="A2759" s="229" t="n">
        <v>46230</v>
      </c>
      <c r="B2759" s="46" t="inlineStr">
        <is>
          <t>사용전검사</t>
        </is>
      </c>
      <c r="C2759" s="46" t="inlineStr">
        <is>
          <t>부천지역</t>
        </is>
      </c>
      <c r="D2759" s="46" t="inlineStr">
        <is>
          <t>뉴스타프라자</t>
        </is>
      </c>
      <c r="E2759" s="46" t="inlineStr">
        <is>
          <t>변변</t>
        </is>
      </c>
      <c r="F2759" s="46" t="inlineStr">
        <is>
          <t>상동</t>
        </is>
      </c>
      <c r="G2759" s="50" t="n"/>
      <c r="H2759" s="51" t="n"/>
      <c r="I2759" s="46" t="inlineStr">
        <is>
          <t>김영권</t>
        </is>
      </c>
      <c r="K2759" s="46" t="n">
        <v>2758</v>
      </c>
      <c r="L2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0">
      <c r="A2760" s="229" t="n">
        <v>46230</v>
      </c>
      <c r="B2760" s="46" t="inlineStr">
        <is>
          <t>메모</t>
        </is>
      </c>
      <c r="C2760" s="46" t="inlineStr">
        <is>
          <t>부천지역</t>
        </is>
      </c>
      <c r="D2760" s="46" t="inlineStr">
        <is>
          <t>서수혛 휴가</t>
        </is>
      </c>
      <c r="E2760" s="46" t="inlineStr">
        <is>
          <t>정신배-허창수</t>
        </is>
      </c>
      <c r="F2760" s="46" t="n"/>
      <c r="G2760" s="50" t="n"/>
      <c r="H2760" s="51" t="n"/>
      <c r="I2760" s="46" t="n"/>
      <c r="K2760" s="46" t="n">
        <v>2759</v>
      </c>
      <c r="L2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1">
      <c r="A2761" s="229" t="n">
        <v>46230</v>
      </c>
      <c r="B2761" s="46" t="inlineStr">
        <is>
          <t>메모</t>
        </is>
      </c>
      <c r="C2761" s="46" t="inlineStr">
        <is>
          <t>부천지역</t>
        </is>
      </c>
      <c r="D2761" s="46" t="inlineStr">
        <is>
          <t>정성관휴가</t>
        </is>
      </c>
      <c r="E2761" s="46" t="n"/>
      <c r="F2761" s="46" t="n"/>
      <c r="G2761" s="50" t="n"/>
      <c r="H2761" s="51" t="n"/>
      <c r="I2761" s="46" t="n"/>
      <c r="K2761" s="46" t="n">
        <v>2760</v>
      </c>
      <c r="L2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2">
      <c r="A2762" s="229" t="n">
        <v>46230</v>
      </c>
      <c r="B2762" s="46" t="inlineStr">
        <is>
          <t>메모</t>
        </is>
      </c>
      <c r="C2762" s="46" t="inlineStr">
        <is>
          <t>부천지역</t>
        </is>
      </c>
      <c r="D2762" s="46" t="inlineStr">
        <is>
          <t>송낙명휴가</t>
        </is>
      </c>
      <c r="E2762" s="46" t="n"/>
      <c r="F2762" s="46" t="n"/>
      <c r="G2762" s="50" t="n"/>
      <c r="H2762" s="51" t="n"/>
      <c r="I2762" s="46" t="n"/>
      <c r="K2762" s="46" t="n">
        <v>2761</v>
      </c>
      <c r="L2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3">
      <c r="A2763" s="229" t="n">
        <v>46230</v>
      </c>
      <c r="B2763" s="46" t="inlineStr">
        <is>
          <t>사용전검사</t>
        </is>
      </c>
      <c r="C2763" s="46" t="inlineStr">
        <is>
          <t>김포지역</t>
        </is>
      </c>
      <c r="D2763" s="46" t="inlineStr">
        <is>
          <t>종한태양광</t>
        </is>
      </c>
      <c r="E2763" s="46" t="n">
        <v>87</v>
      </c>
      <c r="F2763" s="46" t="inlineStr">
        <is>
          <t>고정리</t>
        </is>
      </c>
      <c r="G2763" s="50" t="n"/>
      <c r="H2763" s="51" t="n"/>
      <c r="I2763" s="46" t="inlineStr">
        <is>
          <t>당효진</t>
        </is>
      </c>
      <c r="K2763" s="46" t="n">
        <v>2762</v>
      </c>
      <c r="L2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4">
      <c r="A2764" s="229" t="n">
        <v>46230</v>
      </c>
      <c r="B2764" s="46" t="inlineStr">
        <is>
          <t>사용전검사</t>
        </is>
      </c>
      <c r="C2764" s="46" t="inlineStr">
        <is>
          <t>김포지역</t>
        </is>
      </c>
      <c r="D2764" s="46" t="inlineStr">
        <is>
          <t>초롱</t>
        </is>
      </c>
      <c r="E2764" s="46" t="n">
        <v>89</v>
      </c>
      <c r="F2764" s="46" t="inlineStr">
        <is>
          <t>고정리</t>
        </is>
      </c>
      <c r="G2764" s="50" t="n"/>
      <c r="H2764" s="51" t="n"/>
      <c r="I2764" s="46" t="inlineStr">
        <is>
          <t>당효진</t>
        </is>
      </c>
      <c r="K2764" s="46" t="n">
        <v>2763</v>
      </c>
      <c r="L2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5">
      <c r="A2765" s="229" t="n">
        <v>46230</v>
      </c>
      <c r="B2765" s="46" t="inlineStr">
        <is>
          <t>사용전검사</t>
        </is>
      </c>
      <c r="C2765" s="46" t="inlineStr">
        <is>
          <t>김포지역</t>
        </is>
      </c>
      <c r="D2765" s="46" t="inlineStr">
        <is>
          <t>연화</t>
        </is>
      </c>
      <c r="E2765" s="46" t="n">
        <v>89</v>
      </c>
      <c r="F2765" s="46" t="inlineStr">
        <is>
          <t>고정리</t>
        </is>
      </c>
      <c r="G2765" s="50" t="n"/>
      <c r="H2765" s="51" t="n"/>
      <c r="I2765" s="46" t="inlineStr">
        <is>
          <t>당효진</t>
        </is>
      </c>
      <c r="K2765" s="46" t="n">
        <v>2764</v>
      </c>
      <c r="L2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6">
      <c r="A2766" s="229" t="n">
        <v>46230</v>
      </c>
      <c r="B2766" s="46" t="inlineStr">
        <is>
          <t>사용전검사</t>
        </is>
      </c>
      <c r="C2766" s="46" t="inlineStr">
        <is>
          <t>김포지역</t>
        </is>
      </c>
      <c r="D2766" s="46" t="inlineStr">
        <is>
          <t>씨엔케이4호</t>
        </is>
      </c>
      <c r="E2766" s="46" t="n">
        <v>89</v>
      </c>
      <c r="F2766" s="46" t="inlineStr">
        <is>
          <t>원산리</t>
        </is>
      </c>
      <c r="G2766" s="50" t="n"/>
      <c r="H2766" s="51" t="n"/>
      <c r="I2766" s="46" t="inlineStr">
        <is>
          <t>한태희</t>
        </is>
      </c>
      <c r="K2766" s="46" t="n">
        <v>2765</v>
      </c>
      <c r="L2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7">
      <c r="A2767" s="229" t="n">
        <v>46230</v>
      </c>
      <c r="B2767" s="46" t="inlineStr">
        <is>
          <t>사용전검사</t>
        </is>
      </c>
      <c r="C2767" s="46" t="inlineStr">
        <is>
          <t>김포지역</t>
        </is>
      </c>
      <c r="D2767" s="46" t="inlineStr">
        <is>
          <t>씨엔케이5호</t>
        </is>
      </c>
      <c r="E2767" s="46" t="n">
        <v>90</v>
      </c>
      <c r="F2767" s="46" t="inlineStr">
        <is>
          <t>원산리</t>
        </is>
      </c>
      <c r="G2767" s="50" t="n"/>
      <c r="H2767" s="51" t="n"/>
      <c r="I2767" s="46" t="inlineStr">
        <is>
          <t>한태희</t>
        </is>
      </c>
      <c r="K2767" s="46" t="n">
        <v>2766</v>
      </c>
      <c r="L2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8">
      <c r="A2768" s="229" t="n">
        <v>46230</v>
      </c>
      <c r="B2768" s="46" t="inlineStr">
        <is>
          <t>사용전검사</t>
        </is>
      </c>
      <c r="C2768" s="46" t="inlineStr">
        <is>
          <t>김포지역</t>
        </is>
      </c>
      <c r="D2768" s="46" t="inlineStr">
        <is>
          <t>홍영기</t>
        </is>
      </c>
      <c r="E2768" s="46" t="n">
        <v>250</v>
      </c>
      <c r="F2768" s="46" t="inlineStr">
        <is>
          <t>석정리</t>
        </is>
      </c>
      <c r="G2768" s="50" t="n"/>
      <c r="H2768" s="51" t="n"/>
      <c r="I2768" s="46" t="inlineStr">
        <is>
          <t>옹승완</t>
        </is>
      </c>
      <c r="K2768" s="46" t="n">
        <v>2767</v>
      </c>
      <c r="L2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9">
      <c r="A2769" s="229" t="n">
        <v>46231</v>
      </c>
      <c r="B2769" s="46" t="inlineStr">
        <is>
          <t>정기검사</t>
        </is>
      </c>
      <c r="C2769" s="46" t="inlineStr">
        <is>
          <t>부천지역</t>
        </is>
      </c>
      <c r="D2769" s="46" t="inlineStr">
        <is>
          <t>영라이프</t>
        </is>
      </c>
      <c r="E2769" s="46" t="inlineStr">
        <is>
          <t>850/105</t>
        </is>
      </c>
      <c r="F2769" s="46" t="inlineStr">
        <is>
          <t>중동</t>
        </is>
      </c>
      <c r="G2769" s="50" t="n">
        <v>0.2708333333333333</v>
      </c>
      <c r="H2769" s="51" t="n">
        <v>1330230</v>
      </c>
      <c r="I2769" s="46" t="inlineStr">
        <is>
          <t>송낙명</t>
        </is>
      </c>
      <c r="K2769" s="46" t="n">
        <v>2768</v>
      </c>
      <c r="L2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0">
      <c r="A2770" s="229" t="n">
        <v>46231</v>
      </c>
      <c r="B2770" s="46" t="inlineStr">
        <is>
          <t>정기검사</t>
        </is>
      </c>
      <c r="C2770" s="46" t="inlineStr">
        <is>
          <t>부천지역</t>
        </is>
      </c>
      <c r="D2770" s="46" t="inlineStr">
        <is>
          <t>성일특수고무공업</t>
        </is>
      </c>
      <c r="E2770" s="46" t="n">
        <v>500</v>
      </c>
      <c r="F2770" s="46" t="inlineStr">
        <is>
          <t>오정동</t>
        </is>
      </c>
      <c r="G2770" s="50" t="n">
        <v>0.4375</v>
      </c>
      <c r="H2770" s="51" t="n">
        <v>737000</v>
      </c>
      <c r="I2770" s="46" t="inlineStr">
        <is>
          <t>서수형</t>
        </is>
      </c>
      <c r="K2770" s="46" t="n">
        <v>2769</v>
      </c>
      <c r="L2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1">
      <c r="A2771" s="229" t="n">
        <v>46231</v>
      </c>
      <c r="B2771" s="46" t="inlineStr">
        <is>
          <t>정기검사</t>
        </is>
      </c>
      <c r="C2771" s="46" t="inlineStr">
        <is>
          <t>부천지역</t>
        </is>
      </c>
      <c r="D2771" s="46" t="inlineStr">
        <is>
          <t>로양워터콘</t>
        </is>
      </c>
      <c r="E2771" s="46" t="n">
        <v>150</v>
      </c>
      <c r="F2771" s="46" t="inlineStr">
        <is>
          <t>도당동</t>
        </is>
      </c>
      <c r="G2771" s="50" t="n">
        <v>0.6666666666666666</v>
      </c>
      <c r="H2771" s="51" t="n">
        <v>424160</v>
      </c>
      <c r="I2771" s="46" t="inlineStr">
        <is>
          <t>이덕기</t>
        </is>
      </c>
      <c r="K2771" s="46" t="n">
        <v>2770</v>
      </c>
      <c r="L2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2">
      <c r="A2772" s="229" t="n">
        <v>46231</v>
      </c>
      <c r="B2772" s="46" t="inlineStr">
        <is>
          <t>정기검사</t>
        </is>
      </c>
      <c r="C2772" s="46" t="inlineStr">
        <is>
          <t>부천지역</t>
        </is>
      </c>
      <c r="D2772" s="46" t="inlineStr">
        <is>
          <t>서영아너스</t>
        </is>
      </c>
      <c r="E2772" s="46" t="inlineStr">
        <is>
          <t>전기차</t>
        </is>
      </c>
      <c r="F2772" s="46" t="inlineStr">
        <is>
          <t>옥길동</t>
        </is>
      </c>
      <c r="G2772" s="50" t="n">
        <v>0.4166666666666667</v>
      </c>
      <c r="H2772" s="51" t="n">
        <v>13200</v>
      </c>
      <c r="I2772" s="46" t="inlineStr">
        <is>
          <t>옹승완</t>
        </is>
      </c>
      <c r="K2772" s="46" t="n">
        <v>2771</v>
      </c>
      <c r="L2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3">
      <c r="A2773" s="229" t="n">
        <v>46231</v>
      </c>
      <c r="B2773" s="46" t="inlineStr">
        <is>
          <t>정기검사</t>
        </is>
      </c>
      <c r="C2773" s="46" t="inlineStr">
        <is>
          <t>부천지역</t>
        </is>
      </c>
      <c r="D2773" s="46" t="inlineStr">
        <is>
          <t>소사힐스텐텀</t>
        </is>
      </c>
      <c r="E2773" s="46" t="inlineStr">
        <is>
          <t>전기차</t>
        </is>
      </c>
      <c r="F2773" s="46" t="inlineStr">
        <is>
          <t>소사동</t>
        </is>
      </c>
      <c r="G2773" s="50" t="n">
        <v>0.375</v>
      </c>
      <c r="H2773" s="51" t="n">
        <v>89650</v>
      </c>
      <c r="I2773" s="46" t="inlineStr">
        <is>
          <t>옹승완</t>
        </is>
      </c>
      <c r="K2773" s="46" t="n">
        <v>2772</v>
      </c>
      <c r="L2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4">
      <c r="A2774" s="229" t="n">
        <v>46231</v>
      </c>
      <c r="B2774" s="46" t="inlineStr">
        <is>
          <t>정기검사</t>
        </is>
      </c>
      <c r="C2774" s="46" t="inlineStr">
        <is>
          <t>부천지역</t>
        </is>
      </c>
      <c r="D2774" s="46" t="inlineStr">
        <is>
          <t>정명고</t>
        </is>
      </c>
      <c r="E2774" s="46" t="inlineStr">
        <is>
          <t>750/105</t>
        </is>
      </c>
      <c r="F2774" s="46" t="inlineStr">
        <is>
          <t>심곡본동</t>
        </is>
      </c>
      <c r="G2774" s="50" t="n">
        <v>0.5208333333333334</v>
      </c>
      <c r="H2774" s="51" t="n">
        <v>989340</v>
      </c>
      <c r="I2774" s="46" t="inlineStr">
        <is>
          <t>허록종</t>
        </is>
      </c>
      <c r="K2774" s="46" t="n">
        <v>2773</v>
      </c>
      <c r="L2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5">
      <c r="A2775" s="229" t="n">
        <v>46231</v>
      </c>
      <c r="B2775" s="46" t="inlineStr">
        <is>
          <t>정기검사</t>
        </is>
      </c>
      <c r="C2775" s="46" t="inlineStr">
        <is>
          <t>부천지역</t>
        </is>
      </c>
      <c r="D2775" s="46" t="inlineStr">
        <is>
          <t>청원프라자</t>
        </is>
      </c>
      <c r="E2775" s="46" t="inlineStr">
        <is>
          <t>500/170</t>
        </is>
      </c>
      <c r="F2775" s="46" t="inlineStr">
        <is>
          <t>상동</t>
        </is>
      </c>
      <c r="G2775" s="50" t="n">
        <v>0.2708333333333333</v>
      </c>
      <c r="H2775" s="51" t="n">
        <v>1201090</v>
      </c>
      <c r="I2775" s="46" t="inlineStr">
        <is>
          <t>당효진</t>
        </is>
      </c>
      <c r="K2775" s="46" t="n">
        <v>2774</v>
      </c>
      <c r="L2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6">
      <c r="A2776" s="229" t="n">
        <v>46231</v>
      </c>
      <c r="B2776" s="46" t="inlineStr">
        <is>
          <t>정기검사</t>
        </is>
      </c>
      <c r="C2776" s="46" t="inlineStr">
        <is>
          <t>김포지역</t>
        </is>
      </c>
      <c r="D2776" s="46" t="inlineStr">
        <is>
          <t>구래초</t>
        </is>
      </c>
      <c r="E2776" s="46" t="inlineStr">
        <is>
          <t>750/118</t>
        </is>
      </c>
      <c r="F2776" s="46" t="inlineStr">
        <is>
          <t>구래동</t>
        </is>
      </c>
      <c r="G2776" s="50" t="n">
        <v>0.3958333333333333</v>
      </c>
      <c r="H2776" s="51" t="n">
        <v>993190</v>
      </c>
      <c r="I2776" s="46" t="inlineStr">
        <is>
          <t>김영권</t>
        </is>
      </c>
      <c r="K2776" s="46" t="n">
        <v>2775</v>
      </c>
      <c r="L2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7">
      <c r="A2777" s="229" t="n">
        <v>46231</v>
      </c>
      <c r="B2777" s="46" t="inlineStr">
        <is>
          <t>정기검사</t>
        </is>
      </c>
      <c r="C2777" s="46" t="inlineStr">
        <is>
          <t>김포지역</t>
        </is>
      </c>
      <c r="D2777" s="46" t="inlineStr">
        <is>
          <t>향산초</t>
        </is>
      </c>
      <c r="E2777" s="46" t="inlineStr">
        <is>
          <t>900/118</t>
        </is>
      </c>
      <c r="F2777" s="46" t="inlineStr">
        <is>
          <t>고촌</t>
        </is>
      </c>
      <c r="G2777" s="50" t="n">
        <v>0.3958333333333333</v>
      </c>
      <c r="H2777" s="51" t="n">
        <v>1044010</v>
      </c>
      <c r="I2777" s="46" t="inlineStr">
        <is>
          <t>민재홍</t>
        </is>
      </c>
      <c r="K2777" s="46" t="n">
        <v>2776</v>
      </c>
      <c r="L2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8">
      <c r="A2778" s="229" t="n">
        <v>46231</v>
      </c>
      <c r="B2778" s="46" t="inlineStr">
        <is>
          <t>정기검사</t>
        </is>
      </c>
      <c r="C2778" s="46" t="inlineStr">
        <is>
          <t>김포지역</t>
        </is>
      </c>
      <c r="D2778" s="46" t="inlineStr">
        <is>
          <t>푸른어린이집</t>
        </is>
      </c>
      <c r="E2778" s="46" t="n">
        <v>250</v>
      </c>
      <c r="F2778" s="46" t="inlineStr">
        <is>
          <t>걸포동</t>
        </is>
      </c>
      <c r="G2778" s="50" t="n">
        <v>0.625</v>
      </c>
      <c r="H2778" s="51" t="n">
        <v>489170</v>
      </c>
      <c r="I2778" s="46" t="inlineStr">
        <is>
          <t>이종석</t>
        </is>
      </c>
      <c r="K2778" s="46" t="n">
        <v>2777</v>
      </c>
      <c r="L2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9">
      <c r="A2779" s="229" t="n">
        <v>46231</v>
      </c>
      <c r="B2779" s="46" t="inlineStr">
        <is>
          <t>정기검사</t>
        </is>
      </c>
      <c r="C2779" s="46" t="inlineStr">
        <is>
          <t>김포지역</t>
        </is>
      </c>
      <c r="D2779" s="46" t="inlineStr">
        <is>
          <t>엠에스유</t>
        </is>
      </c>
      <c r="E2779" s="46" t="n">
        <v>200</v>
      </c>
      <c r="F2779" s="46" t="inlineStr">
        <is>
          <t>학운리</t>
        </is>
      </c>
      <c r="G2779" s="50" t="n">
        <v>0.6666666666666666</v>
      </c>
      <c r="H2779" s="51" t="n">
        <v>275440</v>
      </c>
      <c r="I2779" s="46" t="inlineStr">
        <is>
          <t>변종국</t>
        </is>
      </c>
      <c r="K2779" s="46" t="n">
        <v>2778</v>
      </c>
      <c r="L2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0">
      <c r="A2780" s="229" t="n">
        <v>46231</v>
      </c>
      <c r="B2780" s="46" t="inlineStr">
        <is>
          <t>사용전검사</t>
        </is>
      </c>
      <c r="C2780" s="46" t="inlineStr">
        <is>
          <t>부천지역</t>
        </is>
      </c>
      <c r="D2780" s="46" t="inlineStr">
        <is>
          <t>광백드림건설</t>
        </is>
      </c>
      <c r="E2780" s="46" t="n">
        <v>3.225</v>
      </c>
      <c r="F2780" s="46" t="inlineStr">
        <is>
          <t>심곡동</t>
        </is>
      </c>
      <c r="G2780" s="50" t="n"/>
      <c r="H2780" s="51" t="n"/>
      <c r="I2780" s="46" t="inlineStr">
        <is>
          <t>한태희</t>
        </is>
      </c>
      <c r="K2780" s="46" t="n">
        <v>2779</v>
      </c>
      <c r="L2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1">
      <c r="A2781" s="229" t="n">
        <v>46231</v>
      </c>
      <c r="B2781" s="46" t="inlineStr">
        <is>
          <t>사용전검사</t>
        </is>
      </c>
      <c r="C2781" s="46" t="inlineStr">
        <is>
          <t>부천지역</t>
        </is>
      </c>
      <c r="D2781" s="46" t="inlineStr">
        <is>
          <t>성곡동행정복지</t>
        </is>
      </c>
      <c r="E2781" s="46" t="n">
        <v>30</v>
      </c>
      <c r="F2781" s="46" t="inlineStr">
        <is>
          <t>성곡동</t>
        </is>
      </c>
      <c r="G2781" s="50" t="n"/>
      <c r="H2781" s="51" t="n"/>
      <c r="I2781" s="46" t="inlineStr">
        <is>
          <t>이덕기</t>
        </is>
      </c>
      <c r="K2781" s="46" t="n">
        <v>2780</v>
      </c>
      <c r="L2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2">
      <c r="A2782" s="229" t="n">
        <v>46231</v>
      </c>
      <c r="B2782" s="46" t="inlineStr">
        <is>
          <t>사용전검사</t>
        </is>
      </c>
      <c r="C2782" s="46" t="inlineStr">
        <is>
          <t>부천지역</t>
        </is>
      </c>
      <c r="D2782" s="46" t="inlineStr">
        <is>
          <t>에이스코리아</t>
        </is>
      </c>
      <c r="E2782" s="46" t="n">
        <v>30</v>
      </c>
      <c r="F2782" s="46" t="inlineStr">
        <is>
          <t>상동</t>
        </is>
      </c>
      <c r="G2782" s="50" t="n"/>
      <c r="H2782" s="51" t="n"/>
      <c r="I2782" s="46" t="inlineStr">
        <is>
          <t>한태희</t>
        </is>
      </c>
      <c r="K2782" s="46" t="n">
        <v>2781</v>
      </c>
      <c r="L2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3">
      <c r="A2783" s="229" t="n">
        <v>46231</v>
      </c>
      <c r="B2783" s="46" t="inlineStr">
        <is>
          <t>사용전검사</t>
        </is>
      </c>
      <c r="C2783" s="46" t="inlineStr">
        <is>
          <t>부천지역</t>
        </is>
      </c>
      <c r="D2783" s="46" t="inlineStr">
        <is>
          <t>뽑기오</t>
        </is>
      </c>
      <c r="E2783" s="46" t="n">
        <v>22</v>
      </c>
      <c r="F2783" s="46" t="inlineStr">
        <is>
          <t>심곡동</t>
        </is>
      </c>
      <c r="G2783" s="50" t="n"/>
      <c r="H2783" s="51" t="n"/>
      <c r="I2783" s="46" t="inlineStr">
        <is>
          <t>허창수</t>
        </is>
      </c>
      <c r="K2783" s="46" t="n">
        <v>2782</v>
      </c>
      <c r="L2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4">
      <c r="A2784" s="229" t="n">
        <v>46231</v>
      </c>
      <c r="B2784" s="46" t="inlineStr">
        <is>
          <t>사용전검사</t>
        </is>
      </c>
      <c r="C2784" s="46" t="inlineStr">
        <is>
          <t>부천지역</t>
        </is>
      </c>
      <c r="D2784" s="46" t="inlineStr">
        <is>
          <t>채윤정</t>
        </is>
      </c>
      <c r="E2784" s="46" t="n">
        <v>7</v>
      </c>
      <c r="F2784" s="46" t="inlineStr">
        <is>
          <t>심곡동</t>
        </is>
      </c>
      <c r="G2784" s="50" t="n"/>
      <c r="H2784" s="51" t="n"/>
      <c r="I2784" s="46" t="inlineStr">
        <is>
          <t>허창수</t>
        </is>
      </c>
      <c r="K2784" s="46" t="n">
        <v>2783</v>
      </c>
      <c r="L2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5">
      <c r="A2785" s="229" t="n">
        <v>46231</v>
      </c>
      <c r="B2785" s="46" t="inlineStr">
        <is>
          <t>메모</t>
        </is>
      </c>
      <c r="C2785" s="46" t="inlineStr">
        <is>
          <t>부천지역</t>
        </is>
      </c>
      <c r="D2785" s="46" t="inlineStr">
        <is>
          <t>정성관휴가</t>
        </is>
      </c>
      <c r="E2785" s="46" t="n"/>
      <c r="F2785" s="46" t="n"/>
      <c r="G2785" s="50" t="n"/>
      <c r="H2785" s="51" t="n"/>
      <c r="I2785" s="46" t="n"/>
      <c r="K2785" s="46" t="n">
        <v>2784</v>
      </c>
      <c r="L2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6">
      <c r="A2786" s="229" t="n">
        <v>46231</v>
      </c>
      <c r="B2786" s="46" t="inlineStr">
        <is>
          <t>사용전검사</t>
        </is>
      </c>
      <c r="C2786" s="46" t="inlineStr">
        <is>
          <t>김포지역</t>
        </is>
      </c>
      <c r="D2786" s="46" t="inlineStr">
        <is>
          <t>모햇</t>
        </is>
      </c>
      <c r="E2786" s="46" t="n">
        <v>55</v>
      </c>
      <c r="F2786" s="46" t="inlineStr">
        <is>
          <t>대벽리</t>
        </is>
      </c>
      <c r="G2786" s="50" t="n"/>
      <c r="H2786" s="51" t="n"/>
      <c r="I2786" s="46" t="inlineStr">
        <is>
          <t>민재홍</t>
        </is>
      </c>
      <c r="K2786" s="46" t="n">
        <v>2785</v>
      </c>
      <c r="L2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7">
      <c r="A2787" s="229" t="n">
        <v>46231</v>
      </c>
      <c r="B2787" s="46" t="inlineStr">
        <is>
          <t>사용전검사</t>
        </is>
      </c>
      <c r="C2787" s="46" t="inlineStr">
        <is>
          <t>김포지역</t>
        </is>
      </c>
      <c r="D2787" s="46" t="inlineStr">
        <is>
          <t>이명희</t>
        </is>
      </c>
      <c r="E2787" s="46" t="n">
        <v>10</v>
      </c>
      <c r="F2787" s="46" t="inlineStr">
        <is>
          <t>양곡리</t>
        </is>
      </c>
      <c r="G2787" s="50" t="n"/>
      <c r="H2787" s="51" t="n"/>
      <c r="I2787" s="46" t="inlineStr">
        <is>
          <t>변종국</t>
        </is>
      </c>
      <c r="K2787" s="46" t="n">
        <v>2786</v>
      </c>
      <c r="L2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8">
      <c r="A2788" s="229" t="n">
        <v>46231</v>
      </c>
      <c r="B2788" s="46" t="inlineStr">
        <is>
          <t>사용전검사</t>
        </is>
      </c>
      <c r="C2788" s="46" t="inlineStr">
        <is>
          <t>김포지역</t>
        </is>
      </c>
      <c r="D2788" s="46" t="inlineStr">
        <is>
          <t>하성태양광</t>
        </is>
      </c>
      <c r="E2788" s="46" t="n">
        <v>89</v>
      </c>
      <c r="F2788" s="46" t="inlineStr">
        <is>
          <t>원산리</t>
        </is>
      </c>
      <c r="G2788" s="50" t="n"/>
      <c r="H2788" s="51" t="n"/>
      <c r="I2788" s="46" t="inlineStr">
        <is>
          <t>정신배</t>
        </is>
      </c>
      <c r="K2788" s="46" t="n">
        <v>2787</v>
      </c>
      <c r="L2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9">
      <c r="A2789" s="229" t="n">
        <v>46231</v>
      </c>
      <c r="B2789" s="46" t="inlineStr">
        <is>
          <t>사용전검사</t>
        </is>
      </c>
      <c r="C2789" s="46" t="inlineStr">
        <is>
          <t>김포지역</t>
        </is>
      </c>
      <c r="D2789" s="46" t="inlineStr">
        <is>
          <t>에드텍</t>
        </is>
      </c>
      <c r="E2789" s="46" t="n">
        <v>499</v>
      </c>
      <c r="F2789" s="46" t="inlineStr">
        <is>
          <t>석정리</t>
        </is>
      </c>
      <c r="G2789" s="50" t="n"/>
      <c r="H2789" s="51" t="n"/>
      <c r="I2789" s="46" t="inlineStr">
        <is>
          <t>정신배</t>
        </is>
      </c>
      <c r="K2789" s="46" t="n">
        <v>2788</v>
      </c>
      <c r="L2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0">
      <c r="A2790" s="229" t="n">
        <v>46231</v>
      </c>
      <c r="B2790" s="46" t="inlineStr">
        <is>
          <t>사용전검사</t>
        </is>
      </c>
      <c r="C2790" s="46" t="inlineStr">
        <is>
          <t>김포지역</t>
        </is>
      </c>
      <c r="D2790" s="46" t="inlineStr">
        <is>
          <t>나보스</t>
        </is>
      </c>
      <c r="E2790" s="46" t="n">
        <v>260</v>
      </c>
      <c r="F2790" s="46" t="inlineStr">
        <is>
          <t>석정리</t>
        </is>
      </c>
      <c r="G2790" s="50" t="n"/>
      <c r="H2790" s="51" t="n"/>
      <c r="I2790" s="46" t="inlineStr">
        <is>
          <t>정신배</t>
        </is>
      </c>
      <c r="K2790" s="46" t="n">
        <v>2789</v>
      </c>
      <c r="L2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1">
      <c r="A2791" s="229" t="n">
        <v>46232</v>
      </c>
      <c r="B2791" s="46" t="inlineStr">
        <is>
          <t>정기검사</t>
        </is>
      </c>
      <c r="C2791" s="46" t="inlineStr">
        <is>
          <t>부천지역</t>
        </is>
      </c>
      <c r="D2791" s="46" t="inlineStr">
        <is>
          <t>성모병원</t>
        </is>
      </c>
      <c r="E2791" s="46" t="inlineStr">
        <is>
          <t>UPS</t>
        </is>
      </c>
      <c r="F2791" s="46" t="inlineStr">
        <is>
          <t>소사동</t>
        </is>
      </c>
      <c r="G2791" s="50" t="n">
        <v>0.5625</v>
      </c>
      <c r="H2791" s="51" t="n">
        <v>1375330</v>
      </c>
      <c r="I2791" s="46" t="inlineStr">
        <is>
          <t>허창수</t>
        </is>
      </c>
      <c r="K2791" s="46" t="n">
        <v>2790</v>
      </c>
      <c r="L2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2">
      <c r="A2792" s="229" t="n">
        <v>46232</v>
      </c>
      <c r="B2792" s="46" t="inlineStr">
        <is>
          <t>정기검사</t>
        </is>
      </c>
      <c r="C2792" s="46" t="inlineStr">
        <is>
          <t>부천지역</t>
        </is>
      </c>
      <c r="D2792" s="46" t="inlineStr">
        <is>
          <t>희망테크프론</t>
        </is>
      </c>
      <c r="E2792" s="46" t="n">
        <v>500</v>
      </c>
      <c r="F2792" s="46" t="inlineStr">
        <is>
          <t>오정동</t>
        </is>
      </c>
      <c r="G2792" s="50" t="n">
        <v>0.5</v>
      </c>
      <c r="H2792" s="51" t="n">
        <v>737000</v>
      </c>
      <c r="I2792" s="46" t="inlineStr">
        <is>
          <t>송낙명</t>
        </is>
      </c>
      <c r="K2792" s="46" t="n">
        <v>2791</v>
      </c>
      <c r="L2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3">
      <c r="A2793" s="229" t="n">
        <v>46232</v>
      </c>
      <c r="B2793" s="46" t="inlineStr">
        <is>
          <t>정기검사</t>
        </is>
      </c>
      <c r="C2793" s="46" t="inlineStr">
        <is>
          <t>부천지역</t>
        </is>
      </c>
      <c r="D2793" s="46" t="inlineStr">
        <is>
          <t>은성프라자</t>
        </is>
      </c>
      <c r="E2793" s="46" t="inlineStr">
        <is>
          <t>650/170</t>
        </is>
      </c>
      <c r="F2793" s="46" t="inlineStr">
        <is>
          <t>내동</t>
        </is>
      </c>
      <c r="G2793" s="50" t="n">
        <v>0.25</v>
      </c>
      <c r="H2793" s="51" t="n">
        <v>1333860</v>
      </c>
      <c r="I2793" s="46" t="inlineStr">
        <is>
          <t>서수형</t>
        </is>
      </c>
      <c r="K2793" s="46" t="n">
        <v>2792</v>
      </c>
      <c r="L2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4">
      <c r="A2794" s="229" t="n">
        <v>46232</v>
      </c>
      <c r="B2794" s="46" t="inlineStr">
        <is>
          <t>정기검사</t>
        </is>
      </c>
      <c r="C2794" s="46" t="inlineStr">
        <is>
          <t>부천지역</t>
        </is>
      </c>
      <c r="D2794" s="46" t="inlineStr">
        <is>
          <t>db하이텍</t>
        </is>
      </c>
      <c r="E2794" s="46" t="n"/>
      <c r="F2794" s="46" t="inlineStr">
        <is>
          <t>도당동</t>
        </is>
      </c>
      <c r="G2794" s="50" t="n"/>
      <c r="H2794" s="51" t="n">
        <v>5671600</v>
      </c>
      <c r="I2794" s="46" t="inlineStr">
        <is>
          <t>정성관</t>
        </is>
      </c>
      <c r="K2794" s="46" t="n">
        <v>2793</v>
      </c>
      <c r="L2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5">
      <c r="A2795" s="229" t="n">
        <v>46232</v>
      </c>
      <c r="B2795" s="46" t="inlineStr">
        <is>
          <t>정기검사</t>
        </is>
      </c>
      <c r="C2795" s="46" t="inlineStr">
        <is>
          <t>부천지역</t>
        </is>
      </c>
      <c r="D2795" s="46" t="inlineStr">
        <is>
          <t>로하스프라자</t>
        </is>
      </c>
      <c r="E2795" s="46" t="inlineStr">
        <is>
          <t>전기차</t>
        </is>
      </c>
      <c r="F2795" s="46" t="inlineStr">
        <is>
          <t>중동</t>
        </is>
      </c>
      <c r="G2795" s="50" t="n">
        <v>0.4166666666666667</v>
      </c>
      <c r="H2795" s="51" t="n">
        <v>72710</v>
      </c>
      <c r="I2795" s="46" t="inlineStr">
        <is>
          <t>서수형</t>
        </is>
      </c>
      <c r="K2795" s="46" t="n">
        <v>2794</v>
      </c>
      <c r="L2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6">
      <c r="A2796" s="229" t="n">
        <v>46232</v>
      </c>
      <c r="B2796" s="46" t="inlineStr">
        <is>
          <t>정기검사</t>
        </is>
      </c>
      <c r="C2796" s="46" t="inlineStr">
        <is>
          <t>부천지역</t>
        </is>
      </c>
      <c r="D2796" s="46" t="inlineStr">
        <is>
          <t>청구아파트</t>
        </is>
      </c>
      <c r="E2796" s="46" t="inlineStr">
        <is>
          <t>전기차</t>
        </is>
      </c>
      <c r="F2796" s="46" t="inlineStr">
        <is>
          <t>상동</t>
        </is>
      </c>
      <c r="G2796" s="50" t="n">
        <v>0.4166666666666667</v>
      </c>
      <c r="H2796" s="51" t="n">
        <v>182820</v>
      </c>
      <c r="I2796" s="46" t="inlineStr">
        <is>
          <t>한태희</t>
        </is>
      </c>
      <c r="K2796" s="46" t="n">
        <v>2795</v>
      </c>
      <c r="L2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7">
      <c r="A2797" s="229" t="n">
        <v>46232</v>
      </c>
      <c r="B2797" s="46" t="inlineStr">
        <is>
          <t>정기검사</t>
        </is>
      </c>
      <c r="C2797" s="46" t="inlineStr">
        <is>
          <t>김포지역</t>
        </is>
      </c>
      <c r="D2797" s="46" t="inlineStr">
        <is>
          <t>레고리스</t>
        </is>
      </c>
      <c r="E2797" s="46" t="n">
        <v>290</v>
      </c>
      <c r="F2797" s="46" t="inlineStr">
        <is>
          <t>석정리</t>
        </is>
      </c>
      <c r="G2797" s="50" t="n">
        <v>0.4375</v>
      </c>
      <c r="H2797" s="51" t="n">
        <v>515130</v>
      </c>
      <c r="I2797" s="46" t="inlineStr">
        <is>
          <t>김영권</t>
        </is>
      </c>
      <c r="K2797" s="46" t="n">
        <v>2796</v>
      </c>
      <c r="L2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8">
      <c r="A2798" s="229" t="n">
        <v>46232</v>
      </c>
      <c r="B2798" s="46" t="inlineStr">
        <is>
          <t>정기검사</t>
        </is>
      </c>
      <c r="C2798" s="46" t="inlineStr">
        <is>
          <t>김포지역</t>
        </is>
      </c>
      <c r="D2798" s="46" t="inlineStr">
        <is>
          <t>대원씨티에스</t>
        </is>
      </c>
      <c r="E2798" s="46" t="n">
        <v>147</v>
      </c>
      <c r="F2798" s="46" t="inlineStr">
        <is>
          <t>고촌</t>
        </is>
      </c>
      <c r="G2798" s="50" t="n">
        <v>0.4166666666666667</v>
      </c>
      <c r="H2798" s="51" t="n">
        <v>305800</v>
      </c>
      <c r="I2798" s="46" t="inlineStr">
        <is>
          <t>변종국</t>
        </is>
      </c>
      <c r="K2798" s="46" t="n">
        <v>2797</v>
      </c>
      <c r="L2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9">
      <c r="A2799" s="229" t="n">
        <v>46232</v>
      </c>
      <c r="B2799" s="46" t="inlineStr">
        <is>
          <t>정기검사</t>
        </is>
      </c>
      <c r="C2799" s="46" t="inlineStr">
        <is>
          <t>김포지역</t>
        </is>
      </c>
      <c r="D2799" s="46" t="inlineStr">
        <is>
          <t>초원식품</t>
        </is>
      </c>
      <c r="E2799" s="46" t="n">
        <v>990</v>
      </c>
      <c r="F2799" s="46" t="inlineStr">
        <is>
          <t>학운리</t>
        </is>
      </c>
      <c r="G2799" s="50" t="n">
        <v>0.4583333333333333</v>
      </c>
      <c r="H2799" s="51" t="n">
        <v>902990</v>
      </c>
      <c r="I2799" s="46" t="inlineStr">
        <is>
          <t>허록종</t>
        </is>
      </c>
      <c r="K2799" s="46" t="n">
        <v>2798</v>
      </c>
      <c r="L2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0">
      <c r="A2800" s="229" t="n">
        <v>46232</v>
      </c>
      <c r="B2800" s="46" t="inlineStr">
        <is>
          <t>정기검사</t>
        </is>
      </c>
      <c r="C2800" s="46" t="inlineStr">
        <is>
          <t>김포지역</t>
        </is>
      </c>
      <c r="D2800" s="46" t="inlineStr">
        <is>
          <t>진성테크</t>
        </is>
      </c>
      <c r="E2800" s="46" t="n">
        <v>200</v>
      </c>
      <c r="F2800" s="46" t="inlineStr">
        <is>
          <t>가현리</t>
        </is>
      </c>
      <c r="G2800" s="50" t="n">
        <v>0.4791666666666667</v>
      </c>
      <c r="H2800" s="51" t="n">
        <v>456720</v>
      </c>
      <c r="I2800" s="46" t="inlineStr">
        <is>
          <t>이덕기</t>
        </is>
      </c>
      <c r="K2800" s="46" t="n">
        <v>2799</v>
      </c>
      <c r="L2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1">
      <c r="A2801" s="229" t="n">
        <v>46232</v>
      </c>
      <c r="B2801" s="46" t="inlineStr">
        <is>
          <t>정기검사</t>
        </is>
      </c>
      <c r="C2801" s="46" t="inlineStr">
        <is>
          <t>김포지역</t>
        </is>
      </c>
      <c r="D2801" s="46" t="inlineStr">
        <is>
          <t>스피드랙</t>
        </is>
      </c>
      <c r="E2801" s="46" t="n">
        <v>490</v>
      </c>
      <c r="F2801" s="46" t="inlineStr">
        <is>
          <t>석정리</t>
        </is>
      </c>
      <c r="G2801" s="50" t="n">
        <v>0.5</v>
      </c>
      <c r="H2801" s="51" t="n">
        <v>733590</v>
      </c>
      <c r="I2801" s="46" t="inlineStr">
        <is>
          <t>이종석</t>
        </is>
      </c>
      <c r="K2801" s="46" t="n">
        <v>2800</v>
      </c>
      <c r="L2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2">
      <c r="A2802" s="229" t="n">
        <v>46232</v>
      </c>
      <c r="B2802" s="46" t="inlineStr">
        <is>
          <t>메모</t>
        </is>
      </c>
      <c r="C2802" s="46" t="inlineStr">
        <is>
          <t>부천지역</t>
        </is>
      </c>
      <c r="D2802" s="46" t="inlineStr">
        <is>
          <t>정신배휴가</t>
        </is>
      </c>
      <c r="E2802" s="46" t="n"/>
      <c r="F2802" s="46" t="n"/>
      <c r="G2802" s="50" t="n"/>
      <c r="H2802" s="51" t="n"/>
      <c r="I2802" s="46" t="n"/>
      <c r="K2802" s="46" t="n">
        <v>2801</v>
      </c>
      <c r="L2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3">
      <c r="A2803" s="229" t="n">
        <v>46232</v>
      </c>
      <c r="B2803" s="46" t="inlineStr">
        <is>
          <t>사용전검사</t>
        </is>
      </c>
      <c r="C2803" s="46" t="inlineStr">
        <is>
          <t>김포지역</t>
        </is>
      </c>
      <c r="D2803" s="46" t="inlineStr">
        <is>
          <t>원광태양광</t>
        </is>
      </c>
      <c r="E2803" s="46" t="n">
        <v>268</v>
      </c>
      <c r="F2803" s="46" t="inlineStr">
        <is>
          <t>갈산리</t>
        </is>
      </c>
      <c r="G2803" s="50" t="n"/>
      <c r="H2803" s="51" t="n"/>
      <c r="I2803" s="46" t="inlineStr">
        <is>
          <t>민재홍</t>
        </is>
      </c>
      <c r="K2803" s="46" t="n">
        <v>2802</v>
      </c>
      <c r="L2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4">
      <c r="A2804" s="229" t="n">
        <v>46232</v>
      </c>
      <c r="B2804" s="46" t="inlineStr">
        <is>
          <t>사용전검사</t>
        </is>
      </c>
      <c r="C2804" s="46" t="inlineStr">
        <is>
          <t>김포지역</t>
        </is>
      </c>
      <c r="D2804" s="46" t="inlineStr">
        <is>
          <t>화성기공</t>
        </is>
      </c>
      <c r="E2804" s="46" t="n">
        <v>121</v>
      </c>
      <c r="F2804" s="46" t="inlineStr">
        <is>
          <t>학운리</t>
        </is>
      </c>
      <c r="G2804" s="50" t="n"/>
      <c r="H2804" s="51" t="n"/>
      <c r="I2804" s="46" t="inlineStr">
        <is>
          <t>당효진</t>
        </is>
      </c>
      <c r="K2804" s="46" t="n">
        <v>2803</v>
      </c>
      <c r="L2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5">
      <c r="A2805" s="229" t="n">
        <v>46232</v>
      </c>
      <c r="B2805" s="46" t="inlineStr">
        <is>
          <t>사용전검사</t>
        </is>
      </c>
      <c r="C2805" s="46" t="inlineStr">
        <is>
          <t>김포지역</t>
        </is>
      </c>
      <c r="D2805" s="46" t="inlineStr">
        <is>
          <t>아라딘</t>
        </is>
      </c>
      <c r="E2805" s="46" t="n">
        <v>70</v>
      </c>
      <c r="F2805" s="46" t="inlineStr">
        <is>
          <t>마송리</t>
        </is>
      </c>
      <c r="G2805" s="50" t="n"/>
      <c r="H2805" s="51" t="n"/>
      <c r="I2805" s="46" t="inlineStr">
        <is>
          <t>민재홍</t>
        </is>
      </c>
      <c r="K2805" s="46" t="n">
        <v>2804</v>
      </c>
      <c r="L2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6">
      <c r="A2806" s="229" t="n">
        <v>46232</v>
      </c>
      <c r="B2806" s="46" t="inlineStr">
        <is>
          <t>사용전검사</t>
        </is>
      </c>
      <c r="C2806" s="46" t="inlineStr">
        <is>
          <t>김포지역</t>
        </is>
      </c>
      <c r="D2806" s="46" t="inlineStr">
        <is>
          <t>태운소방산업</t>
        </is>
      </c>
      <c r="E2806" s="46" t="n">
        <v>103</v>
      </c>
      <c r="F2806" s="46" t="inlineStr">
        <is>
          <t>고정리</t>
        </is>
      </c>
      <c r="G2806" s="50" t="n"/>
      <c r="H2806" s="51" t="n"/>
      <c r="I2806" s="46" t="inlineStr">
        <is>
          <t>김영권</t>
        </is>
      </c>
      <c r="K2806" s="46" t="n">
        <v>2805</v>
      </c>
      <c r="L2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7">
      <c r="A2807" s="229" t="n">
        <v>46232</v>
      </c>
      <c r="B2807" s="46" t="inlineStr">
        <is>
          <t>사용전검사</t>
        </is>
      </c>
      <c r="C2807" s="46" t="inlineStr">
        <is>
          <t>김포지역</t>
        </is>
      </c>
      <c r="D2807" s="46" t="inlineStr">
        <is>
          <t>유성농장</t>
        </is>
      </c>
      <c r="E2807" s="46" t="n">
        <v>6</v>
      </c>
      <c r="F2807" s="46" t="inlineStr">
        <is>
          <t>석정리</t>
        </is>
      </c>
      <c r="G2807" s="50" t="n"/>
      <c r="H2807" s="51" t="n"/>
      <c r="I2807" s="46" t="inlineStr">
        <is>
          <t>옹승완</t>
        </is>
      </c>
      <c r="K2807" s="46" t="n">
        <v>2806</v>
      </c>
      <c r="L2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8">
      <c r="A2808" s="229" t="n">
        <v>46232</v>
      </c>
      <c r="B2808" s="46" t="inlineStr">
        <is>
          <t>사용전검사</t>
        </is>
      </c>
      <c r="C2808" s="46" t="inlineStr">
        <is>
          <t>김포지역</t>
        </is>
      </c>
      <c r="D2808" s="46" t="inlineStr">
        <is>
          <t>대명축산식품</t>
        </is>
      </c>
      <c r="E2808" s="46" t="n">
        <v>430</v>
      </c>
      <c r="F2808" s="46" t="inlineStr">
        <is>
          <t>누산리</t>
        </is>
      </c>
      <c r="G2808" s="50" t="n"/>
      <c r="H2808" s="51" t="n"/>
      <c r="I2808" s="46" t="inlineStr">
        <is>
          <t>이종석</t>
        </is>
      </c>
      <c r="K2808" s="46" t="n">
        <v>2807</v>
      </c>
      <c r="L2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9">
      <c r="A2809" s="229" t="n">
        <v>46233</v>
      </c>
      <c r="B2809" s="46" t="inlineStr">
        <is>
          <t>정기검사</t>
        </is>
      </c>
      <c r="C2809" s="46" t="inlineStr">
        <is>
          <t>부천지역</t>
        </is>
      </c>
      <c r="D2809" s="46" t="inlineStr">
        <is>
          <t>삼호케미칼</t>
        </is>
      </c>
      <c r="E2809" s="46" t="n">
        <v>750</v>
      </c>
      <c r="F2809" s="46" t="inlineStr">
        <is>
          <t>도당동</t>
        </is>
      </c>
      <c r="G2809" s="50" t="n">
        <v>0.5416666666666666</v>
      </c>
      <c r="H2809" s="51" t="n">
        <v>821700</v>
      </c>
      <c r="I2809" s="46" t="inlineStr">
        <is>
          <t>정신배</t>
        </is>
      </c>
      <c r="K2809" s="46" t="n">
        <v>2808</v>
      </c>
      <c r="L2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0">
      <c r="A2810" s="229" t="n">
        <v>46233</v>
      </c>
      <c r="B2810" s="46" t="inlineStr">
        <is>
          <t>정기검사</t>
        </is>
      </c>
      <c r="C2810" s="46" t="inlineStr">
        <is>
          <t>부천지역</t>
        </is>
      </c>
      <c r="D2810" s="46" t="inlineStr">
        <is>
          <t>한라비발디</t>
        </is>
      </c>
      <c r="E2810" s="46" t="inlineStr">
        <is>
          <t>1150/555</t>
        </is>
      </c>
      <c r="F2810" s="46" t="inlineStr">
        <is>
          <t>소사동</t>
        </is>
      </c>
      <c r="G2810" s="50" t="n">
        <v>0.4166666666666667</v>
      </c>
      <c r="H2810" s="51" t="n">
        <v>1205820</v>
      </c>
      <c r="I2810" s="46" t="inlineStr">
        <is>
          <t>민재홍</t>
        </is>
      </c>
      <c r="K2810" s="46" t="n">
        <v>2809</v>
      </c>
      <c r="L2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1">
      <c r="A2811" s="229" t="n">
        <v>46233</v>
      </c>
      <c r="B2811" s="46" t="inlineStr">
        <is>
          <t>정기검사</t>
        </is>
      </c>
      <c r="C2811" s="46" t="inlineStr">
        <is>
          <t>부천지역</t>
        </is>
      </c>
      <c r="D2811" s="46" t="inlineStr">
        <is>
          <t>유성메트로</t>
        </is>
      </c>
      <c r="E2811" s="46" t="inlineStr">
        <is>
          <t>700/121</t>
        </is>
      </c>
      <c r="F2811" s="46" t="inlineStr">
        <is>
          <t>소사동</t>
        </is>
      </c>
      <c r="G2811" s="50" t="n">
        <v>0.3958333333333333</v>
      </c>
      <c r="H2811" s="51" t="n"/>
      <c r="I2811" s="46" t="inlineStr">
        <is>
          <t>변종국</t>
        </is>
      </c>
      <c r="K2811" s="46" t="n">
        <v>2810</v>
      </c>
      <c r="L2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2">
      <c r="A2812" s="229" t="n">
        <v>46233</v>
      </c>
      <c r="B2812" s="46" t="inlineStr">
        <is>
          <t>정기검사</t>
        </is>
      </c>
      <c r="C2812" s="46" t="inlineStr">
        <is>
          <t>부천지역</t>
        </is>
      </c>
      <c r="D2812" s="46" t="inlineStr">
        <is>
          <t>부천공고</t>
        </is>
      </c>
      <c r="E2812" s="46" t="inlineStr">
        <is>
          <t>950/450</t>
        </is>
      </c>
      <c r="F2812" s="46" t="inlineStr">
        <is>
          <t>송내동</t>
        </is>
      </c>
      <c r="G2812" s="50" t="n">
        <v>0.4791666666666667</v>
      </c>
      <c r="H2812" s="51" t="n">
        <v>1135860</v>
      </c>
      <c r="I2812" s="46" t="inlineStr">
        <is>
          <t>이종석</t>
        </is>
      </c>
      <c r="K2812" s="46" t="n">
        <v>2811</v>
      </c>
      <c r="L2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3">
      <c r="A2813" s="229" t="n">
        <v>46233</v>
      </c>
      <c r="B2813" s="46" t="inlineStr">
        <is>
          <t>정기검사</t>
        </is>
      </c>
      <c r="C2813" s="46" t="inlineStr">
        <is>
          <t>부천지역</t>
        </is>
      </c>
      <c r="D2813" s="46" t="inlineStr">
        <is>
          <t>상미초</t>
        </is>
      </c>
      <c r="E2813" s="46" t="inlineStr">
        <is>
          <t>400/131</t>
        </is>
      </c>
      <c r="F2813" s="46" t="inlineStr">
        <is>
          <t>상동</t>
        </is>
      </c>
      <c r="G2813" s="50" t="n">
        <v>0.625</v>
      </c>
      <c r="H2813" s="51" t="n">
        <v>878460</v>
      </c>
      <c r="I2813" s="46" t="inlineStr">
        <is>
          <t>김영권</t>
        </is>
      </c>
      <c r="K2813" s="46" t="n">
        <v>2812</v>
      </c>
      <c r="L2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4">
      <c r="A2814" s="229" t="n">
        <v>46233</v>
      </c>
      <c r="B2814" s="46" t="inlineStr">
        <is>
          <t>정기검사</t>
        </is>
      </c>
      <c r="C2814" s="46" t="inlineStr">
        <is>
          <t>부천지역</t>
        </is>
      </c>
      <c r="D2814" s="46" t="inlineStr">
        <is>
          <t>시온앤엠케이</t>
        </is>
      </c>
      <c r="E2814" s="46" t="n">
        <v>150</v>
      </c>
      <c r="F2814" s="46" t="inlineStr">
        <is>
          <t>내동</t>
        </is>
      </c>
      <c r="G2814" s="50" t="n">
        <v>0.5833333333333334</v>
      </c>
      <c r="H2814" s="51" t="n">
        <v>424160</v>
      </c>
      <c r="I2814" s="46" t="inlineStr">
        <is>
          <t>변종국</t>
        </is>
      </c>
      <c r="K2814" s="46" t="n">
        <v>2813</v>
      </c>
      <c r="L2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5">
      <c r="A2815" s="229" t="n">
        <v>46233</v>
      </c>
      <c r="B2815" s="46" t="inlineStr">
        <is>
          <t>정기검사</t>
        </is>
      </c>
      <c r="C2815" s="46" t="inlineStr">
        <is>
          <t>김포지역</t>
        </is>
      </c>
      <c r="D2815" s="46" t="inlineStr">
        <is>
          <t>한덕강화유리</t>
        </is>
      </c>
      <c r="E2815" s="46" t="n">
        <v>900</v>
      </c>
      <c r="F2815" s="46" t="inlineStr">
        <is>
          <t>원산리</t>
        </is>
      </c>
      <c r="G2815" s="50" t="n">
        <v>0.4791666666666667</v>
      </c>
      <c r="H2815" s="51" t="n">
        <v>872520</v>
      </c>
      <c r="I2815" s="46" t="inlineStr">
        <is>
          <t>이덕기</t>
        </is>
      </c>
      <c r="K2815" s="46" t="n">
        <v>2814</v>
      </c>
      <c r="L2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6">
      <c r="A2816" s="229" t="n">
        <v>46233</v>
      </c>
      <c r="B2816" s="46" t="inlineStr">
        <is>
          <t>정기검사</t>
        </is>
      </c>
      <c r="C2816" s="46" t="inlineStr">
        <is>
          <t>김포지역</t>
        </is>
      </c>
      <c r="D2816" s="46" t="inlineStr">
        <is>
          <t>한강비즈나인</t>
        </is>
      </c>
      <c r="E2816" s="46" t="inlineStr">
        <is>
          <t>1500/750</t>
        </is>
      </c>
      <c r="F2816" s="46" t="inlineStr">
        <is>
          <t>구래동</t>
        </is>
      </c>
      <c r="G2816" s="50" t="n">
        <v>0.8333333333333334</v>
      </c>
      <c r="H2816" s="51" t="n">
        <v>1966800</v>
      </c>
      <c r="I2816" s="46" t="inlineStr">
        <is>
          <t>정신배</t>
        </is>
      </c>
      <c r="K2816" s="46" t="n">
        <v>2815</v>
      </c>
      <c r="L2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7">
      <c r="A2817" s="229" t="n">
        <v>46233</v>
      </c>
      <c r="B2817" s="46" t="inlineStr">
        <is>
          <t>정기검사</t>
        </is>
      </c>
      <c r="C2817" s="46" t="inlineStr">
        <is>
          <t>김포지역</t>
        </is>
      </c>
      <c r="D2817" s="46" t="inlineStr">
        <is>
          <t>세진판지</t>
        </is>
      </c>
      <c r="E2817" s="46" t="n">
        <v>290</v>
      </c>
      <c r="F2817" s="46" t="inlineStr">
        <is>
          <t>석정리</t>
        </is>
      </c>
      <c r="G2817" s="50" t="n">
        <v>0.3958333333333333</v>
      </c>
      <c r="H2817" s="51" t="n">
        <v>515130</v>
      </c>
      <c r="I2817" s="46" t="inlineStr">
        <is>
          <t>서수형</t>
        </is>
      </c>
      <c r="K2817" s="46" t="n">
        <v>2816</v>
      </c>
      <c r="L2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8">
      <c r="A2818" s="229" t="n">
        <v>46233</v>
      </c>
      <c r="B2818" s="46" t="inlineStr">
        <is>
          <t>정기검사</t>
        </is>
      </c>
      <c r="C2818" s="46" t="inlineStr">
        <is>
          <t>김포지역</t>
        </is>
      </c>
      <c r="D2818" s="46" t="inlineStr">
        <is>
          <t>세진판지</t>
        </is>
      </c>
      <c r="E2818" s="46" t="n">
        <v>900</v>
      </c>
      <c r="F2818" s="46" t="inlineStr">
        <is>
          <t>석정리</t>
        </is>
      </c>
      <c r="G2818" s="50" t="n">
        <v>0.4375</v>
      </c>
      <c r="H2818" s="51" t="n">
        <v>872520</v>
      </c>
      <c r="I2818" s="46" t="inlineStr">
        <is>
          <t>서수형</t>
        </is>
      </c>
      <c r="K2818" s="46" t="n">
        <v>2817</v>
      </c>
      <c r="L2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9">
      <c r="A2819" s="229" t="n">
        <v>46233</v>
      </c>
      <c r="B2819" s="46" t="inlineStr">
        <is>
          <t>정기검사</t>
        </is>
      </c>
      <c r="C2819" s="46" t="inlineStr">
        <is>
          <t>김포지역</t>
        </is>
      </c>
      <c r="D2819" s="46" t="inlineStr">
        <is>
          <t>백광에스티스틸</t>
        </is>
      </c>
      <c r="E2819" s="46" t="n">
        <v>600</v>
      </c>
      <c r="F2819" s="46" t="inlineStr">
        <is>
          <t>상마리</t>
        </is>
      </c>
      <c r="G2819" s="50" t="n">
        <v>0.4791666666666667</v>
      </c>
      <c r="H2819" s="51" t="n">
        <v>770880</v>
      </c>
      <c r="I2819" s="46" t="inlineStr">
        <is>
          <t>허창수</t>
        </is>
      </c>
      <c r="K2819" s="46" t="n">
        <v>2818</v>
      </c>
      <c r="L2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0">
      <c r="A2820" s="229" t="n">
        <v>46233</v>
      </c>
      <c r="B2820" s="46" t="inlineStr">
        <is>
          <t>정기검사</t>
        </is>
      </c>
      <c r="C2820" s="46" t="inlineStr">
        <is>
          <t>김포지역</t>
        </is>
      </c>
      <c r="D2820" s="46" t="inlineStr">
        <is>
          <t>금파초등학교</t>
        </is>
      </c>
      <c r="E2820" s="46" t="n">
        <v>750</v>
      </c>
      <c r="F2820" s="46" t="inlineStr">
        <is>
          <t>북변동</t>
        </is>
      </c>
      <c r="G2820" s="50" t="n">
        <v>0.5416666666666666</v>
      </c>
      <c r="H2820" s="51" t="n">
        <v>821700</v>
      </c>
      <c r="I2820" s="46" t="inlineStr">
        <is>
          <t>당효진</t>
        </is>
      </c>
      <c r="K2820" s="46" t="n">
        <v>2819</v>
      </c>
      <c r="L2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1">
      <c r="A2821" s="229" t="n">
        <v>46233</v>
      </c>
      <c r="B2821" s="46" t="inlineStr">
        <is>
          <t>정기검사</t>
        </is>
      </c>
      <c r="C2821" s="46" t="inlineStr">
        <is>
          <t>김포지역</t>
        </is>
      </c>
      <c r="D2821" s="46" t="inlineStr">
        <is>
          <t>태광정공</t>
        </is>
      </c>
      <c r="E2821" s="46" t="n">
        <v>200</v>
      </c>
      <c r="F2821" s="46" t="inlineStr">
        <is>
          <t>원산리</t>
        </is>
      </c>
      <c r="G2821" s="50" t="n">
        <v>0.5</v>
      </c>
      <c r="H2821" s="51" t="n">
        <v>456720</v>
      </c>
      <c r="I2821" s="46" t="inlineStr">
        <is>
          <t>옹승완</t>
        </is>
      </c>
      <c r="K2821" s="46" t="n">
        <v>2820</v>
      </c>
      <c r="L2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2">
      <c r="A2822" s="229" t="n">
        <v>46233</v>
      </c>
      <c r="B2822" s="46" t="inlineStr">
        <is>
          <t>정기검사</t>
        </is>
      </c>
      <c r="C2822" s="46" t="inlineStr">
        <is>
          <t>김포지역</t>
        </is>
      </c>
      <c r="D2822" s="46" t="inlineStr">
        <is>
          <t>성산정공</t>
        </is>
      </c>
      <c r="E2822" s="46" t="n">
        <v>290</v>
      </c>
      <c r="F2822" s="46" t="inlineStr">
        <is>
          <t>대벽리</t>
        </is>
      </c>
      <c r="G2822" s="50" t="n">
        <v>0.4791666666666667</v>
      </c>
      <c r="H2822" s="51" t="n">
        <v>515130</v>
      </c>
      <c r="I2822" s="46" t="inlineStr">
        <is>
          <t>당효진</t>
        </is>
      </c>
      <c r="K2822" s="46" t="n">
        <v>2821</v>
      </c>
      <c r="L2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3">
      <c r="A2823" s="229" t="n">
        <v>46233</v>
      </c>
      <c r="B2823" s="46" t="inlineStr">
        <is>
          <t>정기검사</t>
        </is>
      </c>
      <c r="C2823" s="46" t="inlineStr">
        <is>
          <t>김포지역</t>
        </is>
      </c>
      <c r="D2823" s="46" t="inlineStr">
        <is>
          <t>시그마프라자</t>
        </is>
      </c>
      <c r="E2823" s="46" t="inlineStr">
        <is>
          <t>600/105</t>
        </is>
      </c>
      <c r="F2823" s="46" t="inlineStr">
        <is>
          <t>사우동</t>
        </is>
      </c>
      <c r="G2823" s="50" t="n">
        <v>0.4166666666666667</v>
      </c>
      <c r="H2823" s="51" t="n">
        <v>938520</v>
      </c>
      <c r="I2823" s="46" t="inlineStr">
        <is>
          <t>허록종</t>
        </is>
      </c>
      <c r="K2823" s="46" t="n">
        <v>2822</v>
      </c>
      <c r="L2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4">
      <c r="A2824" s="229" t="n">
        <v>46233</v>
      </c>
      <c r="B2824" s="46" t="inlineStr">
        <is>
          <t>사용전검사</t>
        </is>
      </c>
      <c r="C2824" s="46" t="inlineStr">
        <is>
          <t>부천지역</t>
        </is>
      </c>
      <c r="D2824" s="46" t="inlineStr">
        <is>
          <t>괴안주택위탁관리</t>
        </is>
      </c>
      <c r="E2824" s="46" t="inlineStr">
        <is>
          <t>1000/409</t>
        </is>
      </c>
      <c r="F2824" s="46" t="inlineStr">
        <is>
          <t>괴안동</t>
        </is>
      </c>
      <c r="G2824" s="50" t="n"/>
      <c r="H2824" s="51" t="n"/>
      <c r="I2824" s="46" t="inlineStr">
        <is>
          <t>정성관</t>
        </is>
      </c>
      <c r="K2824" s="46" t="n">
        <v>2823</v>
      </c>
      <c r="L2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5">
      <c r="A2825" s="229" t="n">
        <v>46233</v>
      </c>
      <c r="B2825" s="46" t="inlineStr">
        <is>
          <t>사용전검사</t>
        </is>
      </c>
      <c r="C2825" s="46" t="inlineStr">
        <is>
          <t>부천지역</t>
        </is>
      </c>
      <c r="D2825" s="46" t="inlineStr">
        <is>
          <t>제이에스테크프론</t>
        </is>
      </c>
      <c r="E2825" s="46" t="n">
        <v>295</v>
      </c>
      <c r="F2825" s="46" t="inlineStr">
        <is>
          <t>중동</t>
        </is>
      </c>
      <c r="G2825" s="50" t="n"/>
      <c r="H2825" s="51" t="n"/>
      <c r="I2825" s="46" t="inlineStr">
        <is>
          <t>김영권</t>
        </is>
      </c>
      <c r="K2825" s="46" t="n">
        <v>2824</v>
      </c>
      <c r="L2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6">
      <c r="A2826" s="229" t="n">
        <v>46233</v>
      </c>
      <c r="B2826" s="46" t="inlineStr">
        <is>
          <t>사용전검사</t>
        </is>
      </c>
      <c r="C2826" s="46" t="inlineStr">
        <is>
          <t>부천지역</t>
        </is>
      </c>
      <c r="D2826" s="46" t="inlineStr">
        <is>
          <t>여월동광남복지</t>
        </is>
      </c>
      <c r="E2826" s="46" t="inlineStr">
        <is>
          <t>700/360</t>
        </is>
      </c>
      <c r="F2826" s="46" t="inlineStr">
        <is>
          <t>여월동</t>
        </is>
      </c>
      <c r="G2826" s="50" t="n"/>
      <c r="H2826" s="51" t="n"/>
      <c r="I2826" s="46" t="inlineStr">
        <is>
          <t>변종국</t>
        </is>
      </c>
      <c r="K2826" s="46" t="n">
        <v>2825</v>
      </c>
      <c r="L2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7">
      <c r="A2827" s="229" t="n">
        <v>46233</v>
      </c>
      <c r="B2827" s="46" t="inlineStr">
        <is>
          <t>사용전검사</t>
        </is>
      </c>
      <c r="C2827" s="46" t="inlineStr">
        <is>
          <t>부천지역</t>
        </is>
      </c>
      <c r="D2827" s="46" t="inlineStr">
        <is>
          <t>삼창기연</t>
        </is>
      </c>
      <c r="E2827" s="46" t="inlineStr">
        <is>
          <t>재검</t>
        </is>
      </c>
      <c r="F2827" s="46" t="n"/>
      <c r="G2827" s="50" t="n"/>
      <c r="H2827" s="51" t="n"/>
      <c r="I2827" s="46" t="inlineStr">
        <is>
          <t>김영권</t>
        </is>
      </c>
      <c r="K2827" s="46" t="n">
        <v>2826</v>
      </c>
      <c r="L2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8">
      <c r="A2828" s="229" t="n">
        <v>46233</v>
      </c>
      <c r="B2828" s="46" t="inlineStr">
        <is>
          <t>메모</t>
        </is>
      </c>
      <c r="C2828" s="46" t="inlineStr">
        <is>
          <t>부천지역</t>
        </is>
      </c>
      <c r="D2828" s="46" t="inlineStr">
        <is>
          <t>송낙명휴가</t>
        </is>
      </c>
      <c r="E2828" s="46" t="n"/>
      <c r="F2828" s="46" t="n"/>
      <c r="G2828" s="50" t="n"/>
      <c r="H2828" s="51" t="n"/>
      <c r="I2828" s="46" t="n"/>
      <c r="K2828" s="46" t="n">
        <v>2827</v>
      </c>
      <c r="L2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9">
      <c r="A2829" s="229" t="n">
        <v>46233</v>
      </c>
      <c r="B2829" s="46" t="inlineStr">
        <is>
          <t>사용전검사</t>
        </is>
      </c>
      <c r="C2829" s="46" t="inlineStr">
        <is>
          <t>김포지역</t>
        </is>
      </c>
      <c r="D2829" s="46" t="inlineStr">
        <is>
          <t>모노세라믹</t>
        </is>
      </c>
      <c r="E2829" s="46" t="n">
        <v>35</v>
      </c>
      <c r="F2829" s="46" t="inlineStr">
        <is>
          <t>옹정리</t>
        </is>
      </c>
      <c r="G2829" s="50" t="n"/>
      <c r="H2829" s="51" t="n"/>
      <c r="I2829" s="46" t="inlineStr">
        <is>
          <t>옹승완</t>
        </is>
      </c>
      <c r="K2829" s="46" t="n">
        <v>2828</v>
      </c>
      <c r="L2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0">
      <c r="A2830" s="229" t="n">
        <v>46233</v>
      </c>
      <c r="B2830" s="46" t="inlineStr">
        <is>
          <t>사용전검사</t>
        </is>
      </c>
      <c r="C2830" s="46" t="inlineStr">
        <is>
          <t>김포지역</t>
        </is>
      </c>
      <c r="D2830" s="46" t="inlineStr">
        <is>
          <t>gh패키지</t>
        </is>
      </c>
      <c r="E2830" s="46" t="n">
        <v>140</v>
      </c>
      <c r="F2830" s="46" t="inlineStr">
        <is>
          <t>도사리</t>
        </is>
      </c>
      <c r="G2830" s="50" t="n"/>
      <c r="H2830" s="51" t="n"/>
      <c r="I2830" s="46" t="inlineStr">
        <is>
          <t>한태희</t>
        </is>
      </c>
      <c r="K2830" s="46" t="n">
        <v>2829</v>
      </c>
      <c r="L2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1">
      <c r="A2831" s="229" t="n">
        <v>46234</v>
      </c>
      <c r="B2831" s="46" t="inlineStr">
        <is>
          <t>정기검사</t>
        </is>
      </c>
      <c r="C2831" s="46" t="inlineStr">
        <is>
          <t>부천지역</t>
        </is>
      </c>
      <c r="D2831" s="46" t="inlineStr">
        <is>
          <t>소사중</t>
        </is>
      </c>
      <c r="E2831" s="46" t="n">
        <v>700</v>
      </c>
      <c r="F2831" s="46" t="inlineStr">
        <is>
          <t>소사동</t>
        </is>
      </c>
      <c r="G2831" s="50" t="n">
        <v>0.6458333333333334</v>
      </c>
      <c r="H2831" s="51" t="n">
        <v>804760</v>
      </c>
      <c r="I2831" s="46" t="inlineStr">
        <is>
          <t>허록종</t>
        </is>
      </c>
      <c r="K2831" s="46" t="n">
        <v>2830</v>
      </c>
      <c r="L2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2">
      <c r="A2832" s="229" t="n">
        <v>46234</v>
      </c>
      <c r="B2832" s="46" t="inlineStr">
        <is>
          <t>정기검사</t>
        </is>
      </c>
      <c r="C2832" s="46" t="inlineStr">
        <is>
          <t>부천지역</t>
        </is>
      </c>
      <c r="D2832" s="46" t="inlineStr">
        <is>
          <t>삼진프라텍</t>
        </is>
      </c>
      <c r="E2832" s="46" t="n">
        <v>290</v>
      </c>
      <c r="F2832" s="46" t="inlineStr">
        <is>
          <t>도당동</t>
        </is>
      </c>
      <c r="G2832" s="50" t="n">
        <v>0.5416666666666666</v>
      </c>
      <c r="H2832" s="51" t="n">
        <v>515130</v>
      </c>
      <c r="I2832" s="46" t="inlineStr">
        <is>
          <t>당효진</t>
        </is>
      </c>
      <c r="K2832" s="46" t="n">
        <v>2831</v>
      </c>
      <c r="L2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3">
      <c r="A2833" s="229" t="n">
        <v>46234</v>
      </c>
      <c r="B2833" s="46" t="inlineStr">
        <is>
          <t>정기검사</t>
        </is>
      </c>
      <c r="C2833" s="46" t="inlineStr">
        <is>
          <t>부천지역</t>
        </is>
      </c>
      <c r="D2833" s="46" t="inlineStr">
        <is>
          <t>엘리시아</t>
        </is>
      </c>
      <c r="E2833" s="46" t="inlineStr">
        <is>
          <t>500/360</t>
        </is>
      </c>
      <c r="F2833" s="46" t="inlineStr">
        <is>
          <t>원종동</t>
        </is>
      </c>
      <c r="G2833" s="50" t="n">
        <v>0.5416666666666666</v>
      </c>
      <c r="H2833" s="51" t="n">
        <v>964150</v>
      </c>
      <c r="I2833" s="46" t="inlineStr">
        <is>
          <t>옹승완</t>
        </is>
      </c>
      <c r="K2833" s="46" t="n">
        <v>2832</v>
      </c>
      <c r="L2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4">
      <c r="A2834" s="229" t="n">
        <v>46234</v>
      </c>
      <c r="B2834" s="46" t="inlineStr">
        <is>
          <t>정기검사</t>
        </is>
      </c>
      <c r="C2834" s="46" t="inlineStr">
        <is>
          <t>부천지역</t>
        </is>
      </c>
      <c r="D2834" s="46" t="inlineStr">
        <is>
          <t>부천빌딩</t>
        </is>
      </c>
      <c r="E2834" s="46" t="n">
        <v>600</v>
      </c>
      <c r="F2834" s="46" t="inlineStr">
        <is>
          <t>도당동</t>
        </is>
      </c>
      <c r="G2834" s="50" t="n">
        <v>0.3958333333333333</v>
      </c>
      <c r="H2834" s="51" t="n">
        <v>777880</v>
      </c>
      <c r="I2834" s="46" t="inlineStr">
        <is>
          <t>이덕기</t>
        </is>
      </c>
      <c r="K2834" s="46" t="n">
        <v>2833</v>
      </c>
      <c r="L2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5">
      <c r="A2835" s="229" t="n">
        <v>46234</v>
      </c>
      <c r="B2835" s="46" t="inlineStr">
        <is>
          <t>정기검사</t>
        </is>
      </c>
      <c r="C2835" s="46" t="inlineStr">
        <is>
          <t>부천지역</t>
        </is>
      </c>
      <c r="D2835" s="46" t="inlineStr">
        <is>
          <t>태원빌딩</t>
        </is>
      </c>
      <c r="E2835" s="46" t="n">
        <v>150</v>
      </c>
      <c r="F2835" s="46" t="inlineStr">
        <is>
          <t>괴안동</t>
        </is>
      </c>
      <c r="G2835" s="50" t="n">
        <v>0.625</v>
      </c>
      <c r="H2835" s="51" t="n">
        <v>180950</v>
      </c>
      <c r="I2835" s="46" t="inlineStr">
        <is>
          <t>옹승완</t>
        </is>
      </c>
      <c r="K2835" s="46" t="n">
        <v>2834</v>
      </c>
      <c r="L2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6">
      <c r="A2836" s="229" t="n">
        <v>46234</v>
      </c>
      <c r="B2836" s="46" t="inlineStr">
        <is>
          <t>정기검사</t>
        </is>
      </c>
      <c r="C2836" s="46" t="inlineStr">
        <is>
          <t>부천지역</t>
        </is>
      </c>
      <c r="D2836" s="46" t="inlineStr">
        <is>
          <t>창성이스코</t>
        </is>
      </c>
      <c r="E2836" s="46" t="n">
        <v>290</v>
      </c>
      <c r="F2836" s="46" t="inlineStr">
        <is>
          <t>도당동</t>
        </is>
      </c>
      <c r="G2836" s="50" t="n">
        <v>0.625</v>
      </c>
      <c r="H2836" s="51" t="n">
        <v>515130</v>
      </c>
      <c r="I2836" s="46" t="inlineStr">
        <is>
          <t>송낙명</t>
        </is>
      </c>
      <c r="K2836" s="46" t="n">
        <v>2835</v>
      </c>
      <c r="L2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7">
      <c r="A2837" s="229" t="n">
        <v>46234</v>
      </c>
      <c r="B2837" s="46" t="inlineStr">
        <is>
          <t>정기검사</t>
        </is>
      </c>
      <c r="C2837" s="46" t="inlineStr">
        <is>
          <t>부천지역</t>
        </is>
      </c>
      <c r="D2837" s="46" t="inlineStr">
        <is>
          <t>창성이스코</t>
        </is>
      </c>
      <c r="E2837" s="46" t="n">
        <v>291</v>
      </c>
      <c r="F2837" s="46" t="inlineStr">
        <is>
          <t>도당동</t>
        </is>
      </c>
      <c r="G2837" s="50" t="n">
        <v>0.6666666666666666</v>
      </c>
      <c r="H2837" s="51" t="n">
        <v>515130</v>
      </c>
      <c r="I2837" s="46" t="inlineStr">
        <is>
          <t>송낙명</t>
        </is>
      </c>
      <c r="K2837" s="46" t="n">
        <v>2836</v>
      </c>
      <c r="L2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8">
      <c r="A2838" s="229" t="n">
        <v>46234</v>
      </c>
      <c r="B2838" s="46" t="inlineStr">
        <is>
          <t>정기검사</t>
        </is>
      </c>
      <c r="C2838" s="46" t="inlineStr">
        <is>
          <t>부천지역</t>
        </is>
      </c>
      <c r="D2838" s="46" t="inlineStr">
        <is>
          <t>주신산업</t>
        </is>
      </c>
      <c r="E2838" s="46" t="n">
        <v>290</v>
      </c>
      <c r="F2838" s="46" t="inlineStr">
        <is>
          <t>내동</t>
        </is>
      </c>
      <c r="G2838" s="50" t="n">
        <v>0.5416666666666666</v>
      </c>
      <c r="H2838" s="51" t="n">
        <v>515130</v>
      </c>
      <c r="I2838" s="46" t="inlineStr">
        <is>
          <t>한태희</t>
        </is>
      </c>
      <c r="K2838" s="46" t="n">
        <v>2837</v>
      </c>
      <c r="L2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9">
      <c r="A2839" s="229" t="n">
        <v>46234</v>
      </c>
      <c r="B2839" s="46" t="inlineStr">
        <is>
          <t>정기검사</t>
        </is>
      </c>
      <c r="C2839" s="46" t="inlineStr">
        <is>
          <t>부천지역</t>
        </is>
      </c>
      <c r="D2839" s="46" t="inlineStr">
        <is>
          <t>유유산업</t>
        </is>
      </c>
      <c r="E2839" s="46" t="n">
        <v>650</v>
      </c>
      <c r="F2839" s="46" t="inlineStr">
        <is>
          <t>송내동</t>
        </is>
      </c>
      <c r="G2839" s="50" t="n">
        <v>0.4166666666666667</v>
      </c>
      <c r="H2839" s="51" t="n">
        <v>787820</v>
      </c>
      <c r="I2839" s="46" t="inlineStr">
        <is>
          <t>한태희</t>
        </is>
      </c>
      <c r="K2839" s="46" t="n">
        <v>2838</v>
      </c>
      <c r="L2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0">
      <c r="A2840" s="229" t="n">
        <v>46234</v>
      </c>
      <c r="B2840" s="46" t="inlineStr">
        <is>
          <t>정기검사</t>
        </is>
      </c>
      <c r="C2840" s="46" t="inlineStr">
        <is>
          <t>김포지역</t>
        </is>
      </c>
      <c r="D2840" s="46" t="inlineStr">
        <is>
          <t>화목폴리머</t>
        </is>
      </c>
      <c r="E2840" s="46" t="n">
        <v>600</v>
      </c>
      <c r="F2840" s="46" t="inlineStr">
        <is>
          <t>석정리</t>
        </is>
      </c>
      <c r="G2840" s="50" t="n">
        <v>0.4791666666666667</v>
      </c>
      <c r="H2840" s="51" t="n">
        <v>770880</v>
      </c>
      <c r="I2840" s="46" t="inlineStr">
        <is>
          <t>서수형</t>
        </is>
      </c>
      <c r="K2840" s="46" t="n">
        <v>2839</v>
      </c>
      <c r="L2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1">
      <c r="A2841" s="229" t="n">
        <v>46234</v>
      </c>
      <c r="B2841" s="46" t="inlineStr">
        <is>
          <t>정기검사</t>
        </is>
      </c>
      <c r="C2841" s="46" t="inlineStr">
        <is>
          <t>김포지역</t>
        </is>
      </c>
      <c r="D2841" s="46" t="inlineStr">
        <is>
          <t>사이몬</t>
        </is>
      </c>
      <c r="E2841" s="46" t="n">
        <v>2450</v>
      </c>
      <c r="F2841" s="46" t="inlineStr">
        <is>
          <t>서암리</t>
        </is>
      </c>
      <c r="G2841" s="50" t="n">
        <v>0.4375</v>
      </c>
      <c r="H2841" s="51" t="n">
        <v>1118480</v>
      </c>
      <c r="I2841" s="46" t="inlineStr">
        <is>
          <t>변종국</t>
        </is>
      </c>
      <c r="K2841" s="46" t="n">
        <v>2840</v>
      </c>
      <c r="L2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2">
      <c r="A2842" s="229" t="n">
        <v>46234</v>
      </c>
      <c r="B2842" s="46" t="inlineStr">
        <is>
          <t>정기검사</t>
        </is>
      </c>
      <c r="C2842" s="46" t="inlineStr">
        <is>
          <t>김포지역</t>
        </is>
      </c>
      <c r="D2842" s="46" t="inlineStr">
        <is>
          <t>해맑은푸드</t>
        </is>
      </c>
      <c r="E2842" s="46" t="n">
        <v>290</v>
      </c>
      <c r="F2842" s="46" t="inlineStr">
        <is>
          <t>거물대리</t>
        </is>
      </c>
      <c r="G2842" s="50" t="n">
        <v>0.5</v>
      </c>
      <c r="H2842" s="51" t="n">
        <v>515130</v>
      </c>
      <c r="I2842" s="46" t="inlineStr">
        <is>
          <t>민재홍</t>
        </is>
      </c>
      <c r="K2842" s="46" t="n">
        <v>2841</v>
      </c>
      <c r="L2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3">
      <c r="A2843" s="229" t="n">
        <v>46234</v>
      </c>
      <c r="B2843" s="46" t="inlineStr">
        <is>
          <t>정기검사</t>
        </is>
      </c>
      <c r="C2843" s="46" t="inlineStr">
        <is>
          <t>김포지역</t>
        </is>
      </c>
      <c r="D2843" s="46" t="inlineStr">
        <is>
          <t>중앙씰앤티</t>
        </is>
      </c>
      <c r="E2843" s="46" t="n">
        <v>290</v>
      </c>
      <c r="F2843" s="46" t="inlineStr">
        <is>
          <t>고정리</t>
        </is>
      </c>
      <c r="G2843" s="50" t="n">
        <v>0.3958333333333333</v>
      </c>
      <c r="H2843" s="51" t="n">
        <v>515130</v>
      </c>
      <c r="I2843" s="46" t="inlineStr">
        <is>
          <t>이종석</t>
        </is>
      </c>
      <c r="K2843" s="46" t="n">
        <v>2842</v>
      </c>
      <c r="L2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4">
      <c r="A2844" s="229" t="n">
        <v>46234</v>
      </c>
      <c r="B2844" s="46" t="inlineStr">
        <is>
          <t>정기검사</t>
        </is>
      </c>
      <c r="C2844" s="46" t="inlineStr">
        <is>
          <t>김포지역</t>
        </is>
      </c>
      <c r="D2844" s="46" t="inlineStr">
        <is>
          <t>성일이엔지</t>
        </is>
      </c>
      <c r="E2844" s="46" t="n">
        <v>400</v>
      </c>
      <c r="F2844" s="46" t="inlineStr">
        <is>
          <t>가현리</t>
        </is>
      </c>
      <c r="G2844" s="50" t="n">
        <v>0.3958333333333333</v>
      </c>
      <c r="H2844" s="51" t="n">
        <v>703120</v>
      </c>
      <c r="I2844" s="46" t="inlineStr">
        <is>
          <t>서수형</t>
        </is>
      </c>
      <c r="K2844" s="46" t="n">
        <v>2843</v>
      </c>
      <c r="L2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5">
      <c r="A2845" s="229" t="n">
        <v>46234</v>
      </c>
      <c r="B2845" s="46" t="inlineStr">
        <is>
          <t>정기검사</t>
        </is>
      </c>
      <c r="C2845" s="46" t="inlineStr">
        <is>
          <t>김포지역</t>
        </is>
      </c>
      <c r="D2845" s="46" t="inlineStr">
        <is>
          <t>우리산업</t>
        </is>
      </c>
      <c r="E2845" s="46" t="n">
        <v>500</v>
      </c>
      <c r="F2845" s="46" t="inlineStr">
        <is>
          <t>귀전리</t>
        </is>
      </c>
      <c r="G2845" s="50" t="n">
        <v>0.4166666666666667</v>
      </c>
      <c r="H2845" s="51" t="n">
        <v>737000</v>
      </c>
      <c r="I2845" s="46" t="inlineStr">
        <is>
          <t>김영권</t>
        </is>
      </c>
      <c r="K2845" s="46" t="n">
        <v>2844</v>
      </c>
      <c r="L2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6">
      <c r="A2846" s="229" t="n">
        <v>46234</v>
      </c>
      <c r="B2846" s="46" t="inlineStr">
        <is>
          <t>정기검사</t>
        </is>
      </c>
      <c r="C2846" s="46" t="inlineStr">
        <is>
          <t>김포지역</t>
        </is>
      </c>
      <c r="D2846" s="46" t="inlineStr">
        <is>
          <t>제이케이폴리백</t>
        </is>
      </c>
      <c r="E2846" s="46" t="n">
        <v>700</v>
      </c>
      <c r="F2846" s="46" t="inlineStr">
        <is>
          <t>원산리</t>
        </is>
      </c>
      <c r="G2846" s="50" t="n">
        <v>0.6041666666666666</v>
      </c>
      <c r="H2846" s="51" t="n">
        <v>804760</v>
      </c>
      <c r="I2846" s="46" t="inlineStr">
        <is>
          <t>변종국</t>
        </is>
      </c>
      <c r="K2846" s="46" t="n">
        <v>2845</v>
      </c>
      <c r="L2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7">
      <c r="A2847" s="229" t="n">
        <v>46234</v>
      </c>
      <c r="B2847" s="46" t="inlineStr">
        <is>
          <t>정기검사</t>
        </is>
      </c>
      <c r="C2847" s="46" t="inlineStr">
        <is>
          <t>김포지역</t>
        </is>
      </c>
      <c r="D2847" s="46" t="inlineStr">
        <is>
          <t>현대아파트</t>
        </is>
      </c>
      <c r="E2847" s="46" t="inlineStr">
        <is>
          <t>전기차</t>
        </is>
      </c>
      <c r="F2847" s="46" t="inlineStr">
        <is>
          <t>송내동</t>
        </is>
      </c>
      <c r="G2847" s="50" t="n">
        <v>0.375</v>
      </c>
      <c r="H2847" s="51" t="n">
        <v>98120</v>
      </c>
      <c r="I2847" s="46" t="inlineStr">
        <is>
          <t>허록종</t>
        </is>
      </c>
      <c r="K2847" s="46" t="n">
        <v>2846</v>
      </c>
      <c r="L2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8">
      <c r="A2848" s="229" t="n">
        <v>46234</v>
      </c>
      <c r="B2848" s="46" t="inlineStr">
        <is>
          <t>메모</t>
        </is>
      </c>
      <c r="C2848" s="46" t="inlineStr">
        <is>
          <t>부천지역</t>
        </is>
      </c>
      <c r="D2848" s="46" t="inlineStr">
        <is>
          <t>정신배휴가</t>
        </is>
      </c>
      <c r="E2848" s="46" t="n"/>
      <c r="F2848" s="46" t="n"/>
      <c r="G2848" s="50" t="n"/>
      <c r="H2848" s="51" t="n"/>
      <c r="I2848" s="46" t="n"/>
      <c r="K2848" s="46" t="n">
        <v>2847</v>
      </c>
      <c r="L2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9">
      <c r="A2849" s="229" t="n">
        <v>46234</v>
      </c>
      <c r="B2849" s="46" t="inlineStr">
        <is>
          <t>사용전검사</t>
        </is>
      </c>
      <c r="C2849" s="46" t="inlineStr">
        <is>
          <t>김포지역</t>
        </is>
      </c>
      <c r="D2849" s="46" t="inlineStr">
        <is>
          <t>송마3</t>
        </is>
      </c>
      <c r="E2849" s="46" t="n">
        <v>89</v>
      </c>
      <c r="F2849" s="46" t="inlineStr">
        <is>
          <t>송마리</t>
        </is>
      </c>
      <c r="G2849" s="50" t="n"/>
      <c r="H2849" s="51" t="n"/>
      <c r="I2849" s="46" t="inlineStr">
        <is>
          <t>허창수</t>
        </is>
      </c>
      <c r="K2849" s="46" t="n">
        <v>2848</v>
      </c>
      <c r="L2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0">
      <c r="A2850" s="229" t="n">
        <v>46234</v>
      </c>
      <c r="B2850" s="46" t="inlineStr">
        <is>
          <t>사용전검사</t>
        </is>
      </c>
      <c r="C2850" s="46" t="inlineStr">
        <is>
          <t>김포지역</t>
        </is>
      </c>
      <c r="D2850" s="46" t="inlineStr">
        <is>
          <t>송마4</t>
        </is>
      </c>
      <c r="E2850" s="46" t="n">
        <v>90</v>
      </c>
      <c r="F2850" s="46" t="inlineStr">
        <is>
          <t>송마리</t>
        </is>
      </c>
      <c r="G2850" s="50" t="n"/>
      <c r="H2850" s="51" t="n"/>
      <c r="I2850" s="46" t="inlineStr">
        <is>
          <t>허창수</t>
        </is>
      </c>
      <c r="K2850" s="46" t="n">
        <v>2849</v>
      </c>
      <c r="L2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1">
      <c r="A2851" s="229" t="n">
        <v>46234</v>
      </c>
      <c r="B2851" s="46" t="inlineStr">
        <is>
          <t>사용전검사</t>
        </is>
      </c>
      <c r="C2851" s="46" t="inlineStr">
        <is>
          <t>김포지역</t>
        </is>
      </c>
      <c r="D2851" s="46" t="inlineStr">
        <is>
          <t>세영티엠에스</t>
        </is>
      </c>
      <c r="E2851" s="46" t="n">
        <v>2600</v>
      </c>
      <c r="F2851" s="46" t="inlineStr">
        <is>
          <t>학운리</t>
        </is>
      </c>
      <c r="G2851" s="50" t="n"/>
      <c r="H2851" s="51" t="n"/>
      <c r="I2851" s="46" t="inlineStr">
        <is>
          <t>정성관</t>
        </is>
      </c>
      <c r="K2851" s="46" t="n">
        <v>2850</v>
      </c>
      <c r="L2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2">
      <c r="A2852" s="229" t="n">
        <v>46234</v>
      </c>
      <c r="B2852" s="46" t="inlineStr">
        <is>
          <t>사용전검사</t>
        </is>
      </c>
      <c r="C2852" s="46" t="inlineStr">
        <is>
          <t>김포지역</t>
        </is>
      </c>
      <c r="D2852" s="46" t="inlineStr">
        <is>
          <t>bmk태양광</t>
        </is>
      </c>
      <c r="E2852" s="46" t="n">
        <v>337</v>
      </c>
      <c r="F2852" s="46" t="inlineStr">
        <is>
          <t>학운리</t>
        </is>
      </c>
      <c r="G2852" s="50" t="n"/>
      <c r="H2852" s="51" t="n"/>
      <c r="I2852" s="46" t="inlineStr">
        <is>
          <t>정성관</t>
        </is>
      </c>
      <c r="K2852" s="46" t="n">
        <v>2851</v>
      </c>
      <c r="L2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3">
      <c r="A2853" s="229" t="n">
        <v>46235</v>
      </c>
      <c r="B2853" s="46" t="inlineStr">
        <is>
          <t>정기검사</t>
        </is>
      </c>
      <c r="C2853" s="46" t="inlineStr">
        <is>
          <t>부천지역</t>
        </is>
      </c>
      <c r="D2853" s="46" t="inlineStr">
        <is>
          <t>부천대학교</t>
        </is>
      </c>
      <c r="E2853" s="46" t="inlineStr">
        <is>
          <t>5350/1078</t>
        </is>
      </c>
      <c r="F2853" s="46" t="inlineStr">
        <is>
          <t>심곡동</t>
        </is>
      </c>
      <c r="G2853" s="50" t="n">
        <v>0.375</v>
      </c>
      <c r="H2853" s="51" t="n">
        <v>3037980</v>
      </c>
      <c r="I2853" s="46" t="inlineStr">
        <is>
          <t>정성관</t>
        </is>
      </c>
      <c r="K2853" s="46" t="n">
        <v>2852</v>
      </c>
      <c r="L2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4">
      <c r="A2854" s="229" t="n">
        <v>46235</v>
      </c>
      <c r="B2854" s="46" t="inlineStr">
        <is>
          <t>정기검사</t>
        </is>
      </c>
      <c r="C2854" s="46" t="inlineStr">
        <is>
          <t>김포지역</t>
        </is>
      </c>
      <c r="D2854" s="46" t="inlineStr">
        <is>
          <t>부경테크</t>
        </is>
      </c>
      <c r="E2854" s="46" t="n">
        <v>290</v>
      </c>
      <c r="F2854" s="46" t="inlineStr">
        <is>
          <t>원산리</t>
        </is>
      </c>
      <c r="G2854" s="50" t="n">
        <v>0.375</v>
      </c>
      <c r="H2854" s="51" t="n">
        <v>669790</v>
      </c>
      <c r="I2854" s="46" t="inlineStr">
        <is>
          <t>민재홍</t>
        </is>
      </c>
      <c r="K2854" s="46" t="n">
        <v>2853</v>
      </c>
      <c r="L2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5">
      <c r="A2855" s="229" t="n">
        <v>46235</v>
      </c>
      <c r="B2855" s="46" t="inlineStr">
        <is>
          <t>정기검사</t>
        </is>
      </c>
      <c r="C2855" s="46" t="inlineStr">
        <is>
          <t>김포지역</t>
        </is>
      </c>
      <c r="D2855" s="46" t="inlineStr">
        <is>
          <t>퍼핏</t>
        </is>
      </c>
      <c r="E2855" s="46" t="n">
        <v>400</v>
      </c>
      <c r="F2855" s="46" t="inlineStr">
        <is>
          <t>학운리</t>
        </is>
      </c>
      <c r="G2855" s="50" t="n">
        <v>0.3958333333333333</v>
      </c>
      <c r="H2855" s="51" t="n">
        <v>913990</v>
      </c>
      <c r="I2855" s="46" t="inlineStr">
        <is>
          <t>김영권</t>
        </is>
      </c>
      <c r="K2855" s="46" t="n">
        <v>2854</v>
      </c>
      <c r="L2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6">
      <c r="A2856" s="229" t="n">
        <v>46235</v>
      </c>
      <c r="B2856" s="46" t="inlineStr">
        <is>
          <t>사용전검사</t>
        </is>
      </c>
      <c r="C2856" s="46" t="inlineStr">
        <is>
          <t>부천지역</t>
        </is>
      </c>
      <c r="D2856" s="46" t="inlineStr">
        <is>
          <t>새한빌딩</t>
        </is>
      </c>
      <c r="E2856" s="46" t="n">
        <v>300</v>
      </c>
      <c r="F2856" s="46" t="inlineStr">
        <is>
          <t>춘의동</t>
        </is>
      </c>
      <c r="G2856" s="50" t="n">
        <v>0.4791666666666667</v>
      </c>
      <c r="H2856" s="51" t="n"/>
      <c r="I2856" s="46" t="inlineStr">
        <is>
          <t>정신배</t>
        </is>
      </c>
      <c r="K2856" s="46" t="n">
        <v>2855</v>
      </c>
      <c r="L2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7">
      <c r="A2857" s="229" t="n">
        <v>46235</v>
      </c>
      <c r="B2857" s="46" t="inlineStr">
        <is>
          <t>메모</t>
        </is>
      </c>
      <c r="C2857" s="46" t="inlineStr">
        <is>
          <t>부천지역</t>
        </is>
      </c>
      <c r="D2857" s="46" t="inlineStr">
        <is>
          <t>옹승완휴가</t>
        </is>
      </c>
      <c r="E2857" s="46" t="n"/>
      <c r="F2857" s="46" t="n"/>
      <c r="G2857" s="50" t="n"/>
      <c r="H2857" s="51" t="n"/>
      <c r="I2857" s="46" t="n"/>
      <c r="K2857" s="46" t="n">
        <v>2856</v>
      </c>
      <c r="L2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8">
      <c r="A2858" s="229" t="n">
        <v>46235</v>
      </c>
      <c r="B2858" s="46" t="inlineStr">
        <is>
          <t>메모</t>
        </is>
      </c>
      <c r="C2858" s="46" t="inlineStr">
        <is>
          <t>부천지역</t>
        </is>
      </c>
      <c r="D2858" s="46" t="inlineStr">
        <is>
          <t>이덕기휴가</t>
        </is>
      </c>
      <c r="E2858" s="46" t="n"/>
      <c r="F2858" s="46" t="n"/>
      <c r="G2858" s="50" t="n"/>
      <c r="H2858" s="51" t="n"/>
      <c r="I2858" s="46" t="n"/>
      <c r="K2858" s="46" t="n">
        <v>2857</v>
      </c>
      <c r="L2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9">
      <c r="A2859" s="229" t="n">
        <v>46237</v>
      </c>
      <c r="B2859" s="46" t="inlineStr">
        <is>
          <t>정기검사</t>
        </is>
      </c>
      <c r="C2859" s="46" t="inlineStr">
        <is>
          <t>부천지역</t>
        </is>
      </c>
      <c r="D2859" s="46" t="inlineStr">
        <is>
          <t>상록복합타워</t>
        </is>
      </c>
      <c r="E2859" s="46" t="inlineStr">
        <is>
          <t>500/145</t>
        </is>
      </c>
      <c r="F2859" s="46" t="inlineStr">
        <is>
          <t>상동</t>
        </is>
      </c>
      <c r="G2859" s="50" t="n">
        <v>0.2916666666666667</v>
      </c>
      <c r="H2859" s="51" t="n">
        <v>1191410</v>
      </c>
      <c r="I2859" s="46" t="inlineStr">
        <is>
          <t>서수형</t>
        </is>
      </c>
      <c r="K2859" s="46" t="n">
        <v>2858</v>
      </c>
      <c r="L2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0">
      <c r="A2860" s="229" t="n">
        <v>46237</v>
      </c>
      <c r="B2860" s="46" t="inlineStr">
        <is>
          <t>정기검사</t>
        </is>
      </c>
      <c r="C2860" s="46" t="inlineStr">
        <is>
          <t>부천지역</t>
        </is>
      </c>
      <c r="D2860" s="46" t="inlineStr">
        <is>
          <t>태강태슬</t>
        </is>
      </c>
      <c r="E2860" s="46" t="inlineStr">
        <is>
          <t>전기차</t>
        </is>
      </c>
      <c r="F2860" s="46" t="n"/>
      <c r="G2860" s="50" t="n">
        <v>0.4166666666666667</v>
      </c>
      <c r="H2860" s="51" t="n">
        <v>72710</v>
      </c>
      <c r="I2860" s="46" t="inlineStr">
        <is>
          <t>허록종</t>
        </is>
      </c>
      <c r="K2860" s="46" t="n">
        <v>2859</v>
      </c>
      <c r="L2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1">
      <c r="A2861" s="229" t="n">
        <v>46237</v>
      </c>
      <c r="B2861" s="46" t="inlineStr">
        <is>
          <t>정기검사</t>
        </is>
      </c>
      <c r="C2861" s="46" t="inlineStr">
        <is>
          <t>부천지역</t>
        </is>
      </c>
      <c r="D2861" s="46" t="inlineStr">
        <is>
          <t>동인기업</t>
        </is>
      </c>
      <c r="E2861" s="46" t="n">
        <v>290</v>
      </c>
      <c r="F2861" s="46" t="inlineStr">
        <is>
          <t>내동</t>
        </is>
      </c>
      <c r="G2861" s="50" t="n">
        <v>0.4375</v>
      </c>
      <c r="H2861" s="51" t="n">
        <v>515130</v>
      </c>
      <c r="I2861" s="46" t="inlineStr">
        <is>
          <t>허창수</t>
        </is>
      </c>
      <c r="K2861" s="46" t="n">
        <v>2860</v>
      </c>
      <c r="L2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2">
      <c r="A2862" s="229" t="n">
        <v>46237</v>
      </c>
      <c r="B2862" s="46" t="inlineStr">
        <is>
          <t>정기검사</t>
        </is>
      </c>
      <c r="C2862" s="46" t="inlineStr">
        <is>
          <t>부천지역</t>
        </is>
      </c>
      <c r="D2862" s="46" t="inlineStr">
        <is>
          <t>상록복합타워</t>
        </is>
      </c>
      <c r="E2862" s="46" t="inlineStr">
        <is>
          <t>전기차</t>
        </is>
      </c>
      <c r="F2862" s="46" t="inlineStr">
        <is>
          <t>상동</t>
        </is>
      </c>
      <c r="G2862" s="50" t="n">
        <v>0.3958333333333333</v>
      </c>
      <c r="H2862" s="51" t="n">
        <v>55770</v>
      </c>
      <c r="I2862" s="46" t="inlineStr">
        <is>
          <t>서수형</t>
        </is>
      </c>
      <c r="K2862" s="46" t="n">
        <v>2861</v>
      </c>
      <c r="L2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3">
      <c r="A2863" s="229" t="n">
        <v>46237</v>
      </c>
      <c r="B2863" s="46" t="inlineStr">
        <is>
          <t>정기검사</t>
        </is>
      </c>
      <c r="C2863" s="46" t="inlineStr">
        <is>
          <t>부천지역</t>
        </is>
      </c>
      <c r="D2863" s="46" t="inlineStr">
        <is>
          <t>동인기업</t>
        </is>
      </c>
      <c r="E2863" s="46" t="n">
        <v>900</v>
      </c>
      <c r="F2863" s="46" t="inlineStr">
        <is>
          <t>내동</t>
        </is>
      </c>
      <c r="G2863" s="50" t="n">
        <v>0.3958333333333333</v>
      </c>
      <c r="H2863" s="51" t="n">
        <v>872520</v>
      </c>
      <c r="I2863" s="46" t="inlineStr">
        <is>
          <t>당효진</t>
        </is>
      </c>
      <c r="K2863" s="46" t="n">
        <v>2862</v>
      </c>
      <c r="L2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4">
      <c r="A2864" s="229" t="n">
        <v>46237</v>
      </c>
      <c r="B2864" s="46" t="inlineStr">
        <is>
          <t>정기검사</t>
        </is>
      </c>
      <c r="C2864" s="46" t="inlineStr">
        <is>
          <t>김포지역</t>
        </is>
      </c>
      <c r="D2864" s="46" t="inlineStr">
        <is>
          <t>해림2</t>
        </is>
      </c>
      <c r="E2864" s="46" t="n">
        <v>430</v>
      </c>
      <c r="F2864" s="46" t="inlineStr">
        <is>
          <t>쇄암리</t>
        </is>
      </c>
      <c r="G2864" s="50" t="n">
        <v>0.5833333333333334</v>
      </c>
      <c r="H2864" s="51" t="n">
        <v>713240</v>
      </c>
      <c r="I2864" s="46" t="inlineStr">
        <is>
          <t>김영권</t>
        </is>
      </c>
      <c r="K2864" s="46" t="n">
        <v>2863</v>
      </c>
      <c r="L2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5">
      <c r="A2865" s="229" t="n">
        <v>46237</v>
      </c>
      <c r="B2865" s="46" t="inlineStr">
        <is>
          <t>정기검사</t>
        </is>
      </c>
      <c r="C2865" s="46" t="inlineStr">
        <is>
          <t>김포지역</t>
        </is>
      </c>
      <c r="D2865" s="46" t="inlineStr">
        <is>
          <t>현정이네</t>
        </is>
      </c>
      <c r="E2865" s="46" t="n">
        <v>96</v>
      </c>
      <c r="F2865" s="46" t="inlineStr">
        <is>
          <t>시암리</t>
        </is>
      </c>
      <c r="G2865" s="50" t="n">
        <v>0.5833333333333334</v>
      </c>
      <c r="H2865" s="51" t="n">
        <v>336930</v>
      </c>
      <c r="I2865" s="46" t="inlineStr">
        <is>
          <t>정성관</t>
        </is>
      </c>
      <c r="K2865" s="46" t="n">
        <v>2864</v>
      </c>
      <c r="L2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6">
      <c r="A2866" s="229" t="n">
        <v>46237</v>
      </c>
      <c r="B2866" s="46" t="inlineStr">
        <is>
          <t>정기검사</t>
        </is>
      </c>
      <c r="C2866" s="46" t="inlineStr">
        <is>
          <t>김포지역</t>
        </is>
      </c>
      <c r="D2866" s="46" t="inlineStr">
        <is>
          <t>엘피스산업</t>
        </is>
      </c>
      <c r="E2866" s="46" t="n">
        <v>290</v>
      </c>
      <c r="F2866" s="46" t="inlineStr">
        <is>
          <t>초원지리</t>
        </is>
      </c>
      <c r="G2866" s="50" t="n">
        <v>0.4791666666666667</v>
      </c>
      <c r="H2866" s="51" t="n">
        <v>515130</v>
      </c>
      <c r="I2866" s="46" t="inlineStr">
        <is>
          <t>이종석</t>
        </is>
      </c>
      <c r="K2866" s="46" t="n">
        <v>2865</v>
      </c>
      <c r="L2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7">
      <c r="A2867" s="229" t="n">
        <v>46237</v>
      </c>
      <c r="B2867" s="46" t="inlineStr">
        <is>
          <t>정기검사</t>
        </is>
      </c>
      <c r="C2867" s="46" t="inlineStr">
        <is>
          <t>김포지역</t>
        </is>
      </c>
      <c r="D2867" s="46" t="inlineStr">
        <is>
          <t>김포초</t>
        </is>
      </c>
      <c r="E2867" s="46" t="n">
        <v>600</v>
      </c>
      <c r="F2867" s="46" t="inlineStr">
        <is>
          <t>북변동</t>
        </is>
      </c>
      <c r="G2867" s="50" t="n">
        <v>0.5833333333333334</v>
      </c>
      <c r="H2867" s="51" t="n">
        <v>770880</v>
      </c>
      <c r="I2867" s="46" t="inlineStr">
        <is>
          <t>한태희</t>
        </is>
      </c>
      <c r="K2867" s="46" t="n">
        <v>2866</v>
      </c>
      <c r="L2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8">
      <c r="A2868" s="229" t="n">
        <v>46237</v>
      </c>
      <c r="B2868" s="46" t="inlineStr">
        <is>
          <t>정기검사</t>
        </is>
      </c>
      <c r="C2868" s="46" t="inlineStr">
        <is>
          <t>김포지역</t>
        </is>
      </c>
      <c r="D2868" s="46" t="inlineStr">
        <is>
          <t>미래창조</t>
        </is>
      </c>
      <c r="E2868" s="46" t="n">
        <v>400</v>
      </c>
      <c r="F2868" s="46" t="inlineStr">
        <is>
          <t>쇄암리</t>
        </is>
      </c>
      <c r="G2868" s="50" t="n">
        <v>0.3958333333333333</v>
      </c>
      <c r="H2868" s="51" t="n">
        <v>703120</v>
      </c>
      <c r="I2868" s="46" t="inlineStr">
        <is>
          <t>변종국</t>
        </is>
      </c>
      <c r="K2868" s="46" t="n">
        <v>2867</v>
      </c>
      <c r="L2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9">
      <c r="A2869" s="229" t="n">
        <v>46237</v>
      </c>
      <c r="B2869" s="46" t="inlineStr">
        <is>
          <t>정기검사</t>
        </is>
      </c>
      <c r="C2869" s="46" t="inlineStr">
        <is>
          <t>김포지역</t>
        </is>
      </c>
      <c r="D2869" s="46" t="inlineStr">
        <is>
          <t>통진중</t>
        </is>
      </c>
      <c r="E2869" s="46" t="n">
        <v>600</v>
      </c>
      <c r="F2869" s="46" t="inlineStr">
        <is>
          <t>마송리</t>
        </is>
      </c>
      <c r="G2869" s="50" t="n">
        <v>0.4375</v>
      </c>
      <c r="H2869" s="51" t="n">
        <v>770880</v>
      </c>
      <c r="I2869" s="46" t="inlineStr">
        <is>
          <t>송낙명</t>
        </is>
      </c>
      <c r="K2869" s="46" t="n">
        <v>2868</v>
      </c>
      <c r="L2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0">
      <c r="A2870" s="229" t="n">
        <v>46237</v>
      </c>
      <c r="B2870" s="46" t="inlineStr">
        <is>
          <t>정기검사</t>
        </is>
      </c>
      <c r="C2870" s="46" t="inlineStr">
        <is>
          <t>김포지역</t>
        </is>
      </c>
      <c r="D2870" s="46" t="inlineStr">
        <is>
          <t>에이스텍코리아</t>
        </is>
      </c>
      <c r="E2870" s="46" t="n">
        <v>290</v>
      </c>
      <c r="F2870" s="46" t="inlineStr">
        <is>
          <t>마곡리</t>
        </is>
      </c>
      <c r="G2870" s="50" t="n">
        <v>0.4375</v>
      </c>
      <c r="H2870" s="51" t="n">
        <v>515130</v>
      </c>
      <c r="I2870" s="46" t="inlineStr">
        <is>
          <t>이종석</t>
        </is>
      </c>
      <c r="K2870" s="46" t="n">
        <v>2869</v>
      </c>
      <c r="L2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1">
      <c r="A2871" s="229" t="n">
        <v>46237</v>
      </c>
      <c r="B2871" s="46" t="inlineStr">
        <is>
          <t>정기검사</t>
        </is>
      </c>
      <c r="C2871" s="46" t="inlineStr">
        <is>
          <t>김포지역</t>
        </is>
      </c>
      <c r="D2871" s="46" t="inlineStr">
        <is>
          <t>통진고</t>
        </is>
      </c>
      <c r="E2871" s="46" t="n">
        <v>750</v>
      </c>
      <c r="F2871" s="46" t="inlineStr">
        <is>
          <t>마송리</t>
        </is>
      </c>
      <c r="G2871" s="50" t="n">
        <v>0.4583333333333333</v>
      </c>
      <c r="H2871" s="51" t="n">
        <v>821700</v>
      </c>
      <c r="I2871" s="46" t="inlineStr">
        <is>
          <t>한태희</t>
        </is>
      </c>
      <c r="K2871" s="46" t="n">
        <v>2870</v>
      </c>
      <c r="L2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2">
      <c r="A2872" s="229" t="n">
        <v>46237</v>
      </c>
      <c r="B2872" s="46" t="inlineStr">
        <is>
          <t>정기검사</t>
        </is>
      </c>
      <c r="C2872" s="46" t="inlineStr">
        <is>
          <t>김포지역</t>
        </is>
      </c>
      <c r="D2872" s="46" t="inlineStr">
        <is>
          <t>고창중</t>
        </is>
      </c>
      <c r="E2872" s="46" t="n">
        <v>750</v>
      </c>
      <c r="F2872" s="46" t="inlineStr">
        <is>
          <t>장기동</t>
        </is>
      </c>
      <c r="G2872" s="50" t="n">
        <v>0.5416666666666666</v>
      </c>
      <c r="H2872" s="51" t="n">
        <v>821700</v>
      </c>
      <c r="I2872" s="46" t="inlineStr">
        <is>
          <t>민재홍</t>
        </is>
      </c>
      <c r="K2872" s="46" t="n">
        <v>2871</v>
      </c>
      <c r="L2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3">
      <c r="A2873" s="229" t="n">
        <v>46237</v>
      </c>
      <c r="B2873" s="46" t="inlineStr">
        <is>
          <t>정기검사</t>
        </is>
      </c>
      <c r="C2873" s="46" t="inlineStr">
        <is>
          <t>김포지역</t>
        </is>
      </c>
      <c r="D2873" s="46" t="inlineStr">
        <is>
          <t>하림가구</t>
        </is>
      </c>
      <c r="E2873" s="46" t="n">
        <v>100</v>
      </c>
      <c r="F2873" s="46" t="inlineStr">
        <is>
          <t>양택리</t>
        </is>
      </c>
      <c r="G2873" s="50" t="n">
        <v>0.4166666666666667</v>
      </c>
      <c r="H2873" s="51" t="n">
        <v>189420</v>
      </c>
      <c r="I2873" s="46" t="inlineStr">
        <is>
          <t>정성관</t>
        </is>
      </c>
      <c r="K2873" s="46" t="n">
        <v>2872</v>
      </c>
      <c r="L2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4">
      <c r="A2874" s="229" t="n">
        <v>46237</v>
      </c>
      <c r="B2874" s="46" t="inlineStr">
        <is>
          <t>사용전검사</t>
        </is>
      </c>
      <c r="C2874" s="46" t="inlineStr">
        <is>
          <t>부천지역</t>
        </is>
      </c>
      <c r="D2874" s="46" t="inlineStr">
        <is>
          <t>대일cts</t>
        </is>
      </c>
      <c r="E2874" s="46" t="n">
        <v>850</v>
      </c>
      <c r="F2874" s="46" t="inlineStr">
        <is>
          <t>삼정동</t>
        </is>
      </c>
      <c r="G2874" s="50" t="n"/>
      <c r="H2874" s="51" t="n"/>
      <c r="I2874" s="46" t="inlineStr">
        <is>
          <t>허창수</t>
        </is>
      </c>
      <c r="K2874" s="46" t="n">
        <v>2873</v>
      </c>
      <c r="L2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5">
      <c r="A2875" s="229" t="n">
        <v>46237</v>
      </c>
      <c r="B2875" s="46" t="inlineStr">
        <is>
          <t>사용전검사</t>
        </is>
      </c>
      <c r="C2875" s="46" t="inlineStr">
        <is>
          <t>부천지역</t>
        </is>
      </c>
      <c r="D2875" s="46" t="inlineStr">
        <is>
          <t>지에스리테일</t>
        </is>
      </c>
      <c r="E2875" s="46" t="n">
        <v>17</v>
      </c>
      <c r="F2875" s="46" t="inlineStr">
        <is>
          <t>원종동</t>
        </is>
      </c>
      <c r="G2875" s="50" t="n"/>
      <c r="H2875" s="51" t="n"/>
      <c r="I2875" s="46" t="inlineStr">
        <is>
          <t>허록종</t>
        </is>
      </c>
      <c r="K2875" s="46" t="n">
        <v>2874</v>
      </c>
      <c r="L2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6">
      <c r="A2876" s="229" t="n">
        <v>46237</v>
      </c>
      <c r="B2876" s="46" t="inlineStr">
        <is>
          <t>메모</t>
        </is>
      </c>
      <c r="C2876" s="46" t="inlineStr">
        <is>
          <t>부천지역</t>
        </is>
      </c>
      <c r="D2876" s="46" t="inlineStr">
        <is>
          <t>옹승완휴가</t>
        </is>
      </c>
      <c r="E2876" s="46" t="inlineStr">
        <is>
          <t>허록종</t>
        </is>
      </c>
      <c r="F2876" s="46" t="n"/>
      <c r="G2876" s="50" t="n"/>
      <c r="H2876" s="51" t="n"/>
      <c r="I2876" s="46" t="n"/>
      <c r="K2876" s="46" t="n">
        <v>2875</v>
      </c>
      <c r="L2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7">
      <c r="A2877" s="229" t="n">
        <v>46237</v>
      </c>
      <c r="B2877" s="46" t="inlineStr">
        <is>
          <t>메모</t>
        </is>
      </c>
      <c r="C2877" s="46" t="inlineStr">
        <is>
          <t>부천지역</t>
        </is>
      </c>
      <c r="D2877" s="46" t="inlineStr">
        <is>
          <t>이덕기휴가</t>
        </is>
      </c>
      <c r="E2877" s="46" t="n"/>
      <c r="F2877" s="46" t="n"/>
      <c r="G2877" s="50" t="n"/>
      <c r="H2877" s="51" t="n"/>
      <c r="I2877" s="46" t="n"/>
      <c r="K2877" s="46" t="n">
        <v>2876</v>
      </c>
      <c r="L2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8">
      <c r="A2878" s="229" t="n">
        <v>46237</v>
      </c>
      <c r="B2878" s="46" t="inlineStr">
        <is>
          <t>메모</t>
        </is>
      </c>
      <c r="C2878" s="46" t="inlineStr">
        <is>
          <t>부천지역</t>
        </is>
      </c>
      <c r="D2878" s="46" t="inlineStr">
        <is>
          <t>당효진건강</t>
        </is>
      </c>
      <c r="E2878" s="46" t="n"/>
      <c r="F2878" s="46" t="n"/>
      <c r="G2878" s="50" t="n"/>
      <c r="H2878" s="51" t="n"/>
      <c r="I2878" s="46" t="n"/>
      <c r="K2878" s="46" t="n">
        <v>2877</v>
      </c>
      <c r="L2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9">
      <c r="A2879" s="229" t="n">
        <v>46237</v>
      </c>
      <c r="B2879" s="46" t="inlineStr">
        <is>
          <t>사용전검사</t>
        </is>
      </c>
      <c r="C2879" s="46" t="inlineStr">
        <is>
          <t>김포지역</t>
        </is>
      </c>
      <c r="D2879" s="46" t="inlineStr">
        <is>
          <t>스킨팜</t>
        </is>
      </c>
      <c r="E2879" s="46" t="n">
        <v>299</v>
      </c>
      <c r="F2879" s="46" t="inlineStr">
        <is>
          <t>개곡리</t>
        </is>
      </c>
      <c r="G2879" s="50" t="n"/>
      <c r="H2879" s="51" t="n"/>
      <c r="I2879" s="46" t="inlineStr">
        <is>
          <t>정신배</t>
        </is>
      </c>
      <c r="K2879" s="46" t="n">
        <v>2878</v>
      </c>
      <c r="L2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0">
      <c r="A2880" s="229" t="n">
        <v>46238</v>
      </c>
      <c r="B2880" s="46" t="inlineStr">
        <is>
          <t>정기검사</t>
        </is>
      </c>
      <c r="C2880" s="46" t="inlineStr">
        <is>
          <t>부천지역</t>
        </is>
      </c>
      <c r="D2880" s="46" t="inlineStr">
        <is>
          <t>고강초</t>
        </is>
      </c>
      <c r="E2880" s="46" t="n">
        <v>600</v>
      </c>
      <c r="F2880" s="46" t="inlineStr">
        <is>
          <t>고강동</t>
        </is>
      </c>
      <c r="G2880" s="50" t="n">
        <v>0.5416666666666666</v>
      </c>
      <c r="H2880" s="51" t="n">
        <v>770880</v>
      </c>
      <c r="I2880" s="46" t="inlineStr">
        <is>
          <t>민재홍</t>
        </is>
      </c>
      <c r="K2880" s="46" t="n">
        <v>2879</v>
      </c>
      <c r="L2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1">
      <c r="A2881" s="229" t="n">
        <v>46238</v>
      </c>
      <c r="B2881" s="46" t="inlineStr">
        <is>
          <t>정기검사</t>
        </is>
      </c>
      <c r="C2881" s="46" t="inlineStr">
        <is>
          <t>부천지역</t>
        </is>
      </c>
      <c r="D2881" s="46" t="inlineStr">
        <is>
          <t>동일화학</t>
        </is>
      </c>
      <c r="E2881" s="46" t="n">
        <v>750</v>
      </c>
      <c r="F2881" s="46" t="inlineStr">
        <is>
          <t>삼정동</t>
        </is>
      </c>
      <c r="G2881" s="50" t="n">
        <v>0.4375</v>
      </c>
      <c r="H2881" s="51" t="n">
        <v>821700</v>
      </c>
      <c r="I2881" s="46" t="inlineStr">
        <is>
          <t>김영권</t>
        </is>
      </c>
      <c r="K2881" s="46" t="n">
        <v>2880</v>
      </c>
      <c r="L2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2">
      <c r="A2882" s="229" t="n">
        <v>46238</v>
      </c>
      <c r="B2882" s="46" t="inlineStr">
        <is>
          <t>정기검사</t>
        </is>
      </c>
      <c r="C2882" s="46" t="inlineStr">
        <is>
          <t>부천지역</t>
        </is>
      </c>
      <c r="D2882" s="46" t="inlineStr">
        <is>
          <t>소명여고</t>
        </is>
      </c>
      <c r="E2882" s="46" t="n">
        <v>800</v>
      </c>
      <c r="F2882" s="46" t="inlineStr">
        <is>
          <t>소사동</t>
        </is>
      </c>
      <c r="G2882" s="50" t="n">
        <v>0.3958333333333333</v>
      </c>
      <c r="H2882" s="51" t="n">
        <v>838640</v>
      </c>
      <c r="I2882" s="46" t="inlineStr">
        <is>
          <t>송낙명</t>
        </is>
      </c>
      <c r="K2882" s="46" t="n">
        <v>2881</v>
      </c>
      <c r="L2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3">
      <c r="A2883" s="229" t="n">
        <v>46238</v>
      </c>
      <c r="B2883" s="46" t="inlineStr">
        <is>
          <t>정기검사</t>
        </is>
      </c>
      <c r="C2883" s="46" t="inlineStr">
        <is>
          <t>부천지역</t>
        </is>
      </c>
      <c r="D2883" s="46" t="inlineStr">
        <is>
          <t>범박초</t>
        </is>
      </c>
      <c r="E2883" s="46" t="n">
        <v>600</v>
      </c>
      <c r="F2883" s="46" t="inlineStr">
        <is>
          <t>소사동</t>
        </is>
      </c>
      <c r="G2883" s="50" t="n">
        <v>0.625</v>
      </c>
      <c r="H2883" s="51" t="n">
        <v>770880</v>
      </c>
      <c r="I2883" s="46" t="inlineStr">
        <is>
          <t>한태희</t>
        </is>
      </c>
      <c r="K2883" s="46" t="n">
        <v>2882</v>
      </c>
      <c r="L2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4">
      <c r="A2884" s="229" t="n">
        <v>46238</v>
      </c>
      <c r="B2884" s="46" t="inlineStr">
        <is>
          <t>정기검사</t>
        </is>
      </c>
      <c r="C2884" s="46" t="inlineStr">
        <is>
          <t>부천지역</t>
        </is>
      </c>
      <c r="D2884" s="46" t="inlineStr">
        <is>
          <t>톨리코리아</t>
        </is>
      </c>
      <c r="E2884" s="46" t="n">
        <v>500</v>
      </c>
      <c r="F2884" s="46" t="inlineStr">
        <is>
          <t>도당동</t>
        </is>
      </c>
      <c r="G2884" s="50" t="n">
        <v>0.6041666666666666</v>
      </c>
      <c r="H2884" s="51" t="n">
        <v>737000</v>
      </c>
      <c r="I2884" s="46" t="inlineStr">
        <is>
          <t>송낙명</t>
        </is>
      </c>
      <c r="K2884" s="46" t="n">
        <v>2883</v>
      </c>
      <c r="L2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5">
      <c r="A2885" s="229" t="n">
        <v>46238</v>
      </c>
      <c r="B2885" s="46" t="inlineStr">
        <is>
          <t>정기검사</t>
        </is>
      </c>
      <c r="C2885" s="46" t="inlineStr">
        <is>
          <t>부천지역</t>
        </is>
      </c>
      <c r="D2885" s="46" t="inlineStr">
        <is>
          <t>톨리코리아</t>
        </is>
      </c>
      <c r="E2885" s="46" t="n">
        <v>501</v>
      </c>
      <c r="F2885" s="46" t="inlineStr">
        <is>
          <t>도당동</t>
        </is>
      </c>
      <c r="G2885" s="50" t="n">
        <v>0.5625</v>
      </c>
      <c r="H2885" s="51" t="n">
        <v>889460</v>
      </c>
      <c r="I2885" s="46" t="inlineStr">
        <is>
          <t>한태희</t>
        </is>
      </c>
      <c r="K2885" s="46" t="n">
        <v>2884</v>
      </c>
      <c r="L2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6">
      <c r="A2886" s="229" t="n">
        <v>46238</v>
      </c>
      <c r="B2886" s="46" t="inlineStr">
        <is>
          <t>정기검사</t>
        </is>
      </c>
      <c r="C2886" s="46" t="inlineStr">
        <is>
          <t>김포지역</t>
        </is>
      </c>
      <c r="D2886" s="46" t="inlineStr">
        <is>
          <t>삼정정</t>
        </is>
      </c>
      <c r="E2886" s="46" t="n">
        <v>300</v>
      </c>
      <c r="F2886" s="46" t="inlineStr">
        <is>
          <t>석탄리</t>
        </is>
      </c>
      <c r="G2886" s="50" t="n">
        <v>0.5416666666666666</v>
      </c>
      <c r="H2886" s="51" t="n">
        <v>521730</v>
      </c>
      <c r="I2886" s="46" t="inlineStr">
        <is>
          <t>서수형</t>
        </is>
      </c>
      <c r="K2886" s="46" t="n">
        <v>2885</v>
      </c>
      <c r="L2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7">
      <c r="A2887" s="229" t="n">
        <v>46238</v>
      </c>
      <c r="B2887" s="46" t="inlineStr">
        <is>
          <t>정기검사</t>
        </is>
      </c>
      <c r="C2887" s="46" t="inlineStr">
        <is>
          <t>김포지역</t>
        </is>
      </c>
      <c r="D2887" s="46" t="inlineStr">
        <is>
          <t>한양정밀</t>
        </is>
      </c>
      <c r="E2887" s="46" t="n">
        <v>4950</v>
      </c>
      <c r="F2887" s="46" t="inlineStr">
        <is>
          <t>학운리</t>
        </is>
      </c>
      <c r="G2887" s="50" t="n">
        <v>0.4166666666666667</v>
      </c>
      <c r="H2887" s="51" t="n">
        <v>1595330</v>
      </c>
      <c r="I2887" s="46" t="inlineStr">
        <is>
          <t>이종석</t>
        </is>
      </c>
      <c r="K2887" s="46" t="n">
        <v>2886</v>
      </c>
      <c r="L2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8">
      <c r="A2888" s="229" t="n">
        <v>46238</v>
      </c>
      <c r="B2888" s="46" t="inlineStr">
        <is>
          <t>정기검사</t>
        </is>
      </c>
      <c r="C2888" s="46" t="inlineStr">
        <is>
          <t>김포지역</t>
        </is>
      </c>
      <c r="D2888" s="46" t="inlineStr">
        <is>
          <t>고정리태양광</t>
        </is>
      </c>
      <c r="E2888" s="46" t="n">
        <v>17</v>
      </c>
      <c r="F2888" s="46" t="inlineStr">
        <is>
          <t>고정리</t>
        </is>
      </c>
      <c r="G2888" s="50" t="n">
        <v>0.5625</v>
      </c>
      <c r="H2888" s="51" t="n">
        <v>93830</v>
      </c>
      <c r="I2888" s="46" t="inlineStr">
        <is>
          <t>허창수</t>
        </is>
      </c>
      <c r="K2888" s="46" t="n">
        <v>2887</v>
      </c>
      <c r="L2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9">
      <c r="A2889" s="229" t="n">
        <v>46238</v>
      </c>
      <c r="B2889" s="46" t="inlineStr">
        <is>
          <t>정기검사</t>
        </is>
      </c>
      <c r="C2889" s="46" t="inlineStr">
        <is>
          <t>김포지역</t>
        </is>
      </c>
      <c r="D2889" s="46" t="inlineStr">
        <is>
          <t>포인트프라자</t>
        </is>
      </c>
      <c r="E2889" s="46" t="inlineStr">
        <is>
          <t>907/159</t>
        </is>
      </c>
      <c r="F2889" s="46" t="inlineStr">
        <is>
          <t>구래동</t>
        </is>
      </c>
      <c r="G2889" s="50" t="n">
        <v>0.3958333333333333</v>
      </c>
      <c r="H2889" s="51" t="n">
        <v>1111880</v>
      </c>
      <c r="I2889" s="46" t="inlineStr">
        <is>
          <t>정성관</t>
        </is>
      </c>
      <c r="K2889" s="46" t="n">
        <v>2888</v>
      </c>
      <c r="L2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0">
      <c r="A2890" s="229" t="n">
        <v>46238</v>
      </c>
      <c r="B2890" s="46" t="inlineStr">
        <is>
          <t>사용전검사</t>
        </is>
      </c>
      <c r="C2890" s="46" t="inlineStr">
        <is>
          <t>부천지역</t>
        </is>
      </c>
      <c r="D2890" s="46" t="inlineStr">
        <is>
          <t>대경엔지니어링</t>
        </is>
      </c>
      <c r="E2890" s="46" t="n">
        <v>250</v>
      </c>
      <c r="F2890" s="46" t="inlineStr">
        <is>
          <t>삼정동</t>
        </is>
      </c>
      <c r="G2890" s="50" t="n"/>
      <c r="H2890" s="51" t="n"/>
      <c r="I2890" s="46" t="inlineStr">
        <is>
          <t>허록종</t>
        </is>
      </c>
      <c r="K2890" s="46" t="n">
        <v>2889</v>
      </c>
      <c r="L2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1">
      <c r="A2891" s="229" t="n">
        <v>46238</v>
      </c>
      <c r="B2891" s="46" t="inlineStr">
        <is>
          <t>사용전검사</t>
        </is>
      </c>
      <c r="C2891" s="46" t="inlineStr">
        <is>
          <t>부천지역</t>
        </is>
      </c>
      <c r="D2891" s="46" t="inlineStr">
        <is>
          <t>범아동</t>
        </is>
      </c>
      <c r="E2891" s="46" t="inlineStr">
        <is>
          <t>부분</t>
        </is>
      </c>
      <c r="F2891" s="46" t="inlineStr">
        <is>
          <t>괴안동</t>
        </is>
      </c>
      <c r="G2891" s="50" t="n"/>
      <c r="H2891" s="51" t="n"/>
      <c r="I2891" s="46" t="inlineStr">
        <is>
          <t>김영권</t>
        </is>
      </c>
      <c r="K2891" s="46" t="n">
        <v>2890</v>
      </c>
      <c r="L2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2">
      <c r="A2892" s="229" t="n">
        <v>46238</v>
      </c>
      <c r="B2892" s="46" t="inlineStr">
        <is>
          <t>사용전검사</t>
        </is>
      </c>
      <c r="C2892" s="46" t="inlineStr">
        <is>
          <t>부천지역</t>
        </is>
      </c>
      <c r="D2892" s="46" t="inlineStr">
        <is>
          <t>홍짬봉</t>
        </is>
      </c>
      <c r="E2892" s="46" t="n">
        <v>16</v>
      </c>
      <c r="F2892" s="46" t="inlineStr">
        <is>
          <t>원종동</t>
        </is>
      </c>
      <c r="G2892" s="50" t="n"/>
      <c r="H2892" s="51" t="n"/>
      <c r="I2892" s="46" t="inlineStr">
        <is>
          <t>허록종</t>
        </is>
      </c>
      <c r="K2892" s="46" t="n">
        <v>2891</v>
      </c>
      <c r="L2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3">
      <c r="A2893" s="229" t="n">
        <v>46238</v>
      </c>
      <c r="B2893" s="46" t="inlineStr">
        <is>
          <t>사용전검사</t>
        </is>
      </c>
      <c r="C2893" s="46" t="inlineStr">
        <is>
          <t>부천지역</t>
        </is>
      </c>
      <c r="D2893" s="46" t="inlineStr">
        <is>
          <t>한성막회</t>
        </is>
      </c>
      <c r="E2893" s="46" t="n">
        <v>50</v>
      </c>
      <c r="F2893" s="46" t="inlineStr">
        <is>
          <t>중동</t>
        </is>
      </c>
      <c r="G2893" s="50" t="n"/>
      <c r="H2893" s="51" t="n"/>
      <c r="I2893" s="46" t="inlineStr">
        <is>
          <t>허록종</t>
        </is>
      </c>
      <c r="K2893" s="46" t="n">
        <v>2892</v>
      </c>
      <c r="L2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4">
      <c r="A2894" s="229" t="n">
        <v>46238</v>
      </c>
      <c r="B2894" s="46" t="inlineStr">
        <is>
          <t>메모</t>
        </is>
      </c>
      <c r="C2894" s="46" t="inlineStr">
        <is>
          <t>부천지역</t>
        </is>
      </c>
      <c r="D2894" s="46" t="inlineStr">
        <is>
          <t>옹승완휴가</t>
        </is>
      </c>
      <c r="E2894" s="46" t="n"/>
      <c r="F2894" s="46" t="n"/>
      <c r="G2894" s="50" t="n"/>
      <c r="H2894" s="51" t="n"/>
      <c r="I2894" s="46" t="n"/>
      <c r="K2894" s="46" t="n">
        <v>2893</v>
      </c>
      <c r="L2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5">
      <c r="A2895" s="229" t="n">
        <v>46238</v>
      </c>
      <c r="B2895" s="46" t="inlineStr">
        <is>
          <t>메모</t>
        </is>
      </c>
      <c r="C2895" s="46" t="inlineStr">
        <is>
          <t>부천지역</t>
        </is>
      </c>
      <c r="D2895" s="46" t="inlineStr">
        <is>
          <t>이덕기휴가</t>
        </is>
      </c>
      <c r="E2895" s="46" t="n"/>
      <c r="F2895" s="46" t="n"/>
      <c r="G2895" s="50" t="n"/>
      <c r="H2895" s="51" t="n"/>
      <c r="I2895" s="46" t="n"/>
      <c r="K2895" s="46" t="n">
        <v>2894</v>
      </c>
      <c r="L2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6">
      <c r="A2896" s="229" t="n">
        <v>46238</v>
      </c>
      <c r="B2896" s="46" t="inlineStr">
        <is>
          <t>메모</t>
        </is>
      </c>
      <c r="C2896" s="46" t="inlineStr">
        <is>
          <t>부천지역</t>
        </is>
      </c>
      <c r="D2896" s="46" t="inlineStr">
        <is>
          <t>당효진휴가</t>
        </is>
      </c>
      <c r="E2896" s="46" t="inlineStr">
        <is>
          <t>허록종</t>
        </is>
      </c>
      <c r="F2896" s="46" t="n"/>
      <c r="G2896" s="50" t="n"/>
      <c r="H2896" s="51" t="n"/>
      <c r="I2896" s="46" t="n"/>
      <c r="K2896" s="46" t="n">
        <v>2895</v>
      </c>
      <c r="L2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7">
      <c r="A2897" s="229" t="n">
        <v>46238</v>
      </c>
      <c r="B2897" s="46" t="inlineStr">
        <is>
          <t>사용전검사</t>
        </is>
      </c>
      <c r="C2897" s="46" t="inlineStr">
        <is>
          <t>김포지역</t>
        </is>
      </c>
      <c r="D2897" s="46" t="inlineStr">
        <is>
          <t>태건씨앤씨</t>
        </is>
      </c>
      <c r="E2897" s="46" t="n">
        <v>2250</v>
      </c>
      <c r="F2897" s="46" t="inlineStr">
        <is>
          <t>학운리</t>
        </is>
      </c>
      <c r="G2897" s="50" t="n"/>
      <c r="H2897" s="51" t="n"/>
      <c r="I2897" s="46" t="inlineStr">
        <is>
          <t>변종국</t>
        </is>
      </c>
      <c r="K2897" s="46" t="n">
        <v>2896</v>
      </c>
      <c r="L2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8">
      <c r="A2898" s="229" t="n">
        <v>46238</v>
      </c>
      <c r="B2898" s="46" t="inlineStr">
        <is>
          <t>사용전검사</t>
        </is>
      </c>
      <c r="C2898" s="46" t="inlineStr">
        <is>
          <t>김포지역</t>
        </is>
      </c>
      <c r="D2898" s="46" t="inlineStr">
        <is>
          <t>씨엔케이4호</t>
        </is>
      </c>
      <c r="E2898" s="46" t="n">
        <v>89</v>
      </c>
      <c r="F2898" s="46" t="inlineStr">
        <is>
          <t>원산리</t>
        </is>
      </c>
      <c r="G2898" s="50" t="n"/>
      <c r="H2898" s="51" t="n"/>
      <c r="I2898" s="46" t="inlineStr">
        <is>
          <t>허창수</t>
        </is>
      </c>
      <c r="K2898" s="46" t="n">
        <v>2897</v>
      </c>
      <c r="L2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9">
      <c r="A2899" s="229" t="n">
        <v>46238</v>
      </c>
      <c r="B2899" s="46" t="inlineStr">
        <is>
          <t>사용전검사</t>
        </is>
      </c>
      <c r="C2899" s="46" t="inlineStr">
        <is>
          <t>김포지역</t>
        </is>
      </c>
      <c r="D2899" s="46" t="inlineStr">
        <is>
          <t>씨엔케이5호</t>
        </is>
      </c>
      <c r="E2899" s="46" t="n">
        <v>90</v>
      </c>
      <c r="F2899" s="46" t="inlineStr">
        <is>
          <t>원산리</t>
        </is>
      </c>
      <c r="G2899" s="50" t="n"/>
      <c r="H2899" s="51" t="n"/>
      <c r="I2899" s="46" t="inlineStr">
        <is>
          <t>허창수</t>
        </is>
      </c>
      <c r="K2899" s="46" t="n">
        <v>2898</v>
      </c>
      <c r="L2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0">
      <c r="A2900" s="229" t="n">
        <v>46238</v>
      </c>
      <c r="B2900" s="46" t="inlineStr">
        <is>
          <t>사용전검사</t>
        </is>
      </c>
      <c r="C2900" s="46" t="inlineStr">
        <is>
          <t>김포지역</t>
        </is>
      </c>
      <c r="D2900" s="46" t="inlineStr">
        <is>
          <t>해병포22대대</t>
        </is>
      </c>
      <c r="E2900" s="46" t="n">
        <v>250</v>
      </c>
      <c r="F2900" s="46" t="inlineStr">
        <is>
          <t>서암리</t>
        </is>
      </c>
      <c r="G2900" s="50" t="n"/>
      <c r="H2900" s="51" t="n"/>
      <c r="I2900" s="46" t="inlineStr">
        <is>
          <t>서수형</t>
        </is>
      </c>
      <c r="K2900" s="46" t="n">
        <v>2899</v>
      </c>
      <c r="L2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1">
      <c r="A2901" s="229" t="n">
        <v>46238</v>
      </c>
      <c r="B2901" s="46" t="inlineStr">
        <is>
          <t>사용전검사</t>
        </is>
      </c>
      <c r="C2901" s="46" t="inlineStr">
        <is>
          <t>김포지역</t>
        </is>
      </c>
      <c r="D2901" s="46" t="inlineStr">
        <is>
          <t>대우건설</t>
        </is>
      </c>
      <c r="E2901" s="46" t="n">
        <v>950</v>
      </c>
      <c r="F2901" s="46" t="inlineStr">
        <is>
          <t>향산리</t>
        </is>
      </c>
      <c r="G2901" s="50" t="n"/>
      <c r="H2901" s="51" t="n"/>
      <c r="I2901" s="46" t="inlineStr">
        <is>
          <t>정신배</t>
        </is>
      </c>
      <c r="K2901" s="46" t="n">
        <v>2900</v>
      </c>
      <c r="L2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2">
      <c r="A2902" s="229" t="n">
        <v>46239</v>
      </c>
      <c r="B2902" s="46" t="inlineStr">
        <is>
          <t>정기검사</t>
        </is>
      </c>
      <c r="C2902" s="46" t="inlineStr">
        <is>
          <t>부천지역</t>
        </is>
      </c>
      <c r="D2902" s="46" t="inlineStr">
        <is>
          <t>범박고</t>
        </is>
      </c>
      <c r="E2902" s="46" t="n">
        <v>800</v>
      </c>
      <c r="F2902" s="46" t="inlineStr">
        <is>
          <t>범박동</t>
        </is>
      </c>
      <c r="G2902" s="50" t="n">
        <v>0.3958333333333333</v>
      </c>
      <c r="H2902" s="51" t="n">
        <v>838640</v>
      </c>
      <c r="I2902" s="46" t="inlineStr">
        <is>
          <t>허록종</t>
        </is>
      </c>
      <c r="K2902" s="46" t="n">
        <v>2901</v>
      </c>
      <c r="L2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3">
      <c r="A2903" s="229" t="n">
        <v>46239</v>
      </c>
      <c r="B2903" s="46" t="inlineStr">
        <is>
          <t>정기검사</t>
        </is>
      </c>
      <c r="C2903" s="46" t="inlineStr">
        <is>
          <t>부천지역</t>
        </is>
      </c>
      <c r="D2903" s="46" t="inlineStr">
        <is>
          <t>씨케이덴탈산업</t>
        </is>
      </c>
      <c r="E2903" s="46" t="inlineStr">
        <is>
          <t>500/44</t>
        </is>
      </c>
      <c r="F2903" s="46" t="inlineStr">
        <is>
          <t>내동</t>
        </is>
      </c>
      <c r="G2903" s="50" t="n">
        <v>0.3958333333333333</v>
      </c>
      <c r="H2903" s="51" t="n">
        <v>886600</v>
      </c>
      <c r="I2903" s="46" t="inlineStr">
        <is>
          <t>정성관</t>
        </is>
      </c>
      <c r="K2903" s="46" t="n">
        <v>2902</v>
      </c>
      <c r="L2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4">
      <c r="A2904" s="229" t="n">
        <v>46239</v>
      </c>
      <c r="B2904" s="46" t="inlineStr">
        <is>
          <t>정기검사</t>
        </is>
      </c>
      <c r="C2904" s="46" t="inlineStr">
        <is>
          <t>김포지역</t>
        </is>
      </c>
      <c r="D2904" s="46" t="inlineStr">
        <is>
          <t>동진금속</t>
        </is>
      </c>
      <c r="E2904" s="46" t="n">
        <v>4000</v>
      </c>
      <c r="F2904" s="46" t="inlineStr">
        <is>
          <t>학운리</t>
        </is>
      </c>
      <c r="G2904" s="50" t="n">
        <v>0.3958333333333333</v>
      </c>
      <c r="H2904" s="51" t="n">
        <v>1345300</v>
      </c>
      <c r="I2904" s="46" t="inlineStr">
        <is>
          <t>서수형</t>
        </is>
      </c>
      <c r="K2904" s="46" t="n">
        <v>2903</v>
      </c>
      <c r="L2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5">
      <c r="A2905" s="229" t="n">
        <v>46239</v>
      </c>
      <c r="B2905" s="46" t="inlineStr">
        <is>
          <t>정기검사</t>
        </is>
      </c>
      <c r="C2905" s="46" t="inlineStr">
        <is>
          <t>김포지역</t>
        </is>
      </c>
      <c r="D2905" s="46" t="inlineStr">
        <is>
          <t>케닉스</t>
        </is>
      </c>
      <c r="E2905" s="46" t="n">
        <v>450</v>
      </c>
      <c r="F2905" s="46" t="inlineStr">
        <is>
          <t>갈산리</t>
        </is>
      </c>
      <c r="G2905" s="50" t="n">
        <v>0.4791666666666667</v>
      </c>
      <c r="H2905" s="51" t="n">
        <v>720060</v>
      </c>
      <c r="I2905" s="46" t="inlineStr">
        <is>
          <t>이종석</t>
        </is>
      </c>
      <c r="K2905" s="46" t="n">
        <v>2904</v>
      </c>
      <c r="L2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6">
      <c r="A2906" s="229" t="n">
        <v>46239</v>
      </c>
      <c r="B2906" s="46" t="inlineStr">
        <is>
          <t>정기검사</t>
        </is>
      </c>
      <c r="C2906" s="46" t="inlineStr">
        <is>
          <t>김포지역</t>
        </is>
      </c>
      <c r="D2906" s="46" t="inlineStr">
        <is>
          <t>크린에어테크</t>
        </is>
      </c>
      <c r="E2906" s="46" t="n">
        <v>290</v>
      </c>
      <c r="F2906" s="46" t="inlineStr">
        <is>
          <t>학운리</t>
        </is>
      </c>
      <c r="G2906" s="50" t="n">
        <v>0.3958333333333333</v>
      </c>
      <c r="H2906" s="51" t="n">
        <v>515130</v>
      </c>
      <c r="I2906" s="46" t="inlineStr">
        <is>
          <t>한태희</t>
        </is>
      </c>
      <c r="K2906" s="46" t="n">
        <v>2905</v>
      </c>
      <c r="L2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7">
      <c r="A2907" s="229" t="n">
        <v>46239</v>
      </c>
      <c r="B2907" s="46" t="inlineStr">
        <is>
          <t>정기검사</t>
        </is>
      </c>
      <c r="C2907" s="46" t="inlineStr">
        <is>
          <t>김포지역</t>
        </is>
      </c>
      <c r="D2907" s="46" t="inlineStr">
        <is>
          <t>케이워터</t>
        </is>
      </c>
      <c r="E2907" s="46" t="inlineStr">
        <is>
          <t>1500/144</t>
        </is>
      </c>
      <c r="F2907" s="46" t="inlineStr">
        <is>
          <t>전호리</t>
        </is>
      </c>
      <c r="G2907" s="50" t="n">
        <v>0.2916666666666667</v>
      </c>
      <c r="H2907" s="51" t="n">
        <v>1787720</v>
      </c>
      <c r="I2907" s="46" t="inlineStr">
        <is>
          <t>송낙명</t>
        </is>
      </c>
      <c r="K2907" s="46" t="n">
        <v>2906</v>
      </c>
      <c r="L2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8">
      <c r="A2908" s="229" t="n">
        <v>46239</v>
      </c>
      <c r="B2908" s="46" t="inlineStr">
        <is>
          <t>정기검사</t>
        </is>
      </c>
      <c r="C2908" s="46" t="inlineStr">
        <is>
          <t>김포지역</t>
        </is>
      </c>
      <c r="D2908" s="46" t="inlineStr">
        <is>
          <t>성빈태양광</t>
        </is>
      </c>
      <c r="E2908" s="46" t="n">
        <v>97</v>
      </c>
      <c r="F2908" s="46" t="inlineStr">
        <is>
          <t>대능리</t>
        </is>
      </c>
      <c r="G2908" s="50" t="n"/>
      <c r="H2908" s="51" t="n">
        <v>440880</v>
      </c>
      <c r="I2908" s="46" t="inlineStr">
        <is>
          <t>허창수</t>
        </is>
      </c>
      <c r="K2908" s="46" t="n">
        <v>2907</v>
      </c>
      <c r="L2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9">
      <c r="A2909" s="229" t="n">
        <v>46239</v>
      </c>
      <c r="B2909" s="46" t="inlineStr">
        <is>
          <t>사용전검사</t>
        </is>
      </c>
      <c r="C2909" s="46" t="inlineStr">
        <is>
          <t>부천지역</t>
        </is>
      </c>
      <c r="D2909" s="46" t="inlineStr">
        <is>
          <t>삼우아파트</t>
        </is>
      </c>
      <c r="E2909" s="46" t="n">
        <v>140</v>
      </c>
      <c r="F2909" s="46" t="inlineStr">
        <is>
          <t>고강동</t>
        </is>
      </c>
      <c r="G2909" s="50" t="n"/>
      <c r="H2909" s="51" t="n"/>
      <c r="I2909" s="46" t="inlineStr">
        <is>
          <t>정신배</t>
        </is>
      </c>
      <c r="K2909" s="46" t="n">
        <v>2908</v>
      </c>
      <c r="L2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0">
      <c r="A2910" s="229" t="n">
        <v>46239</v>
      </c>
      <c r="B2910" s="46" t="inlineStr">
        <is>
          <t>사용전검사</t>
        </is>
      </c>
      <c r="C2910" s="46" t="inlineStr">
        <is>
          <t>부천지역</t>
        </is>
      </c>
      <c r="D2910" s="46" t="inlineStr">
        <is>
          <t>연화마을 차파트</t>
        </is>
      </c>
      <c r="E2910" s="46" t="inlineStr">
        <is>
          <t>변변</t>
        </is>
      </c>
      <c r="F2910" s="46" t="inlineStr">
        <is>
          <t>중동</t>
        </is>
      </c>
      <c r="G2910" s="50" t="n"/>
      <c r="H2910" s="51" t="n"/>
      <c r="I2910" s="46" t="inlineStr">
        <is>
          <t>김영권</t>
        </is>
      </c>
      <c r="K2910" s="46" t="n">
        <v>2909</v>
      </c>
      <c r="L2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1">
      <c r="A2911" s="229" t="n">
        <v>46239</v>
      </c>
      <c r="B2911" s="46" t="inlineStr">
        <is>
          <t>메모</t>
        </is>
      </c>
      <c r="C2911" s="46" t="inlineStr">
        <is>
          <t>부천지역</t>
        </is>
      </c>
      <c r="D2911" s="46" t="inlineStr">
        <is>
          <t>민재홍건강</t>
        </is>
      </c>
      <c r="E2911" s="46" t="inlineStr">
        <is>
          <t>김영권-허록종</t>
        </is>
      </c>
      <c r="F2911" s="46" t="n"/>
      <c r="G2911" s="50" t="n"/>
      <c r="H2911" s="51" t="n"/>
      <c r="I2911" s="46" t="n"/>
      <c r="K2911" s="46" t="n">
        <v>2910</v>
      </c>
      <c r="L2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2">
      <c r="A2912" s="229" t="n">
        <v>46239</v>
      </c>
      <c r="B2912" s="46" t="inlineStr">
        <is>
          <t>메모</t>
        </is>
      </c>
      <c r="C2912" s="46" t="inlineStr">
        <is>
          <t>부천지역</t>
        </is>
      </c>
      <c r="D2912" s="46" t="inlineStr">
        <is>
          <t>옹승완휴가</t>
        </is>
      </c>
      <c r="E2912" s="46" t="n"/>
      <c r="F2912" s="46" t="n"/>
      <c r="G2912" s="50" t="n"/>
      <c r="H2912" s="51" t="n"/>
      <c r="I2912" s="46" t="n"/>
      <c r="K2912" s="46" t="n">
        <v>2911</v>
      </c>
      <c r="L2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3">
      <c r="A2913" s="229" t="n">
        <v>46239</v>
      </c>
      <c r="B2913" s="46" t="inlineStr">
        <is>
          <t>메모</t>
        </is>
      </c>
      <c r="C2913" s="46" t="inlineStr">
        <is>
          <t>부천지역</t>
        </is>
      </c>
      <c r="D2913" s="46" t="inlineStr">
        <is>
          <t>이덕기휴가</t>
        </is>
      </c>
      <c r="E2913" s="46" t="n"/>
      <c r="F2913" s="46" t="n"/>
      <c r="G2913" s="50" t="n"/>
      <c r="H2913" s="51" t="n"/>
      <c r="I2913" s="46" t="n"/>
      <c r="K2913" s="46" t="n">
        <v>2912</v>
      </c>
      <c r="L2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4">
      <c r="A2914" s="229" t="n">
        <v>46239</v>
      </c>
      <c r="B2914" s="46" t="inlineStr">
        <is>
          <t>메모</t>
        </is>
      </c>
      <c r="C2914" s="46" t="inlineStr">
        <is>
          <t>부천지역</t>
        </is>
      </c>
      <c r="D2914" s="46" t="inlineStr">
        <is>
          <t>당효진휴가</t>
        </is>
      </c>
      <c r="E2914" s="46" t="n"/>
      <c r="F2914" s="46" t="n"/>
      <c r="G2914" s="50" t="n"/>
      <c r="H2914" s="51" t="n"/>
      <c r="I2914" s="46" t="n"/>
      <c r="K2914" s="46" t="n">
        <v>2913</v>
      </c>
      <c r="L2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5">
      <c r="A2915" s="229" t="n">
        <v>46239</v>
      </c>
      <c r="B2915" s="46" t="inlineStr">
        <is>
          <t>사용전검사</t>
        </is>
      </c>
      <c r="C2915" s="46" t="inlineStr">
        <is>
          <t>김포지역</t>
        </is>
      </c>
      <c r="D2915" s="46" t="inlineStr">
        <is>
          <t>모헷발전소</t>
        </is>
      </c>
      <c r="E2915" s="46" t="n">
        <v>262</v>
      </c>
      <c r="F2915" s="46" t="inlineStr">
        <is>
          <t>학운리</t>
        </is>
      </c>
      <c r="G2915" s="50" t="n"/>
      <c r="H2915" s="51" t="n"/>
      <c r="I2915" s="46" t="inlineStr">
        <is>
          <t>허창수</t>
        </is>
      </c>
      <c r="K2915" s="46" t="n">
        <v>2914</v>
      </c>
      <c r="L2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6">
      <c r="A2916" s="229" t="n">
        <v>46239</v>
      </c>
      <c r="B2916" s="46" t="inlineStr">
        <is>
          <t>사용전검사</t>
        </is>
      </c>
      <c r="C2916" s="46" t="inlineStr">
        <is>
          <t>김포지역</t>
        </is>
      </c>
      <c r="D2916" s="46" t="inlineStr">
        <is>
          <t>모헷발전소</t>
        </is>
      </c>
      <c r="E2916" s="46" t="n">
        <v>263</v>
      </c>
      <c r="F2916" s="46" t="inlineStr">
        <is>
          <t>학운리</t>
        </is>
      </c>
      <c r="G2916" s="50" t="n"/>
      <c r="H2916" s="51" t="n"/>
      <c r="I2916" s="46" t="inlineStr">
        <is>
          <t>허창수</t>
        </is>
      </c>
      <c r="K2916" s="46" t="n">
        <v>2915</v>
      </c>
      <c r="L2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7">
      <c r="A2917" s="229" t="n">
        <v>46239</v>
      </c>
      <c r="B2917" s="46" t="inlineStr">
        <is>
          <t>사용전검사</t>
        </is>
      </c>
      <c r="C2917" s="46" t="inlineStr">
        <is>
          <t>김포지역</t>
        </is>
      </c>
      <c r="D2917" s="46" t="inlineStr">
        <is>
          <t>가인태양광</t>
        </is>
      </c>
      <c r="E2917" s="46" t="n">
        <v>89</v>
      </c>
      <c r="F2917" s="46" t="inlineStr">
        <is>
          <t>개곡리</t>
        </is>
      </c>
      <c r="G2917" s="50" t="n"/>
      <c r="H2917" s="51" t="n"/>
      <c r="I2917" s="46" t="inlineStr">
        <is>
          <t>변종국</t>
        </is>
      </c>
      <c r="K2917" s="46" t="n">
        <v>2916</v>
      </c>
      <c r="L2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8">
      <c r="A2918" s="229" t="n">
        <v>46239</v>
      </c>
      <c r="B2918" s="46" t="inlineStr">
        <is>
          <t>사용전검사</t>
        </is>
      </c>
      <c r="C2918" s="46" t="inlineStr">
        <is>
          <t>김포지역</t>
        </is>
      </c>
      <c r="D2918" s="46" t="inlineStr">
        <is>
          <t>하성태양광</t>
        </is>
      </c>
      <c r="E2918" s="46" t="n">
        <v>89</v>
      </c>
      <c r="F2918" s="46" t="inlineStr">
        <is>
          <t>원산리</t>
        </is>
      </c>
      <c r="G2918" s="50" t="n"/>
      <c r="H2918" s="51" t="n"/>
      <c r="I2918" s="46" t="inlineStr">
        <is>
          <t>변종국</t>
        </is>
      </c>
      <c r="K2918" s="46" t="n">
        <v>2917</v>
      </c>
      <c r="L2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9">
      <c r="A2919" s="229" t="n">
        <v>46239</v>
      </c>
      <c r="B2919" s="46" t="inlineStr">
        <is>
          <t>사용전검사</t>
        </is>
      </c>
      <c r="C2919" s="46" t="inlineStr">
        <is>
          <t>김포지역</t>
        </is>
      </c>
      <c r="D2919" s="46" t="inlineStr">
        <is>
          <t>김포양곡양지마을주공</t>
        </is>
      </c>
      <c r="E2919" s="46" t="inlineStr">
        <is>
          <t>변변</t>
        </is>
      </c>
      <c r="F2919" s="46" t="inlineStr">
        <is>
          <t>양곡리</t>
        </is>
      </c>
      <c r="G2919" s="50" t="n"/>
      <c r="H2919" s="51" t="n"/>
      <c r="I2919" s="46" t="inlineStr">
        <is>
          <t>한태희</t>
        </is>
      </c>
      <c r="K2919" s="46" t="n">
        <v>2918</v>
      </c>
      <c r="L2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0">
      <c r="A2920" s="229" t="n">
        <v>46239</v>
      </c>
      <c r="B2920" s="46" t="inlineStr">
        <is>
          <t>사용전검사</t>
        </is>
      </c>
      <c r="C2920" s="46" t="inlineStr">
        <is>
          <t>김포지역</t>
        </is>
      </c>
      <c r="D2920" s="46" t="inlineStr">
        <is>
          <t>아리딘</t>
        </is>
      </c>
      <c r="E2920" s="46" t="inlineStr">
        <is>
          <t>재검</t>
        </is>
      </c>
      <c r="F2920" s="46" t="n"/>
      <c r="G2920" s="50" t="n"/>
      <c r="H2920" s="51" t="n"/>
      <c r="I2920" s="46" t="inlineStr">
        <is>
          <t>당효진</t>
        </is>
      </c>
      <c r="K2920" s="46" t="n">
        <v>2919</v>
      </c>
      <c r="L2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1">
      <c r="A2921" s="229" t="n">
        <v>46240</v>
      </c>
      <c r="B2921" s="46" t="inlineStr">
        <is>
          <t>정기검사</t>
        </is>
      </c>
      <c r="C2921" s="46" t="inlineStr">
        <is>
          <t>부천지역</t>
        </is>
      </c>
      <c r="D2921" s="46" t="inlineStr">
        <is>
          <t>부천시자원센터</t>
        </is>
      </c>
      <c r="E2921" s="46" t="n">
        <v>39</v>
      </c>
      <c r="F2921" s="46" t="inlineStr">
        <is>
          <t>원미동</t>
        </is>
      </c>
      <c r="G2921" s="50" t="n">
        <v>0.3958333333333333</v>
      </c>
      <c r="H2921" s="51" t="n">
        <v>192610</v>
      </c>
      <c r="I2921" s="46" t="inlineStr">
        <is>
          <t>한태희</t>
        </is>
      </c>
      <c r="K2921" s="46" t="n">
        <v>2920</v>
      </c>
      <c r="L2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2">
      <c r="A2922" s="229" t="n">
        <v>46240</v>
      </c>
      <c r="B2922" s="46" t="inlineStr">
        <is>
          <t>정기검사</t>
        </is>
      </c>
      <c r="C2922" s="46" t="inlineStr">
        <is>
          <t>부천지역</t>
        </is>
      </c>
      <c r="D2922" s="46" t="inlineStr">
        <is>
          <t>한림</t>
        </is>
      </c>
      <c r="E2922" s="46" t="inlineStr">
        <is>
          <t>600/132</t>
        </is>
      </c>
      <c r="F2922" s="46" t="inlineStr">
        <is>
          <t>심곡동</t>
        </is>
      </c>
      <c r="G2922" s="50" t="n">
        <v>0.3958333333333333</v>
      </c>
      <c r="H2922" s="51" t="n">
        <v>946550</v>
      </c>
      <c r="I2922" s="46" t="inlineStr">
        <is>
          <t>김영권</t>
        </is>
      </c>
      <c r="K2922" s="46" t="n">
        <v>2921</v>
      </c>
      <c r="L2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3">
      <c r="A2923" s="229" t="n">
        <v>46240</v>
      </c>
      <c r="B2923" s="46" t="inlineStr">
        <is>
          <t>정기검사</t>
        </is>
      </c>
      <c r="C2923" s="46" t="inlineStr">
        <is>
          <t>부천지역</t>
        </is>
      </c>
      <c r="D2923" s="46" t="inlineStr">
        <is>
          <t>새한테크</t>
        </is>
      </c>
      <c r="E2923" s="46" t="n">
        <v>150</v>
      </c>
      <c r="F2923" s="46" t="inlineStr">
        <is>
          <t>도당동</t>
        </is>
      </c>
      <c r="G2923" s="50" t="n">
        <v>0.5</v>
      </c>
      <c r="H2923" s="51" t="n">
        <v>424160</v>
      </c>
      <c r="I2923" s="46" t="inlineStr">
        <is>
          <t>송낙명</t>
        </is>
      </c>
      <c r="K2923" s="46" t="n">
        <v>2922</v>
      </c>
      <c r="L2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4">
      <c r="A2924" s="229" t="n">
        <v>46240</v>
      </c>
      <c r="B2924" s="46" t="inlineStr">
        <is>
          <t>정기검사</t>
        </is>
      </c>
      <c r="C2924" s="46" t="inlineStr">
        <is>
          <t>부천지역</t>
        </is>
      </c>
      <c r="D2924" s="46" t="inlineStr">
        <is>
          <t>소사경찰서</t>
        </is>
      </c>
      <c r="E2924" s="46" t="n">
        <v>75</v>
      </c>
      <c r="F2924" s="46" t="inlineStr">
        <is>
          <t>옥길동</t>
        </is>
      </c>
      <c r="G2924" s="50" t="n">
        <v>0.6041666666666666</v>
      </c>
      <c r="H2924" s="51" t="n">
        <v>278520</v>
      </c>
      <c r="I2924" s="46" t="inlineStr">
        <is>
          <t>민재홍</t>
        </is>
      </c>
      <c r="K2924" s="46" t="n">
        <v>2923</v>
      </c>
      <c r="L2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5">
      <c r="A2925" s="229" t="n">
        <v>46240</v>
      </c>
      <c r="B2925" s="46" t="inlineStr">
        <is>
          <t>정기검사</t>
        </is>
      </c>
      <c r="C2925" s="46" t="inlineStr">
        <is>
          <t>김포지역</t>
        </is>
      </c>
      <c r="D2925" s="46" t="inlineStr">
        <is>
          <t>다원푸드</t>
        </is>
      </c>
      <c r="E2925" s="46" t="n">
        <v>290</v>
      </c>
      <c r="F2925" s="46" t="inlineStr">
        <is>
          <t>송마리</t>
        </is>
      </c>
      <c r="G2925" s="50" t="n">
        <v>0.4791666666666667</v>
      </c>
      <c r="H2925" s="51" t="n">
        <v>515130</v>
      </c>
      <c r="I2925" s="46" t="inlineStr">
        <is>
          <t>이덕기</t>
        </is>
      </c>
      <c r="K2925" s="46" t="n">
        <v>2924</v>
      </c>
      <c r="L2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6">
      <c r="A2926" s="229" t="n">
        <v>46240</v>
      </c>
      <c r="B2926" s="46" t="inlineStr">
        <is>
          <t>정기검사</t>
        </is>
      </c>
      <c r="C2926" s="46" t="inlineStr">
        <is>
          <t>김포지역</t>
        </is>
      </c>
      <c r="D2926" s="46" t="inlineStr">
        <is>
          <t>마송초</t>
        </is>
      </c>
      <c r="E2926" s="46" t="n">
        <v>500</v>
      </c>
      <c r="F2926" s="46" t="inlineStr">
        <is>
          <t>마송리</t>
        </is>
      </c>
      <c r="G2926" s="50" t="n">
        <v>0.5833333333333334</v>
      </c>
      <c r="H2926" s="51" t="n">
        <v>737000</v>
      </c>
      <c r="I2926" s="46" t="inlineStr">
        <is>
          <t>서수형</t>
        </is>
      </c>
      <c r="K2926" s="46" t="n">
        <v>2925</v>
      </c>
      <c r="L2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7">
      <c r="A2927" s="229" t="n">
        <v>46240</v>
      </c>
      <c r="B2927" s="46" t="inlineStr">
        <is>
          <t>정기검사</t>
        </is>
      </c>
      <c r="C2927" s="46" t="inlineStr">
        <is>
          <t>김포지역</t>
        </is>
      </c>
      <c r="D2927" s="46" t="inlineStr">
        <is>
          <t>티엠이엔지</t>
        </is>
      </c>
      <c r="E2927" s="46" t="n">
        <v>140</v>
      </c>
      <c r="F2927" s="46" t="inlineStr">
        <is>
          <t>거물대리</t>
        </is>
      </c>
      <c r="G2927" s="50" t="n">
        <v>0.3958333333333333</v>
      </c>
      <c r="H2927" s="51" t="n">
        <v>223740</v>
      </c>
      <c r="I2927" s="46" t="inlineStr">
        <is>
          <t>옹승완</t>
        </is>
      </c>
      <c r="K2927" s="46" t="n">
        <v>2926</v>
      </c>
      <c r="L2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8">
      <c r="A2928" s="229" t="n">
        <v>46240</v>
      </c>
      <c r="B2928" s="46" t="inlineStr">
        <is>
          <t>정기검사</t>
        </is>
      </c>
      <c r="C2928" s="46" t="inlineStr">
        <is>
          <t>김포지역</t>
        </is>
      </c>
      <c r="D2928" s="46" t="inlineStr">
        <is>
          <t>신아테크</t>
        </is>
      </c>
      <c r="E2928" s="46" t="n">
        <v>290</v>
      </c>
      <c r="F2928" s="46" t="inlineStr">
        <is>
          <t>학운리</t>
        </is>
      </c>
      <c r="G2928" s="50" t="n">
        <v>0.5</v>
      </c>
      <c r="H2928" s="51" t="n">
        <v>515130</v>
      </c>
      <c r="I2928" s="46" t="inlineStr">
        <is>
          <t>허록종</t>
        </is>
      </c>
      <c r="K2928" s="46" t="n">
        <v>2927</v>
      </c>
      <c r="L2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9">
      <c r="A2929" s="229" t="n">
        <v>46240</v>
      </c>
      <c r="B2929" s="46" t="inlineStr">
        <is>
          <t>정기검사</t>
        </is>
      </c>
      <c r="C2929" s="46" t="inlineStr">
        <is>
          <t>김포지역</t>
        </is>
      </c>
      <c r="D2929" s="46" t="inlineStr">
        <is>
          <t>동일스위터식</t>
        </is>
      </c>
      <c r="E2929" s="46" t="inlineStr">
        <is>
          <t>전기차</t>
        </is>
      </c>
      <c r="F2929" s="46" t="inlineStr">
        <is>
          <t>구래동</t>
        </is>
      </c>
      <c r="G2929" s="50" t="n">
        <v>0.4166666666666667</v>
      </c>
      <c r="H2929" s="51" t="n">
        <v>631730</v>
      </c>
      <c r="I2929" s="46" t="inlineStr">
        <is>
          <t>당효진</t>
        </is>
      </c>
      <c r="K2929" s="46" t="n">
        <v>2928</v>
      </c>
      <c r="L2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0">
      <c r="A2930" s="229" t="n">
        <v>46240</v>
      </c>
      <c r="B2930" s="46" t="inlineStr">
        <is>
          <t>사용전검사</t>
        </is>
      </c>
      <c r="C2930" s="46" t="inlineStr">
        <is>
          <t>부천지역</t>
        </is>
      </c>
      <c r="D2930" s="46" t="inlineStr">
        <is>
          <t>상지프라자</t>
        </is>
      </c>
      <c r="E2930" s="46" t="inlineStr">
        <is>
          <t>변변</t>
        </is>
      </c>
      <c r="F2930" s="46" t="inlineStr">
        <is>
          <t>상동</t>
        </is>
      </c>
      <c r="G2930" s="50" t="n"/>
      <c r="H2930" s="51" t="n"/>
      <c r="I2930" s="46" t="inlineStr">
        <is>
          <t>정성관</t>
        </is>
      </c>
      <c r="K2930" s="46" t="n">
        <v>2929</v>
      </c>
      <c r="L2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1">
      <c r="A2931" s="229" t="n">
        <v>46240</v>
      </c>
      <c r="B2931" s="46" t="inlineStr">
        <is>
          <t>사용전검사</t>
        </is>
      </c>
      <c r="C2931" s="46" t="inlineStr">
        <is>
          <t>부천지역</t>
        </is>
      </c>
      <c r="D2931" s="46" t="inlineStr">
        <is>
          <t>범안동가로주택</t>
        </is>
      </c>
      <c r="E2931" s="46" t="n">
        <v>14.8</v>
      </c>
      <c r="F2931" s="46" t="inlineStr">
        <is>
          <t>괴안동</t>
        </is>
      </c>
      <c r="G2931" s="50" t="n"/>
      <c r="H2931" s="51" t="n"/>
      <c r="I2931" s="46" t="inlineStr">
        <is>
          <t>김영권</t>
        </is>
      </c>
      <c r="K2931" s="46" t="n">
        <v>2930</v>
      </c>
      <c r="L2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2">
      <c r="A2932" s="229" t="n">
        <v>46240</v>
      </c>
      <c r="B2932" s="46" t="inlineStr">
        <is>
          <t>사용전검사</t>
        </is>
      </c>
      <c r="C2932" s="46" t="inlineStr">
        <is>
          <t>부천지역</t>
        </is>
      </c>
      <c r="D2932" s="46" t="inlineStr">
        <is>
          <t>부천시</t>
        </is>
      </c>
      <c r="E2932" s="46" t="n">
        <v>50</v>
      </c>
      <c r="F2932" s="46" t="inlineStr">
        <is>
          <t>소사본동</t>
        </is>
      </c>
      <c r="G2932" s="50" t="n"/>
      <c r="H2932" s="51" t="n"/>
      <c r="I2932" s="46" t="inlineStr">
        <is>
          <t>정성관</t>
        </is>
      </c>
      <c r="K2932" s="46" t="n">
        <v>2931</v>
      </c>
      <c r="L2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3">
      <c r="A2933" s="229" t="n">
        <v>46240</v>
      </c>
      <c r="B2933" s="46" t="inlineStr">
        <is>
          <t>사용전검사</t>
        </is>
      </c>
      <c r="C2933" s="46" t="inlineStr">
        <is>
          <t>부천지역</t>
        </is>
      </c>
      <c r="D2933" s="46" t="inlineStr">
        <is>
          <t>영동주택</t>
        </is>
      </c>
      <c r="E2933" s="46" t="inlineStr">
        <is>
          <t>부분</t>
        </is>
      </c>
      <c r="F2933" s="46" t="n"/>
      <c r="G2933" s="50" t="n"/>
      <c r="H2933" s="51" t="n"/>
      <c r="I2933" s="46" t="inlineStr">
        <is>
          <t>민재홍</t>
        </is>
      </c>
      <c r="K2933" s="46" t="n">
        <v>2932</v>
      </c>
      <c r="L2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4">
      <c r="A2934" s="229" t="n">
        <v>46240</v>
      </c>
      <c r="B2934" s="46" t="inlineStr">
        <is>
          <t>메모</t>
        </is>
      </c>
      <c r="C2934" s="46" t="inlineStr">
        <is>
          <t>부천지역</t>
        </is>
      </c>
      <c r="D2934" s="46" t="inlineStr">
        <is>
          <t>허창수휴가</t>
        </is>
      </c>
      <c r="E2934" s="46" t="n"/>
      <c r="F2934" s="46" t="n"/>
      <c r="G2934" s="50" t="n"/>
      <c r="H2934" s="51" t="n"/>
      <c r="I2934" s="46" t="n"/>
      <c r="K2934" s="46" t="n">
        <v>2933</v>
      </c>
      <c r="L2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5">
      <c r="A2935" s="229" t="n">
        <v>46240</v>
      </c>
      <c r="B2935" s="46" t="inlineStr">
        <is>
          <t>메모</t>
        </is>
      </c>
      <c r="C2935" s="46" t="inlineStr">
        <is>
          <t>부천지역</t>
        </is>
      </c>
      <c r="D2935" s="46" t="inlineStr">
        <is>
          <t>변종국휴가</t>
        </is>
      </c>
      <c r="E2935" s="46" t="n"/>
      <c r="F2935" s="46" t="n"/>
      <c r="G2935" s="50" t="n"/>
      <c r="H2935" s="51" t="n"/>
      <c r="I2935" s="46" t="n"/>
      <c r="K2935" s="46" t="n">
        <v>2934</v>
      </c>
      <c r="L2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6">
      <c r="A2936" s="229" t="n">
        <v>46240</v>
      </c>
      <c r="B2936" s="46" t="inlineStr">
        <is>
          <t>메모</t>
        </is>
      </c>
      <c r="C2936" s="46" t="inlineStr">
        <is>
          <t>부천지역</t>
        </is>
      </c>
      <c r="D2936" s="46" t="inlineStr">
        <is>
          <t>민재홍은 부천</t>
        </is>
      </c>
      <c r="E2936" s="46" t="n"/>
      <c r="F2936" s="46" t="n"/>
      <c r="G2936" s="50" t="n"/>
      <c r="H2936" s="51" t="n"/>
      <c r="I2936" s="46" t="n"/>
      <c r="K2936" s="46" t="n">
        <v>2935</v>
      </c>
      <c r="L2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7">
      <c r="A2937" s="229" t="n">
        <v>46240</v>
      </c>
      <c r="B2937" s="46" t="inlineStr">
        <is>
          <t>메모</t>
        </is>
      </c>
      <c r="C2937" s="46" t="inlineStr">
        <is>
          <t>부천지역</t>
        </is>
      </c>
      <c r="D2937" s="46" t="inlineStr">
        <is>
          <t>정신배휴가</t>
        </is>
      </c>
      <c r="E2937" s="46" t="n"/>
      <c r="F2937" s="46" t="n"/>
      <c r="G2937" s="50" t="n"/>
      <c r="H2937" s="51" t="n"/>
      <c r="I2937" s="46" t="n"/>
      <c r="K2937" s="46" t="n">
        <v>2936</v>
      </c>
      <c r="L2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8">
      <c r="A2938" s="229" t="n">
        <v>46240</v>
      </c>
      <c r="B2938" s="46" t="inlineStr">
        <is>
          <t>사용전검사</t>
        </is>
      </c>
      <c r="C2938" s="46" t="inlineStr">
        <is>
          <t>김포지역</t>
        </is>
      </c>
      <c r="D2938" s="46" t="inlineStr">
        <is>
          <t>골드팡</t>
        </is>
      </c>
      <c r="E2938" s="46" t="n">
        <v>35</v>
      </c>
      <c r="F2938" s="46" t="inlineStr">
        <is>
          <t>원산리</t>
        </is>
      </c>
      <c r="G2938" s="50" t="n"/>
      <c r="H2938" s="51" t="n"/>
      <c r="I2938" s="46" t="inlineStr">
        <is>
          <t>이종석</t>
        </is>
      </c>
      <c r="K2938" s="46" t="n">
        <v>2937</v>
      </c>
      <c r="L2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9">
      <c r="A2939" s="229" t="n">
        <v>46240</v>
      </c>
      <c r="B2939" s="46" t="inlineStr">
        <is>
          <t>사용전검사</t>
        </is>
      </c>
      <c r="C2939" s="46" t="inlineStr">
        <is>
          <t>김포지역</t>
        </is>
      </c>
      <c r="D2939" s="46" t="inlineStr">
        <is>
          <t>나도산업</t>
        </is>
      </c>
      <c r="E2939" s="46" t="n">
        <v>149</v>
      </c>
      <c r="F2939" s="46" t="inlineStr">
        <is>
          <t>귀전리</t>
        </is>
      </c>
      <c r="G2939" s="50" t="n"/>
      <c r="H2939" s="51" t="n"/>
      <c r="I2939" s="46" t="inlineStr">
        <is>
          <t>이종석</t>
        </is>
      </c>
      <c r="K2939" s="46" t="n">
        <v>2938</v>
      </c>
      <c r="L2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0">
      <c r="A2940" s="229" t="n">
        <v>46241</v>
      </c>
      <c r="B2940" s="46" t="inlineStr">
        <is>
          <t>정기검사</t>
        </is>
      </c>
      <c r="C2940" s="46" t="inlineStr">
        <is>
          <t>부천지역</t>
        </is>
      </c>
      <c r="D2940" s="46" t="inlineStr">
        <is>
          <t>석천초</t>
        </is>
      </c>
      <c r="E2940" s="46" t="inlineStr">
        <is>
          <t>700/236</t>
        </is>
      </c>
      <c r="F2940" s="46" t="inlineStr">
        <is>
          <t>상동</t>
        </is>
      </c>
      <c r="G2940" s="50" t="n">
        <v>0.3958333333333333</v>
      </c>
      <c r="H2940" s="51" t="n">
        <v>1011120</v>
      </c>
      <c r="I2940" s="46" t="inlineStr">
        <is>
          <t>정성관</t>
        </is>
      </c>
      <c r="K2940" s="46" t="n">
        <v>2939</v>
      </c>
      <c r="L2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1">
      <c r="A2941" s="229" t="n">
        <v>46241</v>
      </c>
      <c r="B2941" s="46" t="inlineStr">
        <is>
          <t>정기검사</t>
        </is>
      </c>
      <c r="C2941" s="46" t="inlineStr">
        <is>
          <t>부천지역</t>
        </is>
      </c>
      <c r="D2941" s="46" t="inlineStr">
        <is>
          <t>의성테크</t>
        </is>
      </c>
      <c r="E2941" s="46" t="inlineStr">
        <is>
          <t>ups</t>
        </is>
      </c>
      <c r="F2941" s="46" t="inlineStr">
        <is>
          <t>송내동</t>
        </is>
      </c>
      <c r="G2941" s="50" t="n">
        <v>0.6041666666666666</v>
      </c>
      <c r="H2941" s="51" t="n">
        <v>280610</v>
      </c>
      <c r="I2941" s="46" t="inlineStr">
        <is>
          <t>김영권</t>
        </is>
      </c>
      <c r="K2941" s="46" t="n">
        <v>2940</v>
      </c>
      <c r="L2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2">
      <c r="A2942" s="229" t="n">
        <v>46241</v>
      </c>
      <c r="B2942" s="46" t="inlineStr">
        <is>
          <t>정기검사</t>
        </is>
      </c>
      <c r="C2942" s="46" t="inlineStr">
        <is>
          <t>부천지역</t>
        </is>
      </c>
      <c r="D2942" s="46" t="inlineStr">
        <is>
          <t>리슈빌</t>
        </is>
      </c>
      <c r="E2942" s="46" t="inlineStr">
        <is>
          <t>전기차</t>
        </is>
      </c>
      <c r="F2942" s="46" t="n"/>
      <c r="G2942" s="50" t="n">
        <v>0.4166666666666667</v>
      </c>
      <c r="H2942" s="51" t="n">
        <v>123530</v>
      </c>
      <c r="I2942" s="46" t="inlineStr">
        <is>
          <t>한태희</t>
        </is>
      </c>
      <c r="K2942" s="46" t="n">
        <v>2941</v>
      </c>
      <c r="L2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3">
      <c r="A2943" s="229" t="n">
        <v>46241</v>
      </c>
      <c r="B2943" s="46" t="inlineStr">
        <is>
          <t>정기검사</t>
        </is>
      </c>
      <c r="C2943" s="46" t="inlineStr">
        <is>
          <t>부천지역</t>
        </is>
      </c>
      <c r="D2943" s="46" t="inlineStr">
        <is>
          <t>에이플러스빌</t>
        </is>
      </c>
      <c r="E2943" s="46" t="inlineStr">
        <is>
          <t>600/272</t>
        </is>
      </c>
      <c r="F2943" s="46" t="inlineStr">
        <is>
          <t>상동</t>
        </is>
      </c>
      <c r="G2943" s="50" t="n">
        <v>0.3958333333333333</v>
      </c>
      <c r="H2943" s="51" t="n">
        <v>988240</v>
      </c>
      <c r="I2943" s="46" t="inlineStr">
        <is>
          <t>한태희</t>
        </is>
      </c>
      <c r="K2943" s="46" t="n">
        <v>2942</v>
      </c>
      <c r="L2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4">
      <c r="A2944" s="229" t="n">
        <v>46241</v>
      </c>
      <c r="B2944" s="46" t="inlineStr">
        <is>
          <t>정기검사</t>
        </is>
      </c>
      <c r="C2944" s="46" t="inlineStr">
        <is>
          <t>부천지역</t>
        </is>
      </c>
      <c r="D2944" s="46" t="inlineStr">
        <is>
          <t>두산상가</t>
        </is>
      </c>
      <c r="E2944" s="46" t="n">
        <v>250</v>
      </c>
      <c r="F2944" s="46" t="inlineStr">
        <is>
          <t>원미동</t>
        </is>
      </c>
      <c r="G2944" s="50" t="n">
        <v>0.5</v>
      </c>
      <c r="H2944" s="51" t="n">
        <v>489170</v>
      </c>
      <c r="I2944" s="46" t="inlineStr">
        <is>
          <t>이종석</t>
        </is>
      </c>
      <c r="K2944" s="46" t="n">
        <v>2943</v>
      </c>
      <c r="L2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5">
      <c r="A2945" s="229" t="n">
        <v>46241</v>
      </c>
      <c r="B2945" s="46" t="inlineStr">
        <is>
          <t>정기검사</t>
        </is>
      </c>
      <c r="C2945" s="46" t="inlineStr">
        <is>
          <t>부천지역</t>
        </is>
      </c>
      <c r="D2945" s="46" t="inlineStr">
        <is>
          <t>yk</t>
        </is>
      </c>
      <c r="E2945" s="46" t="n">
        <v>450</v>
      </c>
      <c r="F2945" s="46" t="inlineStr">
        <is>
          <t>내동</t>
        </is>
      </c>
      <c r="G2945" s="50" t="n">
        <v>0.5</v>
      </c>
      <c r="H2945" s="51" t="n">
        <v>720060</v>
      </c>
      <c r="I2945" s="46" t="inlineStr">
        <is>
          <t>송낙명</t>
        </is>
      </c>
      <c r="K2945" s="46" t="n">
        <v>2944</v>
      </c>
      <c r="L2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6">
      <c r="A2946" s="229" t="n">
        <v>46241</v>
      </c>
      <c r="B2946" s="46" t="inlineStr">
        <is>
          <t>정기검사</t>
        </is>
      </c>
      <c r="C2946" s="46" t="inlineStr">
        <is>
          <t>김포지역</t>
        </is>
      </c>
      <c r="D2946" s="46" t="inlineStr">
        <is>
          <t>지피엠</t>
        </is>
      </c>
      <c r="E2946" s="46" t="n">
        <v>2700</v>
      </c>
      <c r="F2946" s="46" t="inlineStr">
        <is>
          <t>학운리</t>
        </is>
      </c>
      <c r="G2946" s="50" t="n">
        <v>0.3958333333333333</v>
      </c>
      <c r="H2946" s="51" t="n">
        <v>1155110</v>
      </c>
      <c r="I2946" s="46" t="inlineStr">
        <is>
          <t>이덕기</t>
        </is>
      </c>
      <c r="K2946" s="46" t="n">
        <v>2945</v>
      </c>
      <c r="L2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7">
      <c r="A2947" s="229" t="n">
        <v>46241</v>
      </c>
      <c r="B2947" s="46" t="inlineStr">
        <is>
          <t>정기검사</t>
        </is>
      </c>
      <c r="C2947" s="46" t="inlineStr">
        <is>
          <t>김포지역</t>
        </is>
      </c>
      <c r="D2947" s="46" t="inlineStr">
        <is>
          <t>용일기업</t>
        </is>
      </c>
      <c r="E2947" s="46" t="n">
        <v>200</v>
      </c>
      <c r="F2947" s="46" t="inlineStr">
        <is>
          <t>송마리</t>
        </is>
      </c>
      <c r="G2947" s="50" t="n">
        <v>0.5</v>
      </c>
      <c r="H2947" s="51" t="n">
        <v>456720</v>
      </c>
      <c r="I2947" s="46" t="inlineStr">
        <is>
          <t>허록종</t>
        </is>
      </c>
      <c r="K2947" s="46" t="n">
        <v>2946</v>
      </c>
      <c r="L2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8">
      <c r="A2948" s="229" t="n">
        <v>46241</v>
      </c>
      <c r="B2948" s="46" t="inlineStr">
        <is>
          <t>정기검사</t>
        </is>
      </c>
      <c r="C2948" s="46" t="inlineStr">
        <is>
          <t>김포지역</t>
        </is>
      </c>
      <c r="D2948" s="46" t="inlineStr">
        <is>
          <t>김포건재빌딩</t>
        </is>
      </c>
      <c r="E2948" s="46" t="n">
        <v>3</v>
      </c>
      <c r="F2948" s="46" t="inlineStr">
        <is>
          <t>북변동</t>
        </is>
      </c>
      <c r="G2948" s="50" t="n">
        <v>0.4791666666666667</v>
      </c>
      <c r="H2948" s="51" t="n">
        <v>89210</v>
      </c>
      <c r="I2948" s="46" t="inlineStr">
        <is>
          <t>이덕기</t>
        </is>
      </c>
      <c r="K2948" s="46" t="n">
        <v>2947</v>
      </c>
      <c r="L2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9">
      <c r="A2949" s="229" t="n">
        <v>46241</v>
      </c>
      <c r="B2949" s="46" t="inlineStr">
        <is>
          <t>정기검사</t>
        </is>
      </c>
      <c r="C2949" s="46" t="inlineStr">
        <is>
          <t>김포지역</t>
        </is>
      </c>
      <c r="D2949" s="46" t="inlineStr">
        <is>
          <t>신세계</t>
        </is>
      </c>
      <c r="E2949" s="46" t="inlineStr">
        <is>
          <t>ups</t>
        </is>
      </c>
      <c r="F2949" s="46" t="inlineStr">
        <is>
          <t>장기동</t>
        </is>
      </c>
      <c r="G2949" s="50" t="n">
        <v>0.4166666666666667</v>
      </c>
      <c r="H2949" s="51" t="n">
        <v>7205000</v>
      </c>
      <c r="I2949" s="46" t="inlineStr">
        <is>
          <t>당효진</t>
        </is>
      </c>
      <c r="K2949" s="46" t="n">
        <v>2948</v>
      </c>
      <c r="L2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0">
      <c r="A2950" s="229" t="n">
        <v>46241</v>
      </c>
      <c r="B2950" s="46" t="inlineStr">
        <is>
          <t>사용전검사</t>
        </is>
      </c>
      <c r="C2950" s="46" t="inlineStr">
        <is>
          <t>부천지역</t>
        </is>
      </c>
      <c r="D2950" s="46" t="inlineStr">
        <is>
          <t>석호태양광</t>
        </is>
      </c>
      <c r="E2950" s="46" t="n">
        <v>19</v>
      </c>
      <c r="F2950" s="46" t="inlineStr">
        <is>
          <t>소사본동</t>
        </is>
      </c>
      <c r="G2950" s="50" t="n"/>
      <c r="H2950" s="51" t="n"/>
      <c r="I2950" s="46" t="inlineStr">
        <is>
          <t>김영권</t>
        </is>
      </c>
      <c r="K2950" s="46" t="n">
        <v>2949</v>
      </c>
      <c r="L2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1">
      <c r="A2951" s="229" t="n">
        <v>46241</v>
      </c>
      <c r="B2951" s="46" t="inlineStr">
        <is>
          <t>사용전검사</t>
        </is>
      </c>
      <c r="C2951" s="46" t="inlineStr">
        <is>
          <t>부천지역</t>
        </is>
      </c>
      <c r="D2951" s="46" t="inlineStr">
        <is>
          <t>송내재건축</t>
        </is>
      </c>
      <c r="E2951" s="46" t="n">
        <v>180</v>
      </c>
      <c r="F2951" s="46" t="inlineStr">
        <is>
          <t>송내동</t>
        </is>
      </c>
      <c r="G2951" s="50" t="n"/>
      <c r="H2951" s="51" t="n"/>
      <c r="I2951" s="46" t="inlineStr">
        <is>
          <t>김영권</t>
        </is>
      </c>
      <c r="K2951" s="46" t="n">
        <v>2950</v>
      </c>
      <c r="L2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2">
      <c r="A2952" s="229" t="n">
        <v>46241</v>
      </c>
      <c r="B2952" s="46" t="inlineStr">
        <is>
          <t>메모</t>
        </is>
      </c>
      <c r="C2952" s="46" t="inlineStr">
        <is>
          <t>부천지역</t>
        </is>
      </c>
      <c r="D2952" s="46" t="inlineStr">
        <is>
          <t>허창수휴가</t>
        </is>
      </c>
      <c r="E2952" s="46" t="n"/>
      <c r="F2952" s="46" t="n"/>
      <c r="G2952" s="50" t="n"/>
      <c r="H2952" s="51" t="n"/>
      <c r="I2952" s="46" t="n"/>
      <c r="K2952" s="46" t="n">
        <v>2951</v>
      </c>
      <c r="L2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3">
      <c r="A2953" s="229" t="n">
        <v>46241</v>
      </c>
      <c r="B2953" s="46" t="inlineStr">
        <is>
          <t>메모</t>
        </is>
      </c>
      <c r="C2953" s="46" t="inlineStr">
        <is>
          <t>부천지역</t>
        </is>
      </c>
      <c r="D2953" s="46" t="inlineStr">
        <is>
          <t>정신배휴가</t>
        </is>
      </c>
      <c r="E2953" s="46" t="inlineStr">
        <is>
          <t>정성관-이종석</t>
        </is>
      </c>
      <c r="F2953" s="46" t="n"/>
      <c r="G2953" s="50" t="n"/>
      <c r="H2953" s="51" t="n"/>
      <c r="I2953" s="46" t="n"/>
      <c r="K2953" s="46" t="n">
        <v>2952</v>
      </c>
      <c r="L2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4">
      <c r="A2954" s="229" t="n">
        <v>46241</v>
      </c>
      <c r="B2954" s="46" t="inlineStr">
        <is>
          <t>메모</t>
        </is>
      </c>
      <c r="C2954" s="46" t="inlineStr">
        <is>
          <t>부천지역</t>
        </is>
      </c>
      <c r="D2954" s="46" t="inlineStr">
        <is>
          <t>변종국휴가</t>
        </is>
      </c>
      <c r="E2954" s="46" t="n"/>
      <c r="F2954" s="46" t="n"/>
      <c r="G2954" s="50" t="n"/>
      <c r="H2954" s="51" t="n"/>
      <c r="I2954" s="46" t="n"/>
      <c r="K2954" s="46" t="n">
        <v>2953</v>
      </c>
      <c r="L2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5">
      <c r="A2955" s="229" t="n">
        <v>46241</v>
      </c>
      <c r="B2955" s="46" t="inlineStr">
        <is>
          <t>메모</t>
        </is>
      </c>
      <c r="C2955" s="46" t="inlineStr">
        <is>
          <t>부천지역</t>
        </is>
      </c>
      <c r="D2955" s="46" t="inlineStr">
        <is>
          <t>서수형휴가</t>
        </is>
      </c>
      <c r="E2955" s="46" t="n"/>
      <c r="F2955" s="46" t="n"/>
      <c r="G2955" s="50" t="n"/>
      <c r="H2955" s="51" t="n"/>
      <c r="I2955" s="46" t="n"/>
      <c r="K2955" s="46" t="n">
        <v>2954</v>
      </c>
      <c r="L2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6">
      <c r="A2956" s="229" t="n">
        <v>46241</v>
      </c>
      <c r="B2956" s="46" t="inlineStr">
        <is>
          <t>메모</t>
        </is>
      </c>
      <c r="C2956" s="46" t="inlineStr">
        <is>
          <t>부천지역</t>
        </is>
      </c>
      <c r="D2956" s="46" t="inlineStr">
        <is>
          <t>민재홍휴가</t>
        </is>
      </c>
      <c r="E2956" s="46" t="n"/>
      <c r="F2956" s="46" t="n"/>
      <c r="G2956" s="50" t="n"/>
      <c r="H2956" s="51" t="n"/>
      <c r="I2956" s="46" t="n"/>
      <c r="K2956" s="46" t="n">
        <v>2955</v>
      </c>
      <c r="L2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7">
      <c r="A2957" s="229" t="n">
        <v>46241</v>
      </c>
      <c r="B2957" s="46" t="inlineStr">
        <is>
          <t>사용전검사</t>
        </is>
      </c>
      <c r="C2957" s="46" t="inlineStr">
        <is>
          <t>김포지역</t>
        </is>
      </c>
      <c r="D2957" s="46" t="inlineStr">
        <is>
          <t>늘한빛금속</t>
        </is>
      </c>
      <c r="E2957" s="46" t="n">
        <v>89</v>
      </c>
      <c r="F2957" s="46" t="inlineStr">
        <is>
          <t>학운리</t>
        </is>
      </c>
      <c r="G2957" s="50" t="n"/>
      <c r="H2957" s="51" t="n"/>
      <c r="I2957" s="46" t="inlineStr">
        <is>
          <t>옹승완</t>
        </is>
      </c>
      <c r="K2957" s="46" t="n">
        <v>2956</v>
      </c>
      <c r="L2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8">
      <c r="A2958" s="229" t="n">
        <v>46242</v>
      </c>
      <c r="B2958" s="46" t="inlineStr">
        <is>
          <t>정기검사</t>
        </is>
      </c>
      <c r="C2958" s="46" t="inlineStr">
        <is>
          <t>부천지역</t>
        </is>
      </c>
      <c r="D2958" s="46" t="inlineStr">
        <is>
          <t>SK시그넷</t>
        </is>
      </c>
      <c r="E2958" s="46" t="n">
        <v>4050</v>
      </c>
      <c r="F2958" s="46" t="inlineStr">
        <is>
          <t>옥길동</t>
        </is>
      </c>
      <c r="G2958" s="50" t="n">
        <v>0.4583333333333333</v>
      </c>
      <c r="H2958" s="51" t="n">
        <v>1785350</v>
      </c>
      <c r="I2958" s="46" t="inlineStr">
        <is>
          <t>허록종</t>
        </is>
      </c>
      <c r="K2958" s="46" t="n">
        <v>2957</v>
      </c>
      <c r="L2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9">
      <c r="A2959" s="229" t="n">
        <v>46242</v>
      </c>
      <c r="B2959" s="46" t="inlineStr">
        <is>
          <t>메모</t>
        </is>
      </c>
      <c r="C2959" s="46" t="inlineStr">
        <is>
          <t>부천지역</t>
        </is>
      </c>
      <c r="D2959" s="46" t="inlineStr">
        <is>
          <t>김영권</t>
        </is>
      </c>
      <c r="E2959" s="46" t="n"/>
      <c r="F2959" s="46" t="n"/>
      <c r="G2959" s="50" t="n"/>
      <c r="H2959" s="51" t="n"/>
      <c r="I2959" s="46" t="n"/>
      <c r="K2959" s="46" t="n">
        <v>2958</v>
      </c>
      <c r="L2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0">
      <c r="A2960" s="229" t="n">
        <v>46242</v>
      </c>
      <c r="B2960" s="46" t="inlineStr">
        <is>
          <t>메모</t>
        </is>
      </c>
      <c r="C2960" s="46" t="inlineStr">
        <is>
          <t>부천지역</t>
        </is>
      </c>
      <c r="D2960" s="46" t="inlineStr">
        <is>
          <t>민재홍휴가</t>
        </is>
      </c>
      <c r="E2960" s="46" t="n"/>
      <c r="F2960" s="46" t="n"/>
      <c r="G2960" s="50" t="n"/>
      <c r="H2960" s="51" t="n"/>
      <c r="I2960" s="46" t="n"/>
      <c r="K2960" s="46" t="n">
        <v>2959</v>
      </c>
      <c r="L2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1">
      <c r="A2961" s="229" t="n">
        <v>46242</v>
      </c>
      <c r="B2961" s="46" t="inlineStr">
        <is>
          <t>메모</t>
        </is>
      </c>
      <c r="C2961" s="46" t="inlineStr">
        <is>
          <t>부천지역</t>
        </is>
      </c>
      <c r="D2961" s="46" t="inlineStr">
        <is>
          <t>변종국휴가</t>
        </is>
      </c>
      <c r="E2961" s="46" t="n"/>
      <c r="F2961" s="46" t="n"/>
      <c r="G2961" s="50" t="n"/>
      <c r="H2961" s="51" t="n"/>
      <c r="I2961" s="46" t="n"/>
      <c r="K2961" s="46" t="n">
        <v>2960</v>
      </c>
      <c r="L2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2">
      <c r="A2962" s="229" t="n">
        <v>46242</v>
      </c>
      <c r="B2962" s="46" t="inlineStr">
        <is>
          <t>메모</t>
        </is>
      </c>
      <c r="C2962" s="46" t="inlineStr">
        <is>
          <t>부천지역</t>
        </is>
      </c>
      <c r="D2962" s="46" t="inlineStr">
        <is>
          <t>서수형휴가</t>
        </is>
      </c>
      <c r="E2962" s="46" t="n"/>
      <c r="F2962" s="46" t="n"/>
      <c r="G2962" s="50" t="n"/>
      <c r="H2962" s="51" t="n"/>
      <c r="I2962" s="46" t="n"/>
      <c r="K2962" s="46" t="n">
        <v>2961</v>
      </c>
      <c r="L2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3">
      <c r="A2963" s="229" t="n">
        <v>46242</v>
      </c>
      <c r="B2963" s="46" t="inlineStr">
        <is>
          <t>메모</t>
        </is>
      </c>
      <c r="C2963" s="46" t="inlineStr">
        <is>
          <t>부천지역</t>
        </is>
      </c>
      <c r="D2963" s="46" t="inlineStr">
        <is>
          <t>허창수휴가</t>
        </is>
      </c>
      <c r="E2963" s="46" t="n"/>
      <c r="F2963" s="46" t="n"/>
      <c r="G2963" s="50" t="n"/>
      <c r="H2963" s="51" t="n"/>
      <c r="I2963" s="46" t="n"/>
      <c r="K2963" s="46" t="n">
        <v>2962</v>
      </c>
      <c r="L2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4">
      <c r="A2964" s="229" t="n">
        <v>46243</v>
      </c>
      <c r="B2964" s="46" t="inlineStr">
        <is>
          <t>메모</t>
        </is>
      </c>
      <c r="C2964" s="46" t="inlineStr">
        <is>
          <t>부천지역</t>
        </is>
      </c>
      <c r="D2964" s="46" t="inlineStr">
        <is>
          <t>민재홍휴가</t>
        </is>
      </c>
      <c r="E2964" s="46" t="n"/>
      <c r="F2964" s="46" t="n"/>
      <c r="G2964" s="50" t="n"/>
      <c r="H2964" s="51" t="n"/>
      <c r="I2964" s="46" t="n"/>
      <c r="K2964" s="46" t="n">
        <v>2963</v>
      </c>
      <c r="L2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5">
      <c r="A2965" s="229" t="n">
        <v>46243</v>
      </c>
      <c r="B2965" s="46" t="inlineStr">
        <is>
          <t>메모</t>
        </is>
      </c>
      <c r="C2965" s="46" t="inlineStr">
        <is>
          <t>부천지역</t>
        </is>
      </c>
      <c r="D2965" s="46" t="inlineStr">
        <is>
          <t>옹승완휴가</t>
        </is>
      </c>
      <c r="E2965" s="46" t="n"/>
      <c r="F2965" s="46" t="n"/>
      <c r="G2965" s="50" t="n"/>
      <c r="H2965" s="51" t="n"/>
      <c r="I2965" s="46" t="n"/>
      <c r="K2965" s="46" t="n">
        <v>2964</v>
      </c>
      <c r="L2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6">
      <c r="A2966" s="229" t="n">
        <v>46243</v>
      </c>
      <c r="B2966" s="46" t="inlineStr">
        <is>
          <t>메모</t>
        </is>
      </c>
      <c r="C2966" s="46" t="inlineStr">
        <is>
          <t>부천지역</t>
        </is>
      </c>
      <c r="D2966" s="46" t="inlineStr">
        <is>
          <t>변종국휴가</t>
        </is>
      </c>
      <c r="E2966" s="46" t="n"/>
      <c r="F2966" s="46" t="n"/>
      <c r="G2966" s="50" t="n"/>
      <c r="H2966" s="51" t="n"/>
      <c r="I2966" s="46" t="n"/>
      <c r="K2966" s="46" t="n">
        <v>2965</v>
      </c>
      <c r="L2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7">
      <c r="A2967" s="229" t="n">
        <v>46243</v>
      </c>
      <c r="B2967" s="46" t="inlineStr">
        <is>
          <t>메모</t>
        </is>
      </c>
      <c r="C2967" s="46" t="inlineStr">
        <is>
          <t>부천지역</t>
        </is>
      </c>
      <c r="D2967" s="46" t="inlineStr">
        <is>
          <t>서수형휴가</t>
        </is>
      </c>
      <c r="E2967" s="46" t="n"/>
      <c r="F2967" s="46" t="n"/>
      <c r="G2967" s="50" t="n"/>
      <c r="H2967" s="51" t="n"/>
      <c r="I2967" s="46" t="n"/>
      <c r="K2967" s="46" t="n">
        <v>2966</v>
      </c>
      <c r="L2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8">
      <c r="A2968" s="229" t="n">
        <v>46243</v>
      </c>
      <c r="B2968" s="46" t="inlineStr">
        <is>
          <t>메모</t>
        </is>
      </c>
      <c r="C2968" s="46" t="inlineStr">
        <is>
          <t>부천지역</t>
        </is>
      </c>
      <c r="D2968" s="46" t="inlineStr">
        <is>
          <t>허창수휴가</t>
        </is>
      </c>
      <c r="E2968" s="46" t="n"/>
      <c r="F2968" s="46" t="n"/>
      <c r="G2968" s="50" t="n"/>
      <c r="H2968" s="51" t="n"/>
      <c r="I2968" s="46" t="n"/>
      <c r="K2968" s="46" t="n">
        <v>2967</v>
      </c>
      <c r="L2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9">
      <c r="A2969" s="229" t="n">
        <v>46244</v>
      </c>
      <c r="B2969" s="46" t="inlineStr">
        <is>
          <t>정기검사</t>
        </is>
      </c>
      <c r="C2969" s="46" t="inlineStr">
        <is>
          <t>부천지역</t>
        </is>
      </c>
      <c r="D2969" s="46" t="inlineStr">
        <is>
          <t>아리아코스메틱</t>
        </is>
      </c>
      <c r="E2969" s="46" t="n">
        <v>290</v>
      </c>
      <c r="F2969" s="46" t="inlineStr">
        <is>
          <t>도당동</t>
        </is>
      </c>
      <c r="G2969" s="50" t="n">
        <v>0.3958333333333333</v>
      </c>
      <c r="H2969" s="51" t="n">
        <v>515130</v>
      </c>
      <c r="I2969" s="46" t="inlineStr">
        <is>
          <t>허록종</t>
        </is>
      </c>
      <c r="K2969" s="46" t="n">
        <v>2968</v>
      </c>
      <c r="L2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0">
      <c r="A2970" s="229" t="n">
        <v>46244</v>
      </c>
      <c r="B2970" s="46" t="inlineStr">
        <is>
          <t>정기검사</t>
        </is>
      </c>
      <c r="C2970" s="46" t="inlineStr">
        <is>
          <t>부천지역</t>
        </is>
      </c>
      <c r="D2970" s="46" t="inlineStr">
        <is>
          <t>보경테크</t>
        </is>
      </c>
      <c r="E2970" s="46" t="n">
        <v>200</v>
      </c>
      <c r="F2970" s="46" t="inlineStr">
        <is>
          <t>오정동</t>
        </is>
      </c>
      <c r="G2970" s="50" t="n">
        <v>0.4791666666666667</v>
      </c>
      <c r="H2970" s="51" t="n">
        <v>456720</v>
      </c>
      <c r="I2970" s="46" t="inlineStr">
        <is>
          <t>변종국</t>
        </is>
      </c>
      <c r="K2970" s="46" t="n">
        <v>2969</v>
      </c>
      <c r="L2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1">
      <c r="A2971" s="229" t="n">
        <v>46244</v>
      </c>
      <c r="B2971" s="46" t="inlineStr">
        <is>
          <t>정기검사</t>
        </is>
      </c>
      <c r="C2971" s="46" t="inlineStr">
        <is>
          <t>부천지역</t>
        </is>
      </c>
      <c r="D2971" s="46" t="inlineStr">
        <is>
          <t>협성공업</t>
        </is>
      </c>
      <c r="E2971" s="46" t="n">
        <v>400</v>
      </c>
      <c r="F2971" s="46" t="inlineStr">
        <is>
          <t>도당동</t>
        </is>
      </c>
      <c r="G2971" s="50" t="n">
        <v>0.3958333333333333</v>
      </c>
      <c r="H2971" s="51" t="n">
        <v>703120</v>
      </c>
      <c r="I2971" s="46" t="inlineStr">
        <is>
          <t>한태희</t>
        </is>
      </c>
      <c r="K2971" s="46" t="n">
        <v>2970</v>
      </c>
      <c r="L2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2">
      <c r="A2972" s="229" t="n">
        <v>46244</v>
      </c>
      <c r="B2972" s="46" t="inlineStr">
        <is>
          <t>정기검사</t>
        </is>
      </c>
      <c r="C2972" s="46" t="inlineStr">
        <is>
          <t>부천지역</t>
        </is>
      </c>
      <c r="D2972" s="46" t="inlineStr">
        <is>
          <t>힐스테이트중동</t>
        </is>
      </c>
      <c r="E2972" s="46" t="inlineStr">
        <is>
          <t>전기차</t>
        </is>
      </c>
      <c r="F2972" s="46" t="inlineStr">
        <is>
          <t>중동</t>
        </is>
      </c>
      <c r="G2972" s="50" t="n">
        <v>0.3958333333333333</v>
      </c>
      <c r="H2972" s="51" t="n">
        <v>322300</v>
      </c>
      <c r="I2972" s="46" t="inlineStr">
        <is>
          <t>당효진</t>
        </is>
      </c>
      <c r="K2972" s="46" t="n">
        <v>2971</v>
      </c>
      <c r="L2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3">
      <c r="A2973" s="229" t="n">
        <v>46244</v>
      </c>
      <c r="B2973" s="46" t="inlineStr">
        <is>
          <t>정기검사</t>
        </is>
      </c>
      <c r="C2973" s="46" t="inlineStr">
        <is>
          <t>부천지역</t>
        </is>
      </c>
      <c r="D2973" s="46" t="inlineStr">
        <is>
          <t>위브더상가</t>
        </is>
      </c>
      <c r="E2973" s="46" t="inlineStr">
        <is>
          <t>재검</t>
        </is>
      </c>
      <c r="F2973" s="46" t="n"/>
      <c r="G2973" s="50" t="n">
        <v>0.4166666666666667</v>
      </c>
      <c r="H2973" s="51" t="n"/>
      <c r="I2973" s="46" t="inlineStr">
        <is>
          <t>이종석</t>
        </is>
      </c>
      <c r="K2973" s="46" t="n">
        <v>2972</v>
      </c>
      <c r="L2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4">
      <c r="A2974" s="229" t="n">
        <v>46244</v>
      </c>
      <c r="B2974" s="46" t="inlineStr">
        <is>
          <t>정기검사</t>
        </is>
      </c>
      <c r="C2974" s="46" t="inlineStr">
        <is>
          <t>부천지역</t>
        </is>
      </c>
      <c r="D2974" s="46" t="inlineStr">
        <is>
          <t>반도건설</t>
        </is>
      </c>
      <c r="E2974" s="46" t="n">
        <v>500</v>
      </c>
      <c r="F2974" s="46" t="inlineStr">
        <is>
          <t>도당동</t>
        </is>
      </c>
      <c r="G2974" s="50" t="n">
        <v>0.4791666666666667</v>
      </c>
      <c r="H2974" s="51" t="n">
        <v>737000</v>
      </c>
      <c r="I2974" s="46" t="inlineStr">
        <is>
          <t>당효진</t>
        </is>
      </c>
      <c r="K2974" s="46" t="n">
        <v>2973</v>
      </c>
      <c r="L2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5">
      <c r="A2975" s="229" t="n">
        <v>46244</v>
      </c>
      <c r="B2975" s="46" t="inlineStr">
        <is>
          <t>정기검사</t>
        </is>
      </c>
      <c r="C2975" s="46" t="inlineStr">
        <is>
          <t>김포지역</t>
        </is>
      </c>
      <c r="D2975" s="46" t="inlineStr">
        <is>
          <t>투엑스솔루션</t>
        </is>
      </c>
      <c r="E2975" s="46" t="n">
        <v>300</v>
      </c>
      <c r="F2975" s="46" t="inlineStr">
        <is>
          <t>가현리</t>
        </is>
      </c>
      <c r="G2975" s="50" t="n">
        <v>0.4583333333333333</v>
      </c>
      <c r="H2975" s="51" t="n">
        <v>521730</v>
      </c>
      <c r="I2975" s="46" t="inlineStr">
        <is>
          <t>김영권</t>
        </is>
      </c>
      <c r="K2975" s="46" t="n">
        <v>2974</v>
      </c>
      <c r="L2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6">
      <c r="A2976" s="229" t="n">
        <v>46244</v>
      </c>
      <c r="B2976" s="46" t="inlineStr">
        <is>
          <t>정기검사</t>
        </is>
      </c>
      <c r="C2976" s="46" t="inlineStr">
        <is>
          <t>김포지역</t>
        </is>
      </c>
      <c r="D2976" s="46" t="inlineStr">
        <is>
          <t>평화누리길만사</t>
        </is>
      </c>
      <c r="E2976" s="46" t="n">
        <v>16</v>
      </c>
      <c r="F2976" s="46" t="inlineStr">
        <is>
          <t>조강리</t>
        </is>
      </c>
      <c r="G2976" s="50" t="n">
        <v>0.4583333333333333</v>
      </c>
      <c r="H2976" s="51" t="n">
        <v>93280</v>
      </c>
      <c r="I2976" s="46" t="inlineStr">
        <is>
          <t>정성관</t>
        </is>
      </c>
      <c r="K2976" s="46" t="n">
        <v>2975</v>
      </c>
      <c r="L2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7">
      <c r="A2977" s="229" t="n">
        <v>46244</v>
      </c>
      <c r="B2977" s="46" t="inlineStr">
        <is>
          <t>정기검사</t>
        </is>
      </c>
      <c r="C2977" s="46" t="inlineStr">
        <is>
          <t>김포지역</t>
        </is>
      </c>
      <c r="D2977" s="46" t="inlineStr">
        <is>
          <t>한국소재산업</t>
        </is>
      </c>
      <c r="E2977" s="46" t="n">
        <v>540</v>
      </c>
      <c r="F2977" s="46" t="inlineStr">
        <is>
          <t>상마리</t>
        </is>
      </c>
      <c r="G2977" s="50" t="n">
        <v>0.4791666666666667</v>
      </c>
      <c r="H2977" s="51" t="n">
        <v>750530</v>
      </c>
      <c r="I2977" s="46" t="inlineStr">
        <is>
          <t>허창수</t>
        </is>
      </c>
      <c r="K2977" s="46" t="n">
        <v>2976</v>
      </c>
      <c r="L2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8">
      <c r="A2978" s="229" t="n">
        <v>46244</v>
      </c>
      <c r="B2978" s="46" t="inlineStr">
        <is>
          <t>정기검사</t>
        </is>
      </c>
      <c r="C2978" s="46" t="inlineStr">
        <is>
          <t>김포지역</t>
        </is>
      </c>
      <c r="D2978" s="46" t="inlineStr">
        <is>
          <t>우성종합</t>
        </is>
      </c>
      <c r="E2978" s="46" t="n">
        <v>100</v>
      </c>
      <c r="F2978" s="46" t="inlineStr">
        <is>
          <t>마송리</t>
        </is>
      </c>
      <c r="G2978" s="50" t="n">
        <v>0.4583333333333333</v>
      </c>
      <c r="H2978" s="51" t="n">
        <v>391710</v>
      </c>
      <c r="I2978" s="46" t="inlineStr">
        <is>
          <t>정성관</t>
        </is>
      </c>
      <c r="K2978" s="46" t="n">
        <v>2977</v>
      </c>
      <c r="L2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9">
      <c r="A2979" s="229" t="n">
        <v>46244</v>
      </c>
      <c r="B2979" s="46" t="inlineStr">
        <is>
          <t>정기검사</t>
        </is>
      </c>
      <c r="C2979" s="46" t="inlineStr">
        <is>
          <t>김포지역</t>
        </is>
      </c>
      <c r="D2979" s="46" t="inlineStr">
        <is>
          <t>선도전기</t>
        </is>
      </c>
      <c r="E2979" s="46" t="n">
        <v>700</v>
      </c>
      <c r="F2979" s="46" t="inlineStr">
        <is>
          <t>학운리</t>
        </is>
      </c>
      <c r="G2979" s="50" t="n">
        <v>0.4166666666666667</v>
      </c>
      <c r="H2979" s="51" t="n">
        <v>804760</v>
      </c>
      <c r="I2979" s="46" t="inlineStr">
        <is>
          <t>이덕기</t>
        </is>
      </c>
      <c r="K2979" s="46" t="n">
        <v>2978</v>
      </c>
      <c r="L2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0">
      <c r="A2980" s="229" t="n">
        <v>46244</v>
      </c>
      <c r="B2980" s="46" t="inlineStr">
        <is>
          <t>사용전검사</t>
        </is>
      </c>
      <c r="C2980" s="46" t="inlineStr">
        <is>
          <t>부천지역</t>
        </is>
      </c>
      <c r="D2980" s="46" t="inlineStr">
        <is>
          <t>한국토지주택공사</t>
        </is>
      </c>
      <c r="E2980" s="46" t="n">
        <v>300</v>
      </c>
      <c r="F2980" s="46" t="inlineStr">
        <is>
          <t>오정동</t>
        </is>
      </c>
      <c r="G2980" s="50" t="n"/>
      <c r="H2980" s="51" t="n"/>
      <c r="I2980" s="46" t="inlineStr">
        <is>
          <t>이종석</t>
        </is>
      </c>
      <c r="K2980" s="46" t="n">
        <v>2979</v>
      </c>
      <c r="L2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1">
      <c r="A2981" s="229" t="n">
        <v>46244</v>
      </c>
      <c r="B2981" s="46" t="inlineStr">
        <is>
          <t>사용전검사</t>
        </is>
      </c>
      <c r="C2981" s="46" t="inlineStr">
        <is>
          <t>부천지역</t>
        </is>
      </c>
      <c r="D2981" s="46" t="inlineStr">
        <is>
          <t>더로얄주택</t>
        </is>
      </c>
      <c r="E2981" s="46" t="inlineStr">
        <is>
          <t>177/350</t>
        </is>
      </c>
      <c r="F2981" s="46" t="inlineStr">
        <is>
          <t>심곡본동</t>
        </is>
      </c>
      <c r="G2981" s="50" t="n"/>
      <c r="H2981" s="51" t="n"/>
      <c r="I2981" s="46" t="inlineStr">
        <is>
          <t>송낙명</t>
        </is>
      </c>
      <c r="K2981" s="46" t="n">
        <v>2980</v>
      </c>
      <c r="L2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2">
      <c r="A2982" s="229" t="n">
        <v>46244</v>
      </c>
      <c r="B2982" s="46" t="inlineStr">
        <is>
          <t>메모</t>
        </is>
      </c>
      <c r="C2982" s="46" t="inlineStr">
        <is>
          <t>부천지역</t>
        </is>
      </c>
      <c r="D2982" s="46" t="inlineStr">
        <is>
          <t>옹승완휴가</t>
        </is>
      </c>
      <c r="E2982" s="46" t="inlineStr">
        <is>
          <t>이덕기-허창수</t>
        </is>
      </c>
      <c r="F2982" s="46" t="n"/>
      <c r="G2982" s="50" t="n"/>
      <c r="H2982" s="51" t="n"/>
      <c r="I2982" s="46" t="n"/>
      <c r="K2982" s="46" t="n">
        <v>2981</v>
      </c>
      <c r="L2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3">
      <c r="A2983" s="229" t="n">
        <v>46244</v>
      </c>
      <c r="B2983" s="46" t="inlineStr">
        <is>
          <t>메모</t>
        </is>
      </c>
      <c r="C2983" s="46" t="inlineStr">
        <is>
          <t>부천지역</t>
        </is>
      </c>
      <c r="D2983" s="46" t="inlineStr">
        <is>
          <t>서수형휴가</t>
        </is>
      </c>
      <c r="E2983" s="46" t="n"/>
      <c r="F2983" s="46" t="n"/>
      <c r="G2983" s="50" t="n"/>
      <c r="H2983" s="51" t="n"/>
      <c r="I2983" s="46" t="n"/>
      <c r="K2983" s="46" t="n">
        <v>2982</v>
      </c>
      <c r="L2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4">
      <c r="A2984" s="229" t="n">
        <v>46244</v>
      </c>
      <c r="B2984" s="46" t="inlineStr">
        <is>
          <t>사용전검사</t>
        </is>
      </c>
      <c r="C2984" s="46" t="inlineStr">
        <is>
          <t>김포지역</t>
        </is>
      </c>
      <c r="D2984" s="46" t="inlineStr">
        <is>
          <t>비에이치포장</t>
        </is>
      </c>
      <c r="E2984" s="46" t="n">
        <v>148</v>
      </c>
      <c r="F2984" s="46" t="inlineStr">
        <is>
          <t>송마리</t>
        </is>
      </c>
      <c r="G2984" s="50" t="n"/>
      <c r="H2984" s="51" t="n"/>
      <c r="I2984" s="46" t="inlineStr">
        <is>
          <t>민재홍</t>
        </is>
      </c>
      <c r="K2984" s="46" t="n">
        <v>2983</v>
      </c>
      <c r="L2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5">
      <c r="A2985" s="229" t="n">
        <v>46244</v>
      </c>
      <c r="B2985" s="46" t="inlineStr">
        <is>
          <t>사용전검사</t>
        </is>
      </c>
      <c r="C2985" s="46" t="inlineStr">
        <is>
          <t>김포지역</t>
        </is>
      </c>
      <c r="D2985" s="46" t="inlineStr">
        <is>
          <t>대영수지</t>
        </is>
      </c>
      <c r="E2985" s="46" t="n">
        <v>500</v>
      </c>
      <c r="F2985" s="46" t="inlineStr">
        <is>
          <t>옹정리</t>
        </is>
      </c>
      <c r="G2985" s="50" t="n"/>
      <c r="H2985" s="51" t="n"/>
      <c r="I2985" s="46" t="inlineStr">
        <is>
          <t>정신배</t>
        </is>
      </c>
      <c r="K2985" s="46" t="n">
        <v>2984</v>
      </c>
      <c r="L2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6">
      <c r="A2986" s="229" t="n">
        <v>46244</v>
      </c>
      <c r="B2986" s="46" t="inlineStr">
        <is>
          <t>사용전검사</t>
        </is>
      </c>
      <c r="C2986" s="46" t="inlineStr">
        <is>
          <t>김포지역</t>
        </is>
      </c>
      <c r="D2986" s="46" t="inlineStr">
        <is>
          <t>카이스전자</t>
        </is>
      </c>
      <c r="E2986" s="46" t="n">
        <v>85</v>
      </c>
      <c r="F2986" s="46" t="inlineStr">
        <is>
          <t>학운리</t>
        </is>
      </c>
      <c r="G2986" s="50" t="n"/>
      <c r="H2986" s="51" t="n"/>
      <c r="I2986" s="46" t="inlineStr">
        <is>
          <t>허창수</t>
        </is>
      </c>
      <c r="K2986" s="46" t="n">
        <v>2985</v>
      </c>
      <c r="L2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7">
      <c r="A2987" s="229" t="n">
        <v>46244</v>
      </c>
      <c r="B2987" s="46" t="inlineStr">
        <is>
          <t>사용전검사</t>
        </is>
      </c>
      <c r="C2987" s="46" t="inlineStr">
        <is>
          <t>김포지역</t>
        </is>
      </c>
      <c r="D2987" s="46" t="inlineStr">
        <is>
          <t>대승공업</t>
        </is>
      </c>
      <c r="E2987" s="46" t="n">
        <v>370</v>
      </c>
      <c r="F2987" s="46" t="inlineStr">
        <is>
          <t>석정리</t>
        </is>
      </c>
      <c r="G2987" s="50" t="n"/>
      <c r="H2987" s="51" t="n"/>
      <c r="I2987" s="46" t="inlineStr">
        <is>
          <t>민재홍</t>
        </is>
      </c>
      <c r="K2987" s="46" t="n">
        <v>2986</v>
      </c>
      <c r="L2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8">
      <c r="A2988" s="229" t="n">
        <v>46245</v>
      </c>
      <c r="B2988" s="46" t="inlineStr">
        <is>
          <t>정기검사</t>
        </is>
      </c>
      <c r="C2988" s="46" t="inlineStr">
        <is>
          <t>부천지역</t>
        </is>
      </c>
      <c r="D2988" s="46" t="inlineStr">
        <is>
          <t>한국전력공사</t>
        </is>
      </c>
      <c r="E2988" s="46" t="inlineStr">
        <is>
          <t>550/33</t>
        </is>
      </c>
      <c r="F2988" s="46" t="inlineStr">
        <is>
          <t>도당동</t>
        </is>
      </c>
      <c r="G2988" s="50" t="n">
        <v>0.7708333333333334</v>
      </c>
      <c r="H2988" s="51" t="n">
        <v>1221220</v>
      </c>
      <c r="I2988" s="46" t="inlineStr">
        <is>
          <t>이덕기</t>
        </is>
      </c>
      <c r="K2988" s="46" t="n">
        <v>2987</v>
      </c>
      <c r="L2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9">
      <c r="A2989" s="229" t="n">
        <v>46245</v>
      </c>
      <c r="B2989" s="46" t="inlineStr">
        <is>
          <t>정기검사</t>
        </is>
      </c>
      <c r="C2989" s="46" t="inlineStr">
        <is>
          <t>부천지역</t>
        </is>
      </c>
      <c r="D2989" s="46" t="inlineStr">
        <is>
          <t>백천정밀</t>
        </is>
      </c>
      <c r="E2989" s="46" t="n">
        <v>225</v>
      </c>
      <c r="F2989" s="46" t="inlineStr">
        <is>
          <t>계수동</t>
        </is>
      </c>
      <c r="G2989" s="50" t="n">
        <v>0.5208333333333334</v>
      </c>
      <c r="H2989" s="51" t="n">
        <v>472890</v>
      </c>
      <c r="I2989" s="46" t="inlineStr">
        <is>
          <t>변종국</t>
        </is>
      </c>
      <c r="K2989" s="46" t="n">
        <v>2988</v>
      </c>
      <c r="L2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0">
      <c r="A2990" s="229" t="n">
        <v>46245</v>
      </c>
      <c r="B2990" s="46" t="inlineStr">
        <is>
          <t>정기검사</t>
        </is>
      </c>
      <c r="C2990" s="46" t="inlineStr">
        <is>
          <t>부천지역</t>
        </is>
      </c>
      <c r="D2990" s="46" t="inlineStr">
        <is>
          <t>송내리더스텔</t>
        </is>
      </c>
      <c r="E2990" s="46" t="inlineStr">
        <is>
          <t>ups</t>
        </is>
      </c>
      <c r="F2990" s="46" t="inlineStr">
        <is>
          <t>상동</t>
        </is>
      </c>
      <c r="G2990" s="50" t="n">
        <v>0.4166666666666667</v>
      </c>
      <c r="H2990" s="51" t="n">
        <v>289300</v>
      </c>
      <c r="I2990" s="46" t="inlineStr">
        <is>
          <t>한태희</t>
        </is>
      </c>
      <c r="K2990" s="46" t="n">
        <v>2989</v>
      </c>
      <c r="L2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1">
      <c r="A2991" s="229" t="n">
        <v>46245</v>
      </c>
      <c r="B2991" s="46" t="inlineStr">
        <is>
          <t>정기검사</t>
        </is>
      </c>
      <c r="C2991" s="46" t="inlineStr">
        <is>
          <t>부천지역</t>
        </is>
      </c>
      <c r="D2991" s="46" t="inlineStr">
        <is>
          <t>창보아파트</t>
        </is>
      </c>
      <c r="E2991" s="46" t="inlineStr">
        <is>
          <t>전기차</t>
        </is>
      </c>
      <c r="F2991" s="46" t="inlineStr">
        <is>
          <t>오정동</t>
        </is>
      </c>
      <c r="G2991" s="50" t="n">
        <v>0.4375</v>
      </c>
      <c r="H2991" s="51" t="n">
        <v>98120</v>
      </c>
      <c r="I2991" s="46" t="inlineStr">
        <is>
          <t>변종국</t>
        </is>
      </c>
      <c r="K2991" s="46" t="n">
        <v>2990</v>
      </c>
      <c r="L2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2">
      <c r="A2992" s="229" t="n">
        <v>46245</v>
      </c>
      <c r="B2992" s="46" t="inlineStr">
        <is>
          <t>정기검사</t>
        </is>
      </c>
      <c r="C2992" s="46" t="inlineStr">
        <is>
          <t>부천지역</t>
        </is>
      </c>
      <c r="D2992" s="46" t="inlineStr">
        <is>
          <t>크렌즈</t>
        </is>
      </c>
      <c r="E2992" s="46" t="n">
        <v>290</v>
      </c>
      <c r="F2992" s="46" t="inlineStr">
        <is>
          <t>춘의동</t>
        </is>
      </c>
      <c r="G2992" s="50" t="n">
        <v>0.5</v>
      </c>
      <c r="H2992" s="51" t="n">
        <v>515130</v>
      </c>
      <c r="I2992" s="46" t="inlineStr">
        <is>
          <t>송낙명</t>
        </is>
      </c>
      <c r="K2992" s="46" t="n">
        <v>2991</v>
      </c>
      <c r="L2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3">
      <c r="A2993" s="229" t="n">
        <v>46245</v>
      </c>
      <c r="B2993" s="46" t="inlineStr">
        <is>
          <t>정기검사</t>
        </is>
      </c>
      <c r="C2993" s="46" t="inlineStr">
        <is>
          <t>부천지역</t>
        </is>
      </c>
      <c r="D2993" s="46" t="inlineStr">
        <is>
          <t>유성메트로</t>
        </is>
      </c>
      <c r="E2993" s="46" t="inlineStr">
        <is>
          <t>700/121</t>
        </is>
      </c>
      <c r="F2993" s="46" t="inlineStr">
        <is>
          <t>소사동</t>
        </is>
      </c>
      <c r="G2993" s="50" t="n">
        <v>0.2916666666666667</v>
      </c>
      <c r="H2993" s="51" t="n">
        <v>977130</v>
      </c>
      <c r="I2993" s="46" t="inlineStr">
        <is>
          <t>이종석</t>
        </is>
      </c>
      <c r="K2993" s="46" t="n">
        <v>2992</v>
      </c>
      <c r="L2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4">
      <c r="A2994" s="229" t="n">
        <v>46245</v>
      </c>
      <c r="B2994" s="46" t="inlineStr">
        <is>
          <t>정기검사</t>
        </is>
      </c>
      <c r="C2994" s="46" t="inlineStr">
        <is>
          <t>김포지역</t>
        </is>
      </c>
      <c r="D2994" s="46" t="inlineStr">
        <is>
          <t>금성초</t>
        </is>
      </c>
      <c r="E2994" s="46" t="n">
        <v>350</v>
      </c>
      <c r="F2994" s="46" t="inlineStr">
        <is>
          <t>마조리</t>
        </is>
      </c>
      <c r="G2994" s="50" t="n">
        <v>0.5</v>
      </c>
      <c r="H2994" s="51" t="n">
        <v>686180</v>
      </c>
      <c r="I2994" s="46" t="inlineStr">
        <is>
          <t>허록종</t>
        </is>
      </c>
      <c r="K2994" s="46" t="n">
        <v>2993</v>
      </c>
      <c r="L2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5">
      <c r="A2995" s="229" t="n">
        <v>46245</v>
      </c>
      <c r="B2995" s="46" t="inlineStr">
        <is>
          <t>정기검사</t>
        </is>
      </c>
      <c r="C2995" s="46" t="inlineStr">
        <is>
          <t>김포지역</t>
        </is>
      </c>
      <c r="D2995" s="46" t="inlineStr">
        <is>
          <t>영진산업</t>
        </is>
      </c>
      <c r="E2995" s="46" t="n">
        <v>290</v>
      </c>
      <c r="F2995" s="46" t="inlineStr">
        <is>
          <t>송마리</t>
        </is>
      </c>
      <c r="G2995" s="50" t="n">
        <v>0.5208333333333334</v>
      </c>
      <c r="H2995" s="51" t="n">
        <v>515130</v>
      </c>
      <c r="I2995" s="46" t="inlineStr">
        <is>
          <t>이덕기</t>
        </is>
      </c>
      <c r="K2995" s="46" t="n">
        <v>2994</v>
      </c>
      <c r="L2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6">
      <c r="A2996" s="229" t="n">
        <v>46245</v>
      </c>
      <c r="B2996" s="46" t="inlineStr">
        <is>
          <t>정기검사</t>
        </is>
      </c>
      <c r="C2996" s="46" t="inlineStr">
        <is>
          <t>김포지역</t>
        </is>
      </c>
      <c r="D2996" s="46" t="inlineStr">
        <is>
          <t>영진산업</t>
        </is>
      </c>
      <c r="E2996" s="46" t="n">
        <v>200</v>
      </c>
      <c r="F2996" s="46" t="inlineStr">
        <is>
          <t>송마리</t>
        </is>
      </c>
      <c r="G2996" s="50" t="n">
        <v>0.5208333333333334</v>
      </c>
      <c r="H2996" s="51" t="n">
        <v>456720</v>
      </c>
      <c r="I2996" s="46" t="inlineStr">
        <is>
          <t>허창수</t>
        </is>
      </c>
      <c r="K2996" s="46" t="n">
        <v>2995</v>
      </c>
      <c r="L2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7">
      <c r="A2997" s="229" t="n">
        <v>46245</v>
      </c>
      <c r="B2997" s="46" t="inlineStr">
        <is>
          <t>정기검사</t>
        </is>
      </c>
      <c r="C2997" s="46" t="inlineStr">
        <is>
          <t>김포지역</t>
        </is>
      </c>
      <c r="D2997" s="46" t="inlineStr">
        <is>
          <t>선진스틸</t>
        </is>
      </c>
      <c r="E2997" s="46" t="n">
        <v>300</v>
      </c>
      <c r="F2997" s="46" t="inlineStr">
        <is>
          <t>학운리</t>
        </is>
      </c>
      <c r="G2997" s="50" t="n">
        <v>0.5</v>
      </c>
      <c r="H2997" s="51" t="n">
        <v>521730</v>
      </c>
      <c r="I2997" s="46" t="inlineStr">
        <is>
          <t>허창수</t>
        </is>
      </c>
      <c r="K2997" s="46" t="n">
        <v>2996</v>
      </c>
      <c r="L2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8">
      <c r="A2998" s="229" t="n">
        <v>46245</v>
      </c>
      <c r="B2998" s="46" t="inlineStr">
        <is>
          <t>정기검사</t>
        </is>
      </c>
      <c r="C2998" s="46" t="inlineStr">
        <is>
          <t>김포지역</t>
        </is>
      </c>
      <c r="D2998" s="46" t="inlineStr">
        <is>
          <t>승용산업</t>
        </is>
      </c>
      <c r="E2998" s="46" t="n">
        <v>150</v>
      </c>
      <c r="F2998" s="46" t="inlineStr">
        <is>
          <t>쇄암리</t>
        </is>
      </c>
      <c r="G2998" s="50" t="n">
        <v>0.5</v>
      </c>
      <c r="H2998" s="51" t="n">
        <v>424160</v>
      </c>
      <c r="I2998" s="46" t="inlineStr">
        <is>
          <t>김영권</t>
        </is>
      </c>
      <c r="K2998" s="46" t="n">
        <v>2997</v>
      </c>
      <c r="L2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9">
      <c r="A2999" s="229" t="n">
        <v>46245</v>
      </c>
      <c r="B2999" s="46" t="inlineStr">
        <is>
          <t>사용전검사</t>
        </is>
      </c>
      <c r="C2999" s="46" t="inlineStr">
        <is>
          <t>부천지역</t>
        </is>
      </c>
      <c r="D2999" s="46" t="inlineStr">
        <is>
          <t>대아</t>
        </is>
      </c>
      <c r="E2999" s="46" t="n">
        <v>180</v>
      </c>
      <c r="F2999" s="46" t="inlineStr">
        <is>
          <t>내동</t>
        </is>
      </c>
      <c r="G2999" s="50" t="n"/>
      <c r="H2999" s="51" t="n"/>
      <c r="I2999" s="46" t="inlineStr">
        <is>
          <t>한태희</t>
        </is>
      </c>
      <c r="K2999" s="46" t="n">
        <v>2998</v>
      </c>
      <c r="L2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0">
      <c r="A3000" s="229" t="n">
        <v>46245</v>
      </c>
      <c r="B3000" s="46" t="inlineStr">
        <is>
          <t>사용전검사</t>
        </is>
      </c>
      <c r="C3000" s="46" t="inlineStr">
        <is>
          <t>부천지역</t>
        </is>
      </c>
      <c r="D3000" s="46" t="inlineStr">
        <is>
          <t>피치밸리</t>
        </is>
      </c>
      <c r="E3000" s="46" t="inlineStr">
        <is>
          <t>변젼</t>
        </is>
      </c>
      <c r="F3000" s="46" t="inlineStr">
        <is>
          <t>송내동</t>
        </is>
      </c>
      <c r="G3000" s="50" t="n">
        <v>0.5416666666666666</v>
      </c>
      <c r="H3000" s="51" t="n"/>
      <c r="I3000" s="46" t="inlineStr">
        <is>
          <t>이종석</t>
        </is>
      </c>
      <c r="K3000" s="46" t="n">
        <v>2999</v>
      </c>
      <c r="L3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1">
      <c r="A3001" s="229" t="n">
        <v>46245</v>
      </c>
      <c r="B3001" s="46" t="inlineStr">
        <is>
          <t>메모</t>
        </is>
      </c>
      <c r="C3001" s="46" t="inlineStr">
        <is>
          <t>부천지역</t>
        </is>
      </c>
      <c r="D3001" s="46" t="inlineStr">
        <is>
          <t>정성관휴가</t>
        </is>
      </c>
      <c r="E3001" s="46" t="inlineStr">
        <is>
          <t>이덕기-허창수</t>
        </is>
      </c>
      <c r="F3001" s="46" t="n"/>
      <c r="G3001" s="50" t="n"/>
      <c r="H3001" s="51" t="n"/>
      <c r="I3001" s="46" t="n"/>
      <c r="K3001" s="46" t="n">
        <v>3000</v>
      </c>
      <c r="L3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2">
      <c r="A3002" s="229" t="n">
        <v>46245</v>
      </c>
      <c r="B3002" s="46" t="inlineStr">
        <is>
          <t>메모</t>
        </is>
      </c>
      <c r="C3002" s="46" t="inlineStr">
        <is>
          <t>부천지역</t>
        </is>
      </c>
      <c r="D3002" s="46" t="inlineStr">
        <is>
          <t>옹승완휴가</t>
        </is>
      </c>
      <c r="E3002" s="46" t="n"/>
      <c r="F3002" s="46" t="n"/>
      <c r="G3002" s="50" t="n"/>
      <c r="H3002" s="51" t="n"/>
      <c r="I3002" s="46" t="n"/>
      <c r="K3002" s="46" t="n">
        <v>3001</v>
      </c>
      <c r="L3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3">
      <c r="A3003" s="229" t="n">
        <v>46245</v>
      </c>
      <c r="B3003" s="46" t="inlineStr">
        <is>
          <t>메모</t>
        </is>
      </c>
      <c r="C3003" s="46" t="inlineStr">
        <is>
          <t>부천지역</t>
        </is>
      </c>
      <c r="D3003" s="46" t="inlineStr">
        <is>
          <t>서수형휴가</t>
        </is>
      </c>
      <c r="E3003" s="46" t="n"/>
      <c r="F3003" s="46" t="n"/>
      <c r="G3003" s="50" t="n"/>
      <c r="H3003" s="51" t="n"/>
      <c r="I3003" s="46" t="n"/>
      <c r="K3003" s="46" t="n">
        <v>3002</v>
      </c>
      <c r="L3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4">
      <c r="A3004" s="229" t="n">
        <v>46245</v>
      </c>
      <c r="B3004" s="46" t="inlineStr">
        <is>
          <t>사용전검사</t>
        </is>
      </c>
      <c r="C3004" s="46" t="inlineStr">
        <is>
          <t>김포지역</t>
        </is>
      </c>
      <c r="D3004" s="46" t="inlineStr">
        <is>
          <t>세라콜</t>
        </is>
      </c>
      <c r="E3004" s="46" t="n">
        <v>67</v>
      </c>
      <c r="F3004" s="46" t="inlineStr">
        <is>
          <t>귀전리</t>
        </is>
      </c>
      <c r="G3004" s="50" t="n"/>
      <c r="H3004" s="51" t="n"/>
      <c r="I3004" s="46" t="inlineStr">
        <is>
          <t>정신배</t>
        </is>
      </c>
      <c r="K3004" s="46" t="n">
        <v>3003</v>
      </c>
      <c r="L3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5">
      <c r="A3005" s="229" t="n">
        <v>46245</v>
      </c>
      <c r="B3005" s="46" t="inlineStr">
        <is>
          <t>사용전검사</t>
        </is>
      </c>
      <c r="C3005" s="46" t="inlineStr">
        <is>
          <t>김포지역</t>
        </is>
      </c>
      <c r="D3005" s="46" t="inlineStr">
        <is>
          <t>후평마을</t>
        </is>
      </c>
      <c r="E3005" s="46" t="n">
        <v>50.31</v>
      </c>
      <c r="F3005" s="46" t="inlineStr">
        <is>
          <t>후평리</t>
        </is>
      </c>
      <c r="G3005" s="50" t="n"/>
      <c r="H3005" s="51" t="n"/>
      <c r="I3005" s="46" t="inlineStr">
        <is>
          <t>당효진</t>
        </is>
      </c>
      <c r="K3005" s="46" t="n">
        <v>3004</v>
      </c>
      <c r="L3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6">
      <c r="A3006" s="229" t="n">
        <v>46245</v>
      </c>
      <c r="B3006" s="46" t="inlineStr">
        <is>
          <t>사용전검사</t>
        </is>
      </c>
      <c r="C3006" s="46" t="inlineStr">
        <is>
          <t>김포지역</t>
        </is>
      </c>
      <c r="D3006" s="46" t="inlineStr">
        <is>
          <t>상일엔지니어링</t>
        </is>
      </c>
      <c r="E3006" s="46" t="n">
        <v>120</v>
      </c>
      <c r="F3006" s="46" t="inlineStr">
        <is>
          <t>군하리</t>
        </is>
      </c>
      <c r="G3006" s="50" t="n"/>
      <c r="H3006" s="51" t="n"/>
      <c r="I3006" s="46" t="inlineStr">
        <is>
          <t>정신배</t>
        </is>
      </c>
      <c r="K3006" s="46" t="n">
        <v>3005</v>
      </c>
      <c r="L3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7">
      <c r="A3007" s="229" t="n">
        <v>46245</v>
      </c>
      <c r="B3007" s="46" t="inlineStr">
        <is>
          <t>사용전검사</t>
        </is>
      </c>
      <c r="C3007" s="46" t="inlineStr">
        <is>
          <t>김포지역</t>
        </is>
      </c>
      <c r="D3007" s="46" t="inlineStr">
        <is>
          <t>이만성</t>
        </is>
      </c>
      <c r="E3007" s="46" t="n">
        <v>73</v>
      </c>
      <c r="F3007" s="46" t="inlineStr">
        <is>
          <t>석정리</t>
        </is>
      </c>
      <c r="G3007" s="50" t="n"/>
      <c r="H3007" s="51" t="n"/>
      <c r="I3007" s="46" t="inlineStr">
        <is>
          <t>민재홍</t>
        </is>
      </c>
      <c r="K3007" s="46" t="n">
        <v>3006</v>
      </c>
      <c r="L3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8">
      <c r="A3008" s="229" t="n">
        <v>46246</v>
      </c>
      <c r="B3008" s="46" t="inlineStr">
        <is>
          <t>정기검사</t>
        </is>
      </c>
      <c r="C3008" s="46" t="inlineStr">
        <is>
          <t>부천지역</t>
        </is>
      </c>
      <c r="D3008" s="46" t="inlineStr">
        <is>
          <t>정도시스템</t>
        </is>
      </c>
      <c r="E3008" s="46" t="n">
        <v>295</v>
      </c>
      <c r="F3008" s="46" t="inlineStr">
        <is>
          <t>도당동</t>
        </is>
      </c>
      <c r="G3008" s="50" t="n">
        <v>0.5208333333333334</v>
      </c>
      <c r="H3008" s="51" t="n">
        <v>518430</v>
      </c>
      <c r="I3008" s="46" t="inlineStr">
        <is>
          <t>이종석</t>
        </is>
      </c>
      <c r="K3008" s="46" t="n">
        <v>3007</v>
      </c>
      <c r="L3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9">
      <c r="A3009" s="229" t="n">
        <v>46246</v>
      </c>
      <c r="B3009" s="46" t="inlineStr">
        <is>
          <t>정기검사</t>
        </is>
      </c>
      <c r="C3009" s="46" t="inlineStr">
        <is>
          <t>부천지역</t>
        </is>
      </c>
      <c r="D3009" s="46" t="inlineStr">
        <is>
          <t>지지엠</t>
        </is>
      </c>
      <c r="E3009" s="46" t="n">
        <v>250</v>
      </c>
      <c r="F3009" s="46" t="inlineStr">
        <is>
          <t>도당동</t>
        </is>
      </c>
      <c r="G3009" s="50" t="n">
        <v>0.5416666666666666</v>
      </c>
      <c r="H3009" s="51" t="n">
        <v>489170</v>
      </c>
      <c r="I3009" s="46" t="inlineStr">
        <is>
          <t>민재홍</t>
        </is>
      </c>
      <c r="K3009" s="46" t="n">
        <v>3008</v>
      </c>
      <c r="L3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0">
      <c r="A3010" s="229" t="n">
        <v>46246</v>
      </c>
      <c r="B3010" s="46" t="inlineStr">
        <is>
          <t>정기검사</t>
        </is>
      </c>
      <c r="C3010" s="46" t="inlineStr">
        <is>
          <t>부천지역</t>
        </is>
      </c>
      <c r="D3010" s="46" t="inlineStr">
        <is>
          <t>지지엠</t>
        </is>
      </c>
      <c r="E3010" s="46" t="n">
        <v>250</v>
      </c>
      <c r="F3010" s="46" t="inlineStr">
        <is>
          <t>도당동</t>
        </is>
      </c>
      <c r="G3010" s="50" t="n">
        <v>0.5416666666666666</v>
      </c>
      <c r="H3010" s="51" t="n">
        <v>489170</v>
      </c>
      <c r="I3010" s="46" t="inlineStr">
        <is>
          <t>김영권</t>
        </is>
      </c>
      <c r="K3010" s="46" t="n">
        <v>3009</v>
      </c>
      <c r="L3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1">
      <c r="A3011" s="229" t="n">
        <v>46246</v>
      </c>
      <c r="B3011" s="46" t="inlineStr">
        <is>
          <t>정기검사</t>
        </is>
      </c>
      <c r="C3011" s="46" t="inlineStr">
        <is>
          <t>김포지역</t>
        </is>
      </c>
      <c r="D3011" s="46" t="inlineStr">
        <is>
          <t>제일태양광</t>
        </is>
      </c>
      <c r="E3011" s="46" t="n">
        <v>84</v>
      </c>
      <c r="F3011" s="46" t="inlineStr">
        <is>
          <t>유현리</t>
        </is>
      </c>
      <c r="G3011" s="50" t="n">
        <v>0.5416666666666666</v>
      </c>
      <c r="H3011" s="51" t="n">
        <v>239470</v>
      </c>
      <c r="I3011" s="46" t="inlineStr">
        <is>
          <t>옹승완</t>
        </is>
      </c>
      <c r="K3011" s="46" t="n">
        <v>3010</v>
      </c>
      <c r="L3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2">
      <c r="A3012" s="229" t="n">
        <v>46246</v>
      </c>
      <c r="B3012" s="46" t="inlineStr">
        <is>
          <t>정기검사</t>
        </is>
      </c>
      <c r="C3012" s="46" t="inlineStr">
        <is>
          <t>김포지역</t>
        </is>
      </c>
      <c r="D3012" s="46" t="inlineStr">
        <is>
          <t>제이비텍</t>
        </is>
      </c>
      <c r="E3012" s="46" t="n">
        <v>590</v>
      </c>
      <c r="F3012" s="46" t="inlineStr">
        <is>
          <t>송마리</t>
        </is>
      </c>
      <c r="G3012" s="50" t="n">
        <v>0.4166666666666667</v>
      </c>
      <c r="H3012" s="51" t="n">
        <v>767470</v>
      </c>
      <c r="I3012" s="46" t="inlineStr">
        <is>
          <t>서수형</t>
        </is>
      </c>
      <c r="K3012" s="46" t="n">
        <v>3011</v>
      </c>
      <c r="L3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3">
      <c r="A3013" s="229" t="n">
        <v>46246</v>
      </c>
      <c r="B3013" s="46" t="inlineStr">
        <is>
          <t>정기검사</t>
        </is>
      </c>
      <c r="C3013" s="46" t="inlineStr">
        <is>
          <t>김포지역</t>
        </is>
      </c>
      <c r="D3013" s="46" t="inlineStr">
        <is>
          <t>코나아이</t>
        </is>
      </c>
      <c r="E3013" s="46" t="inlineStr">
        <is>
          <t>ups</t>
        </is>
      </c>
      <c r="F3013" s="46" t="inlineStr">
        <is>
          <t>대명리</t>
        </is>
      </c>
      <c r="G3013" s="50" t="n"/>
      <c r="H3013" s="51" t="n">
        <v>289300</v>
      </c>
      <c r="I3013" s="46" t="inlineStr">
        <is>
          <t>허창수</t>
        </is>
      </c>
      <c r="K3013" s="46" t="n">
        <v>3012</v>
      </c>
      <c r="L3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4">
      <c r="A3014" s="229" t="n">
        <v>46246</v>
      </c>
      <c r="B3014" s="46" t="inlineStr">
        <is>
          <t>정기검사</t>
        </is>
      </c>
      <c r="C3014" s="46" t="inlineStr">
        <is>
          <t>김포지역</t>
        </is>
      </c>
      <c r="D3014" s="46" t="inlineStr">
        <is>
          <t>lh솔터마을</t>
        </is>
      </c>
      <c r="E3014" s="46" t="inlineStr">
        <is>
          <t>전기차</t>
        </is>
      </c>
      <c r="F3014" s="46" t="inlineStr">
        <is>
          <t>마산동</t>
        </is>
      </c>
      <c r="G3014" s="50" t="n">
        <v>0.4166666666666667</v>
      </c>
      <c r="H3014" s="51" t="n">
        <v>182820</v>
      </c>
      <c r="I3014" s="46" t="inlineStr">
        <is>
          <t>정신배</t>
        </is>
      </c>
      <c r="K3014" s="46" t="n">
        <v>3013</v>
      </c>
      <c r="L3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5">
      <c r="A3015" s="229" t="n">
        <v>46246</v>
      </c>
      <c r="B3015" s="46" t="inlineStr">
        <is>
          <t>정기검사</t>
        </is>
      </c>
      <c r="C3015" s="46" t="inlineStr">
        <is>
          <t>김포지역</t>
        </is>
      </c>
      <c r="D3015" s="46" t="inlineStr">
        <is>
          <t>대성폴리머</t>
        </is>
      </c>
      <c r="E3015" s="46" t="n">
        <v>500</v>
      </c>
      <c r="F3015" s="46" t="inlineStr">
        <is>
          <t>갈산리</t>
        </is>
      </c>
      <c r="G3015" s="50" t="n">
        <v>0.5</v>
      </c>
      <c r="H3015" s="51" t="n">
        <v>737000</v>
      </c>
      <c r="I3015" s="46" t="inlineStr">
        <is>
          <t>허록종</t>
        </is>
      </c>
      <c r="K3015" s="46" t="n">
        <v>3014</v>
      </c>
      <c r="L3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6">
      <c r="A3016" s="229" t="n">
        <v>46246</v>
      </c>
      <c r="B3016" s="46" t="inlineStr">
        <is>
          <t>사용전검사</t>
        </is>
      </c>
      <c r="C3016" s="46" t="inlineStr">
        <is>
          <t>부천지역</t>
        </is>
      </c>
      <c r="D3016" s="46" t="inlineStr">
        <is>
          <t>에스에이치</t>
        </is>
      </c>
      <c r="E3016" s="46" t="n">
        <v>64</v>
      </c>
      <c r="F3016" s="46" t="inlineStr">
        <is>
          <t>삼정동</t>
        </is>
      </c>
      <c r="G3016" s="50" t="n"/>
      <c r="H3016" s="51" t="n"/>
      <c r="I3016" s="46" t="inlineStr">
        <is>
          <t>민재홍</t>
        </is>
      </c>
      <c r="K3016" s="46" t="n">
        <v>3015</v>
      </c>
      <c r="L3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7">
      <c r="A3017" s="229" t="n">
        <v>46246</v>
      </c>
      <c r="B3017" s="46" t="inlineStr">
        <is>
          <t>메모</t>
        </is>
      </c>
      <c r="C3017" s="46" t="inlineStr">
        <is>
          <t>부천지역</t>
        </is>
      </c>
      <c r="D3017" s="46" t="inlineStr">
        <is>
          <t>송낙명휴가</t>
        </is>
      </c>
      <c r="E3017" s="46" t="n"/>
      <c r="F3017" s="46" t="n"/>
      <c r="G3017" s="50" t="n"/>
      <c r="H3017" s="51" t="n"/>
      <c r="I3017" s="46" t="n"/>
      <c r="K3017" s="46" t="n">
        <v>3016</v>
      </c>
      <c r="L3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8">
      <c r="A3018" s="229" t="n">
        <v>46246</v>
      </c>
      <c r="B3018" s="46" t="inlineStr">
        <is>
          <t>메모</t>
        </is>
      </c>
      <c r="C3018" s="46" t="inlineStr">
        <is>
          <t>부천지역</t>
        </is>
      </c>
      <c r="D3018" s="46" t="inlineStr">
        <is>
          <t>한태희휴가</t>
        </is>
      </c>
      <c r="E3018" s="46" t="n"/>
      <c r="F3018" s="46" t="n"/>
      <c r="G3018" s="50" t="n"/>
      <c r="H3018" s="51" t="n"/>
      <c r="I3018" s="46" t="n"/>
      <c r="K3018" s="46" t="n">
        <v>3017</v>
      </c>
      <c r="L3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9">
      <c r="A3019" s="229" t="n">
        <v>46246</v>
      </c>
      <c r="B3019" s="46" t="inlineStr">
        <is>
          <t>사용전검사</t>
        </is>
      </c>
      <c r="C3019" s="46" t="inlineStr">
        <is>
          <t>김포지역</t>
        </is>
      </c>
      <c r="D3019" s="46" t="inlineStr">
        <is>
          <t>세화강구</t>
        </is>
      </c>
      <c r="E3019" s="46" t="n">
        <v>301</v>
      </c>
      <c r="F3019" s="46" t="inlineStr">
        <is>
          <t>학운리</t>
        </is>
      </c>
      <c r="G3019" s="50" t="n"/>
      <c r="H3019" s="51" t="n"/>
      <c r="I3019" s="46" t="inlineStr">
        <is>
          <t>정성관</t>
        </is>
      </c>
      <c r="K3019" s="46" t="n">
        <v>3018</v>
      </c>
      <c r="L3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0">
      <c r="A3020" s="229" t="n">
        <v>46246</v>
      </c>
      <c r="B3020" s="46" t="inlineStr">
        <is>
          <t>사용전검사</t>
        </is>
      </c>
      <c r="C3020" s="46" t="inlineStr">
        <is>
          <t>김포지역</t>
        </is>
      </c>
      <c r="D3020" s="46" t="inlineStr">
        <is>
          <t>서윤미</t>
        </is>
      </c>
      <c r="E3020" s="46" t="n">
        <v>3</v>
      </c>
      <c r="F3020" s="46" t="inlineStr">
        <is>
          <t>대능리</t>
        </is>
      </c>
      <c r="G3020" s="50" t="n"/>
      <c r="H3020" s="51" t="n"/>
      <c r="I3020" s="46" t="inlineStr">
        <is>
          <t>이덕기</t>
        </is>
      </c>
      <c r="K3020" s="46" t="n">
        <v>3019</v>
      </c>
      <c r="L3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1">
      <c r="A3021" s="229" t="n">
        <v>46246</v>
      </c>
      <c r="B3021" s="46" t="inlineStr">
        <is>
          <t>사용전검사</t>
        </is>
      </c>
      <c r="C3021" s="46" t="inlineStr">
        <is>
          <t>김포지역</t>
        </is>
      </c>
      <c r="D3021" s="46" t="inlineStr">
        <is>
          <t>서윤미</t>
        </is>
      </c>
      <c r="E3021" s="46" t="n">
        <v>4</v>
      </c>
      <c r="F3021" s="46" t="inlineStr">
        <is>
          <t>대능리</t>
        </is>
      </c>
      <c r="G3021" s="50" t="n"/>
      <c r="H3021" s="51" t="n"/>
      <c r="I3021" s="46" t="inlineStr">
        <is>
          <t>이덕기</t>
        </is>
      </c>
      <c r="K3021" s="46" t="n">
        <v>3020</v>
      </c>
      <c r="L3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2">
      <c r="A3022" s="229" t="n">
        <v>46246</v>
      </c>
      <c r="B3022" s="46" t="inlineStr">
        <is>
          <t>사용전검사</t>
        </is>
      </c>
      <c r="C3022" s="46" t="inlineStr">
        <is>
          <t>김포지역</t>
        </is>
      </c>
      <c r="D3022" s="46" t="inlineStr">
        <is>
          <t>서윤미</t>
        </is>
      </c>
      <c r="E3022" s="46" t="n">
        <v>5</v>
      </c>
      <c r="F3022" s="46" t="inlineStr">
        <is>
          <t>대능리</t>
        </is>
      </c>
      <c r="G3022" s="50" t="n"/>
      <c r="H3022" s="51" t="n"/>
      <c r="I3022" s="46" t="inlineStr">
        <is>
          <t>이덕기</t>
        </is>
      </c>
      <c r="K3022" s="46" t="n">
        <v>3021</v>
      </c>
      <c r="L3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3">
      <c r="A3023" s="229" t="n">
        <v>46246</v>
      </c>
      <c r="B3023" s="46" t="inlineStr">
        <is>
          <t>사용전검사</t>
        </is>
      </c>
      <c r="C3023" s="46" t="inlineStr">
        <is>
          <t>김포지역</t>
        </is>
      </c>
      <c r="D3023" s="46" t="inlineStr">
        <is>
          <t>서윤미</t>
        </is>
      </c>
      <c r="E3023" s="46" t="n">
        <v>6</v>
      </c>
      <c r="F3023" s="46" t="inlineStr">
        <is>
          <t>대능리</t>
        </is>
      </c>
      <c r="G3023" s="50" t="n"/>
      <c r="H3023" s="51" t="n"/>
      <c r="I3023" s="46" t="inlineStr">
        <is>
          <t>이덕기</t>
        </is>
      </c>
      <c r="K3023" s="46" t="n">
        <v>3022</v>
      </c>
      <c r="L3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4">
      <c r="A3024" s="229" t="n">
        <v>46246</v>
      </c>
      <c r="B3024" s="46" t="inlineStr">
        <is>
          <t>사용전검사</t>
        </is>
      </c>
      <c r="C3024" s="46" t="inlineStr">
        <is>
          <t>김포지역</t>
        </is>
      </c>
      <c r="D3024" s="46" t="inlineStr">
        <is>
          <t>서윤미</t>
        </is>
      </c>
      <c r="E3024" s="46" t="n">
        <v>7</v>
      </c>
      <c r="F3024" s="46" t="inlineStr">
        <is>
          <t>대능리</t>
        </is>
      </c>
      <c r="G3024" s="50" t="n"/>
      <c r="H3024" s="51" t="n"/>
      <c r="I3024" s="46" t="inlineStr">
        <is>
          <t>이덕기</t>
        </is>
      </c>
      <c r="K3024" s="46" t="n">
        <v>3023</v>
      </c>
      <c r="L3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5">
      <c r="A3025" s="229" t="n">
        <v>46246</v>
      </c>
      <c r="B3025" s="46" t="inlineStr">
        <is>
          <t>사용전검사</t>
        </is>
      </c>
      <c r="C3025" s="46" t="inlineStr">
        <is>
          <t>김포지역</t>
        </is>
      </c>
      <c r="D3025" s="46" t="inlineStr">
        <is>
          <t>서윤미</t>
        </is>
      </c>
      <c r="E3025" s="46" t="n">
        <v>8</v>
      </c>
      <c r="F3025" s="46" t="inlineStr">
        <is>
          <t>대능리</t>
        </is>
      </c>
      <c r="G3025" s="50" t="n"/>
      <c r="H3025" s="51" t="n"/>
      <c r="I3025" s="46" t="inlineStr">
        <is>
          <t>이덕기</t>
        </is>
      </c>
      <c r="K3025" s="46" t="n">
        <v>3024</v>
      </c>
      <c r="L3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6">
      <c r="A3026" s="229" t="n">
        <v>46246</v>
      </c>
      <c r="B3026" s="46" t="inlineStr">
        <is>
          <t>사용전검사</t>
        </is>
      </c>
      <c r="C3026" s="46" t="inlineStr">
        <is>
          <t>김포지역</t>
        </is>
      </c>
      <c r="D3026" s="46" t="inlineStr">
        <is>
          <t>예다원</t>
        </is>
      </c>
      <c r="E3026" s="46" t="n">
        <v>38</v>
      </c>
      <c r="F3026" s="46" t="inlineStr">
        <is>
          <t>운양동</t>
        </is>
      </c>
      <c r="G3026" s="50" t="n"/>
      <c r="H3026" s="51" t="n"/>
      <c r="I3026" s="46" t="inlineStr">
        <is>
          <t>정신배</t>
        </is>
      </c>
      <c r="K3026" s="46" t="n">
        <v>3025</v>
      </c>
      <c r="L3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7">
      <c r="A3027" s="229" t="n">
        <v>46247</v>
      </c>
      <c r="B3027" s="46" t="inlineStr">
        <is>
          <t>정기검사</t>
        </is>
      </c>
      <c r="C3027" s="46" t="inlineStr">
        <is>
          <t>부천지역</t>
        </is>
      </c>
      <c r="D3027" s="46" t="inlineStr">
        <is>
          <t>상동초</t>
        </is>
      </c>
      <c r="E3027" s="46" t="n">
        <v>750</v>
      </c>
      <c r="F3027" s="46" t="inlineStr">
        <is>
          <t>상동</t>
        </is>
      </c>
      <c r="G3027" s="50" t="n">
        <v>0.3958333333333333</v>
      </c>
      <c r="H3027" s="51" t="n">
        <v>821700</v>
      </c>
      <c r="I3027" s="46" t="inlineStr">
        <is>
          <t>허록종</t>
        </is>
      </c>
      <c r="K3027" s="46" t="n">
        <v>3026</v>
      </c>
      <c r="L3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8">
      <c r="A3028" s="229" t="n">
        <v>46247</v>
      </c>
      <c r="B3028" s="46" t="inlineStr">
        <is>
          <t>정기검사</t>
        </is>
      </c>
      <c r="C3028" s="46" t="inlineStr">
        <is>
          <t>부천지역</t>
        </is>
      </c>
      <c r="D3028" s="46" t="inlineStr">
        <is>
          <t>마이크로텍</t>
        </is>
      </c>
      <c r="E3028" s="46" t="n">
        <v>250</v>
      </c>
      <c r="F3028" s="46" t="inlineStr">
        <is>
          <t>오정동</t>
        </is>
      </c>
      <c r="G3028" s="50" t="n">
        <v>0.5833333333333334</v>
      </c>
      <c r="H3028" s="51" t="n">
        <v>489170</v>
      </c>
      <c r="I3028" s="46" t="inlineStr">
        <is>
          <t>당효진</t>
        </is>
      </c>
      <c r="K3028" s="46" t="n">
        <v>3027</v>
      </c>
      <c r="L3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9">
      <c r="A3029" s="229" t="n">
        <v>46247</v>
      </c>
      <c r="B3029" s="46" t="inlineStr">
        <is>
          <t>정기검사</t>
        </is>
      </c>
      <c r="C3029" s="46" t="inlineStr">
        <is>
          <t>김포지역</t>
        </is>
      </c>
      <c r="D3029" s="46" t="inlineStr">
        <is>
          <t>리빙메이트</t>
        </is>
      </c>
      <c r="E3029" s="46" t="n">
        <v>250</v>
      </c>
      <c r="F3029" s="46" t="inlineStr">
        <is>
          <t>송마리</t>
        </is>
      </c>
      <c r="G3029" s="50" t="n">
        <v>0.5</v>
      </c>
      <c r="H3029" s="51" t="n">
        <v>489170</v>
      </c>
      <c r="I3029" s="46" t="inlineStr">
        <is>
          <t>서수형</t>
        </is>
      </c>
      <c r="K3029" s="46" t="n">
        <v>3028</v>
      </c>
      <c r="L3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0">
      <c r="A3030" s="229" t="n">
        <v>46247</v>
      </c>
      <c r="B3030" s="46" t="inlineStr">
        <is>
          <t>정기검사</t>
        </is>
      </c>
      <c r="C3030" s="46" t="inlineStr">
        <is>
          <t>김포지역</t>
        </is>
      </c>
      <c r="D3030" s="46" t="inlineStr">
        <is>
          <t>올덴</t>
        </is>
      </c>
      <c r="E3030" s="46" t="n">
        <v>900</v>
      </c>
      <c r="F3030" s="46" t="inlineStr">
        <is>
          <t>옹정리</t>
        </is>
      </c>
      <c r="G3030" s="50" t="n">
        <v>0.5416666666666666</v>
      </c>
      <c r="H3030" s="51" t="n">
        <v>872520</v>
      </c>
      <c r="I3030" s="46" t="inlineStr">
        <is>
          <t>변종국</t>
        </is>
      </c>
      <c r="K3030" s="46" t="n">
        <v>3029</v>
      </c>
      <c r="L3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1">
      <c r="A3031" s="229" t="n">
        <v>46247</v>
      </c>
      <c r="B3031" s="46" t="inlineStr">
        <is>
          <t>정기검사</t>
        </is>
      </c>
      <c r="C3031" s="46" t="inlineStr">
        <is>
          <t>김포지역</t>
        </is>
      </c>
      <c r="D3031" s="46" t="inlineStr">
        <is>
          <t>태영몰드</t>
        </is>
      </c>
      <c r="E3031" s="46" t="n">
        <v>150</v>
      </c>
      <c r="F3031" s="46" t="inlineStr">
        <is>
          <t>학운리</t>
        </is>
      </c>
      <c r="G3031" s="50" t="n">
        <v>0.5</v>
      </c>
      <c r="H3031" s="51" t="n">
        <v>424160</v>
      </c>
      <c r="I3031" s="46" t="inlineStr">
        <is>
          <t>김영권</t>
        </is>
      </c>
      <c r="K3031" s="46" t="n">
        <v>3030</v>
      </c>
      <c r="L3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2">
      <c r="A3032" s="229" t="n">
        <v>46247</v>
      </c>
      <c r="B3032" s="46" t="inlineStr">
        <is>
          <t>정기검사</t>
        </is>
      </c>
      <c r="C3032" s="46" t="inlineStr">
        <is>
          <t>김포지역</t>
        </is>
      </c>
      <c r="D3032" s="46" t="inlineStr">
        <is>
          <t>천지산업</t>
        </is>
      </c>
      <c r="E3032" s="46" t="n">
        <v>255</v>
      </c>
      <c r="F3032" s="46" t="inlineStr">
        <is>
          <t>초원지리</t>
        </is>
      </c>
      <c r="G3032" s="50" t="n">
        <v>0.4791666666666667</v>
      </c>
      <c r="H3032" s="51" t="n">
        <v>492470</v>
      </c>
      <c r="I3032" s="46" t="inlineStr">
        <is>
          <t>이종석</t>
        </is>
      </c>
      <c r="K3032" s="46" t="n">
        <v>3031</v>
      </c>
      <c r="L3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3">
      <c r="A3033" s="229" t="n">
        <v>46247</v>
      </c>
      <c r="B3033" s="46" t="inlineStr">
        <is>
          <t>정기검사</t>
        </is>
      </c>
      <c r="C3033" s="46" t="inlineStr">
        <is>
          <t>김포지역</t>
        </is>
      </c>
      <c r="D3033" s="46" t="inlineStr">
        <is>
          <t>17보병사단</t>
        </is>
      </c>
      <c r="E3033" s="46" t="n">
        <v>74</v>
      </c>
      <c r="F3033" s="46" t="inlineStr">
        <is>
          <t>송마리</t>
        </is>
      </c>
      <c r="G3033" s="50" t="n">
        <v>0.4166666666666667</v>
      </c>
      <c r="H3033" s="51" t="n">
        <v>229240</v>
      </c>
      <c r="I3033" s="46" t="inlineStr">
        <is>
          <t>이종석</t>
        </is>
      </c>
      <c r="K3033" s="46" t="n">
        <v>3032</v>
      </c>
      <c r="L3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4">
      <c r="A3034" s="229" t="n">
        <v>46247</v>
      </c>
      <c r="B3034" s="46" t="inlineStr">
        <is>
          <t>사용전검사</t>
        </is>
      </c>
      <c r="C3034" s="46" t="inlineStr">
        <is>
          <t>부천지역</t>
        </is>
      </c>
      <c r="D3034" s="46" t="inlineStr">
        <is>
          <t>삼우아파트</t>
        </is>
      </c>
      <c r="E3034" s="46" t="n">
        <v>18</v>
      </c>
      <c r="F3034" s="46" t="inlineStr">
        <is>
          <t>고강동</t>
        </is>
      </c>
      <c r="G3034" s="50" t="n"/>
      <c r="H3034" s="51" t="n"/>
      <c r="I3034" s="46" t="inlineStr">
        <is>
          <t>정성관</t>
        </is>
      </c>
      <c r="K3034" s="46" t="n">
        <v>3033</v>
      </c>
      <c r="L3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5">
      <c r="A3035" s="229" t="n">
        <v>46247</v>
      </c>
      <c r="B3035" s="46" t="inlineStr">
        <is>
          <t>사용전검사</t>
        </is>
      </c>
      <c r="C3035" s="46" t="inlineStr">
        <is>
          <t>부천지역</t>
        </is>
      </c>
      <c r="D3035" s="46" t="inlineStr">
        <is>
          <t>우원개발</t>
        </is>
      </c>
      <c r="E3035" s="46" t="n">
        <v>400</v>
      </c>
      <c r="F3035" s="46" t="inlineStr">
        <is>
          <t>대장동</t>
        </is>
      </c>
      <c r="G3035" s="50" t="n"/>
      <c r="H3035" s="51" t="n"/>
      <c r="I3035" s="46" t="inlineStr">
        <is>
          <t>허록종</t>
        </is>
      </c>
      <c r="K3035" s="46" t="n">
        <v>3034</v>
      </c>
      <c r="L3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6">
      <c r="A3036" s="229" t="n">
        <v>46247</v>
      </c>
      <c r="B3036" s="46" t="inlineStr">
        <is>
          <t>사용전검사</t>
        </is>
      </c>
      <c r="C3036" s="46" t="inlineStr">
        <is>
          <t>부천지역</t>
        </is>
      </c>
      <c r="D3036" s="46" t="inlineStr">
        <is>
          <t>우원개발</t>
        </is>
      </c>
      <c r="E3036" s="46" t="n">
        <v>750</v>
      </c>
      <c r="F3036" s="46" t="inlineStr">
        <is>
          <t>대장동</t>
        </is>
      </c>
      <c r="G3036" s="50" t="n"/>
      <c r="H3036" s="51" t="n"/>
      <c r="I3036" s="46" t="inlineStr">
        <is>
          <t>당효진</t>
        </is>
      </c>
      <c r="K3036" s="46" t="n">
        <v>3035</v>
      </c>
      <c r="L3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7">
      <c r="A3037" s="229" t="n">
        <v>46247</v>
      </c>
      <c r="B3037" s="46" t="inlineStr">
        <is>
          <t>사용전검사</t>
        </is>
      </c>
      <c r="C3037" s="46" t="inlineStr">
        <is>
          <t>부천지역</t>
        </is>
      </c>
      <c r="D3037" s="46" t="inlineStr">
        <is>
          <t>메탈플러스</t>
        </is>
      </c>
      <c r="E3037" s="46" t="inlineStr">
        <is>
          <t>변변</t>
        </is>
      </c>
      <c r="F3037" s="46" t="n"/>
      <c r="G3037" s="50" t="n"/>
      <c r="H3037" s="51" t="n"/>
      <c r="I3037" s="46" t="inlineStr">
        <is>
          <t>정성관</t>
        </is>
      </c>
      <c r="K3037" s="46" t="n">
        <v>3036</v>
      </c>
      <c r="L3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8">
      <c r="A3038" s="229" t="n">
        <v>46247</v>
      </c>
      <c r="B3038" s="46" t="inlineStr">
        <is>
          <t>메모</t>
        </is>
      </c>
      <c r="C3038" s="46" t="inlineStr">
        <is>
          <t>부천지역</t>
        </is>
      </c>
      <c r="D3038" s="46" t="inlineStr">
        <is>
          <t>송낙명휴가</t>
        </is>
      </c>
      <c r="E3038" s="46" t="n"/>
      <c r="F3038" s="46" t="n"/>
      <c r="G3038" s="50" t="n"/>
      <c r="H3038" s="51" t="n"/>
      <c r="I3038" s="46" t="n"/>
      <c r="K3038" s="46" t="n">
        <v>3037</v>
      </c>
      <c r="L3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9">
      <c r="A3039" s="229" t="n">
        <v>46247</v>
      </c>
      <c r="B3039" s="46" t="inlineStr">
        <is>
          <t>메모</t>
        </is>
      </c>
      <c r="C3039" s="46" t="inlineStr">
        <is>
          <t>부천지역</t>
        </is>
      </c>
      <c r="D3039" s="46" t="inlineStr">
        <is>
          <t>한태희휴가</t>
        </is>
      </c>
      <c r="E3039" s="46" t="n"/>
      <c r="F3039" s="46" t="n"/>
      <c r="G3039" s="50" t="n"/>
      <c r="H3039" s="51" t="n"/>
      <c r="I3039" s="46" t="n"/>
      <c r="K3039" s="46" t="n">
        <v>3038</v>
      </c>
      <c r="L3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0">
      <c r="A3040" s="229" t="n">
        <v>46247</v>
      </c>
      <c r="B3040" s="46" t="inlineStr">
        <is>
          <t>메모</t>
        </is>
      </c>
      <c r="C3040" s="46" t="inlineStr">
        <is>
          <t>부천지역</t>
        </is>
      </c>
      <c r="D3040" s="46" t="inlineStr">
        <is>
          <t>정신배휴가</t>
        </is>
      </c>
      <c r="E3040" s="46" t="n"/>
      <c r="F3040" s="46" t="n"/>
      <c r="G3040" s="50" t="n"/>
      <c r="H3040" s="51" t="n"/>
      <c r="I3040" s="46" t="n"/>
      <c r="K3040" s="46" t="n">
        <v>3039</v>
      </c>
      <c r="L3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1">
      <c r="A3041" s="229" t="n">
        <v>46247</v>
      </c>
      <c r="B3041" s="46" t="inlineStr">
        <is>
          <t>사용전검사</t>
        </is>
      </c>
      <c r="C3041" s="46" t="inlineStr">
        <is>
          <t>김포지역</t>
        </is>
      </c>
      <c r="D3041" s="46" t="inlineStr">
        <is>
          <t>골드팡</t>
        </is>
      </c>
      <c r="E3041" s="46" t="n">
        <v>35</v>
      </c>
      <c r="F3041" s="46" t="inlineStr">
        <is>
          <t>원산리</t>
        </is>
      </c>
      <c r="G3041" s="50" t="n"/>
      <c r="H3041" s="51" t="n"/>
      <c r="I3041" s="46" t="inlineStr">
        <is>
          <t>허창수</t>
        </is>
      </c>
      <c r="K3041" s="46" t="n">
        <v>3040</v>
      </c>
      <c r="L3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2">
      <c r="A3042" s="229" t="n">
        <v>46247</v>
      </c>
      <c r="B3042" s="46" t="inlineStr">
        <is>
          <t>사용전검사</t>
        </is>
      </c>
      <c r="C3042" s="46" t="inlineStr">
        <is>
          <t>김포지역</t>
        </is>
      </c>
      <c r="D3042" s="46" t="inlineStr">
        <is>
          <t>그랜트코리아</t>
        </is>
      </c>
      <c r="E3042" s="46" t="n">
        <v>170</v>
      </c>
      <c r="F3042" s="46" t="inlineStr">
        <is>
          <t>대명리</t>
        </is>
      </c>
      <c r="G3042" s="50" t="n"/>
      <c r="H3042" s="51" t="n"/>
      <c r="I3042" s="46" t="inlineStr">
        <is>
          <t>민재홍</t>
        </is>
      </c>
      <c r="K3042" s="46" t="n">
        <v>3041</v>
      </c>
      <c r="L3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3">
      <c r="A3043" s="229" t="n">
        <v>46247</v>
      </c>
      <c r="B3043" s="46" t="inlineStr">
        <is>
          <t>사용전검사</t>
        </is>
      </c>
      <c r="C3043" s="46" t="inlineStr">
        <is>
          <t>김포지역</t>
        </is>
      </c>
      <c r="D3043" s="46" t="inlineStr">
        <is>
          <t>제니태양광</t>
        </is>
      </c>
      <c r="E3043" s="46" t="n">
        <v>111</v>
      </c>
      <c r="F3043" s="46" t="inlineStr">
        <is>
          <t>학운리</t>
        </is>
      </c>
      <c r="G3043" s="50" t="n"/>
      <c r="H3043" s="51" t="n"/>
      <c r="I3043" s="46" t="inlineStr">
        <is>
          <t>민재홍</t>
        </is>
      </c>
      <c r="K3043" s="46" t="n">
        <v>3042</v>
      </c>
      <c r="L3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4">
      <c r="A3044" s="229" t="n">
        <v>46247</v>
      </c>
      <c r="B3044" s="46" t="inlineStr">
        <is>
          <t>사용전검사</t>
        </is>
      </c>
      <c r="C3044" s="46" t="inlineStr">
        <is>
          <t>김포지역</t>
        </is>
      </c>
      <c r="D3044" s="46" t="inlineStr">
        <is>
          <t>가금리1호</t>
        </is>
      </c>
      <c r="E3044" s="46" t="n">
        <v>89</v>
      </c>
      <c r="F3044" s="46" t="inlineStr">
        <is>
          <t>가금리</t>
        </is>
      </c>
      <c r="G3044" s="50" t="n"/>
      <c r="H3044" s="51" t="n"/>
      <c r="I3044" s="46" t="inlineStr">
        <is>
          <t>이덕기</t>
        </is>
      </c>
      <c r="K3044" s="46" t="n">
        <v>3043</v>
      </c>
      <c r="L3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5">
      <c r="A3045" s="229" t="n">
        <v>46247</v>
      </c>
      <c r="B3045" s="46" t="inlineStr">
        <is>
          <t>사용전검사</t>
        </is>
      </c>
      <c r="C3045" s="46" t="inlineStr">
        <is>
          <t>김포지역</t>
        </is>
      </c>
      <c r="D3045" s="46" t="inlineStr">
        <is>
          <t>가금리2호</t>
        </is>
      </c>
      <c r="E3045" s="46" t="n">
        <v>90</v>
      </c>
      <c r="F3045" s="46" t="inlineStr">
        <is>
          <t>가금리</t>
        </is>
      </c>
      <c r="G3045" s="50" t="n"/>
      <c r="H3045" s="51" t="n"/>
      <c r="I3045" s="46" t="inlineStr">
        <is>
          <t>이덕기</t>
        </is>
      </c>
      <c r="K3045" s="46" t="n">
        <v>3044</v>
      </c>
      <c r="L3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6">
      <c r="A3046" s="229" t="n">
        <v>46247</v>
      </c>
      <c r="B3046" s="46" t="inlineStr">
        <is>
          <t>사용전검사</t>
        </is>
      </c>
      <c r="C3046" s="46" t="inlineStr">
        <is>
          <t>김포지역</t>
        </is>
      </c>
      <c r="D3046" s="46" t="inlineStr">
        <is>
          <t>가금리3호</t>
        </is>
      </c>
      <c r="E3046" s="46" t="n">
        <v>91</v>
      </c>
      <c r="F3046" s="46" t="inlineStr">
        <is>
          <t>가금리</t>
        </is>
      </c>
      <c r="G3046" s="50" t="n"/>
      <c r="H3046" s="51" t="n"/>
      <c r="I3046" s="46" t="inlineStr">
        <is>
          <t>옹승완</t>
        </is>
      </c>
      <c r="K3046" s="46" t="n">
        <v>3045</v>
      </c>
      <c r="L3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7">
      <c r="A3047" s="229" t="n">
        <v>46247</v>
      </c>
      <c r="B3047" s="46" t="inlineStr">
        <is>
          <t>사용전검사</t>
        </is>
      </c>
      <c r="C3047" s="46" t="inlineStr">
        <is>
          <t>김포지역</t>
        </is>
      </c>
      <c r="D3047" s="46" t="inlineStr">
        <is>
          <t>가금리4호</t>
        </is>
      </c>
      <c r="E3047" s="46" t="n">
        <v>92</v>
      </c>
      <c r="F3047" s="46" t="inlineStr">
        <is>
          <t>가금리</t>
        </is>
      </c>
      <c r="G3047" s="50" t="n"/>
      <c r="H3047" s="51" t="n"/>
      <c r="I3047" s="46" t="inlineStr">
        <is>
          <t>옹승완</t>
        </is>
      </c>
      <c r="K3047" s="46" t="n">
        <v>3046</v>
      </c>
      <c r="L3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8">
      <c r="A3048" s="229" t="n">
        <v>46247</v>
      </c>
      <c r="B3048" s="46" t="inlineStr">
        <is>
          <t>사용전검사</t>
        </is>
      </c>
      <c r="C3048" s="46" t="inlineStr">
        <is>
          <t>김포지역</t>
        </is>
      </c>
      <c r="D3048" s="46" t="inlineStr">
        <is>
          <t>골드팡</t>
        </is>
      </c>
      <c r="E3048" s="46" t="n">
        <v>35</v>
      </c>
      <c r="F3048" s="46" t="inlineStr">
        <is>
          <t>원산리</t>
        </is>
      </c>
      <c r="G3048" s="50" t="n"/>
      <c r="H3048" s="51" t="n"/>
      <c r="I3048" s="46" t="inlineStr">
        <is>
          <t>허창수</t>
        </is>
      </c>
      <c r="K3048" s="46" t="n">
        <v>3047</v>
      </c>
      <c r="L3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9">
      <c r="A3049" s="229" t="n">
        <v>46247</v>
      </c>
      <c r="B3049" s="46" t="inlineStr">
        <is>
          <t>사용전검사</t>
        </is>
      </c>
      <c r="C3049" s="46" t="inlineStr">
        <is>
          <t>김포지역</t>
        </is>
      </c>
      <c r="D3049" s="46" t="inlineStr">
        <is>
          <t>혜영</t>
        </is>
      </c>
      <c r="E3049" s="46" t="n">
        <v>33</v>
      </c>
      <c r="F3049" s="46" t="inlineStr">
        <is>
          <t>쇄암리</t>
        </is>
      </c>
      <c r="G3049" s="50" t="n"/>
      <c r="H3049" s="51" t="n"/>
      <c r="I3049" s="46" t="inlineStr">
        <is>
          <t>변종국</t>
        </is>
      </c>
      <c r="K3049" s="46" t="n">
        <v>3048</v>
      </c>
      <c r="L3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0">
      <c r="A3050" s="229" t="n">
        <v>46248</v>
      </c>
      <c r="B3050" s="46" t="inlineStr">
        <is>
          <t>정기검사</t>
        </is>
      </c>
      <c r="C3050" s="46" t="inlineStr">
        <is>
          <t>부천지역</t>
        </is>
      </c>
      <c r="D3050" s="46" t="inlineStr">
        <is>
          <t>후암상사</t>
        </is>
      </c>
      <c r="E3050" s="46" t="n">
        <v>350</v>
      </c>
      <c r="F3050" s="46" t="inlineStr">
        <is>
          <t>도당동</t>
        </is>
      </c>
      <c r="G3050" s="50" t="n">
        <v>0.5</v>
      </c>
      <c r="H3050" s="51" t="n">
        <v>686180</v>
      </c>
      <c r="I3050" s="46" t="inlineStr">
        <is>
          <t>송낙명</t>
        </is>
      </c>
      <c r="K3050" s="46" t="n">
        <v>3049</v>
      </c>
      <c r="L3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1">
      <c r="A3051" s="229" t="n">
        <v>46248</v>
      </c>
      <c r="B3051" s="46" t="inlineStr">
        <is>
          <t>정기검사</t>
        </is>
      </c>
      <c r="C3051" s="46" t="inlineStr">
        <is>
          <t>부천지역</t>
        </is>
      </c>
      <c r="D3051" s="46" t="inlineStr">
        <is>
          <t>후암상사</t>
        </is>
      </c>
      <c r="E3051" s="46" t="n">
        <v>350</v>
      </c>
      <c r="F3051" s="46" t="inlineStr">
        <is>
          <t>도당동</t>
        </is>
      </c>
      <c r="G3051" s="50" t="n">
        <v>0.5208333333333334</v>
      </c>
      <c r="H3051" s="51" t="n">
        <v>686180</v>
      </c>
      <c r="I3051" s="46" t="inlineStr">
        <is>
          <t>김영권</t>
        </is>
      </c>
      <c r="K3051" s="46" t="n">
        <v>3050</v>
      </c>
      <c r="L3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2">
      <c r="A3052" s="229" t="n">
        <v>46248</v>
      </c>
      <c r="B3052" s="46" t="inlineStr">
        <is>
          <t>정기검사</t>
        </is>
      </c>
      <c r="C3052" s="46" t="inlineStr">
        <is>
          <t>부천지역</t>
        </is>
      </c>
      <c r="D3052" s="46" t="inlineStr">
        <is>
          <t>제이팰리스</t>
        </is>
      </c>
      <c r="E3052" s="46" t="inlineStr">
        <is>
          <t>200/182</t>
        </is>
      </c>
      <c r="F3052" s="46" t="inlineStr">
        <is>
          <t>심곡본동</t>
        </is>
      </c>
      <c r="G3052" s="50" t="n">
        <v>0.3958333333333333</v>
      </c>
      <c r="H3052" s="51" t="n">
        <v>647130</v>
      </c>
      <c r="I3052" s="46" t="inlineStr">
        <is>
          <t>옹승완</t>
        </is>
      </c>
      <c r="K3052" s="46" t="n">
        <v>3051</v>
      </c>
      <c r="L3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3">
      <c r="A3053" s="229" t="n">
        <v>46248</v>
      </c>
      <c r="B3053" s="46" t="inlineStr">
        <is>
          <t>정기검사</t>
        </is>
      </c>
      <c r="C3053" s="46" t="inlineStr">
        <is>
          <t>김포지역</t>
        </is>
      </c>
      <c r="D3053" s="46" t="inlineStr">
        <is>
          <t>경동미르웰시티</t>
        </is>
      </c>
      <c r="E3053" s="46" t="inlineStr">
        <is>
          <t>전기차</t>
        </is>
      </c>
      <c r="F3053" s="46" t="inlineStr">
        <is>
          <t>장기동</t>
        </is>
      </c>
      <c r="G3053" s="50" t="n">
        <v>0.5833333333333334</v>
      </c>
      <c r="H3053" s="51" t="n">
        <v>279950</v>
      </c>
      <c r="I3053" s="46" t="inlineStr">
        <is>
          <t>당효진</t>
        </is>
      </c>
      <c r="K3053" s="46" t="n">
        <v>3052</v>
      </c>
      <c r="L3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4">
      <c r="A3054" s="229" t="n">
        <v>46248</v>
      </c>
      <c r="B3054" s="46" t="inlineStr">
        <is>
          <t>정기검사</t>
        </is>
      </c>
      <c r="C3054" s="46" t="inlineStr">
        <is>
          <t>김포지역</t>
        </is>
      </c>
      <c r="D3054" s="46" t="inlineStr">
        <is>
          <t>경동미르웰시티</t>
        </is>
      </c>
      <c r="E3054" s="46" t="inlineStr">
        <is>
          <t>전기차</t>
        </is>
      </c>
      <c r="F3054" s="46" t="n"/>
      <c r="G3054" s="50" t="n"/>
      <c r="H3054" s="51" t="n">
        <v>254450</v>
      </c>
      <c r="I3054" s="46" t="inlineStr">
        <is>
          <t>당효진</t>
        </is>
      </c>
      <c r="K3054" s="46" t="n">
        <v>3053</v>
      </c>
      <c r="L3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5">
      <c r="A3055" s="229" t="n">
        <v>46248</v>
      </c>
      <c r="B3055" s="46" t="inlineStr">
        <is>
          <t>메모</t>
        </is>
      </c>
      <c r="C3055" s="46" t="inlineStr">
        <is>
          <t>부천지역</t>
        </is>
      </c>
      <c r="D3055" s="46" t="inlineStr">
        <is>
          <t>허록종건강</t>
        </is>
      </c>
      <c r="E3055" s="46" t="n"/>
      <c r="F3055" s="46" t="n"/>
      <c r="G3055" s="50" t="n"/>
      <c r="H3055" s="51" t="n"/>
      <c r="I3055" s="46" t="n"/>
      <c r="K3055" s="46" t="n">
        <v>3054</v>
      </c>
      <c r="L3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6">
      <c r="A3056" s="229" t="n">
        <v>46248</v>
      </c>
      <c r="B3056" s="46" t="inlineStr">
        <is>
          <t>메모</t>
        </is>
      </c>
      <c r="C3056" s="46" t="inlineStr">
        <is>
          <t>부천지역</t>
        </is>
      </c>
      <c r="D3056" s="46" t="inlineStr">
        <is>
          <t>한태희휴가</t>
        </is>
      </c>
      <c r="E3056" s="46" t="n"/>
      <c r="F3056" s="46" t="n"/>
      <c r="G3056" s="50" t="n"/>
      <c r="H3056" s="51" t="n"/>
      <c r="I3056" s="46" t="n"/>
      <c r="K3056" s="46" t="n">
        <v>3055</v>
      </c>
      <c r="L3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7">
      <c r="A3057" s="229" t="n">
        <v>46248</v>
      </c>
      <c r="B3057" s="46" t="inlineStr">
        <is>
          <t>메모</t>
        </is>
      </c>
      <c r="C3057" s="46" t="inlineStr">
        <is>
          <t>부천지역</t>
        </is>
      </c>
      <c r="D3057" s="46" t="inlineStr">
        <is>
          <t>정신배휴가</t>
        </is>
      </c>
      <c r="E3057" s="46" t="inlineStr">
        <is>
          <t>정성관-당효진</t>
        </is>
      </c>
      <c r="F3057" s="46" t="n"/>
      <c r="G3057" s="50" t="n"/>
      <c r="H3057" s="51" t="n"/>
      <c r="I3057" s="46" t="n"/>
      <c r="K3057" s="46" t="n">
        <v>3056</v>
      </c>
      <c r="L3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8">
      <c r="A3058" s="229" t="n">
        <v>46248</v>
      </c>
      <c r="B3058" s="46" t="inlineStr">
        <is>
          <t>메모</t>
        </is>
      </c>
      <c r="C3058" s="46" t="inlineStr">
        <is>
          <t>부천지역</t>
        </is>
      </c>
      <c r="D3058" s="46" t="inlineStr">
        <is>
          <t>민재홍휴가</t>
        </is>
      </c>
      <c r="E3058" s="46" t="n"/>
      <c r="F3058" s="46" t="n"/>
      <c r="G3058" s="50" t="n"/>
      <c r="H3058" s="51" t="n"/>
      <c r="I3058" s="46" t="n"/>
      <c r="K3058" s="46" t="n">
        <v>3057</v>
      </c>
      <c r="L3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9">
      <c r="A3059" s="229" t="n">
        <v>46248</v>
      </c>
      <c r="B3059" s="46" t="inlineStr">
        <is>
          <t>사용전검사</t>
        </is>
      </c>
      <c r="C3059" s="46" t="inlineStr">
        <is>
          <t>김포지역</t>
        </is>
      </c>
      <c r="D3059" s="46" t="inlineStr">
        <is>
          <t>러브니에1호</t>
        </is>
      </c>
      <c r="E3059" s="46" t="n">
        <v>61</v>
      </c>
      <c r="F3059" s="46" t="inlineStr">
        <is>
          <t>쇄암리</t>
        </is>
      </c>
      <c r="G3059" s="50" t="n"/>
      <c r="H3059" s="51" t="n"/>
      <c r="I3059" s="46" t="inlineStr">
        <is>
          <t>변종국</t>
        </is>
      </c>
      <c r="K3059" s="46" t="n">
        <v>3058</v>
      </c>
      <c r="L3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0">
      <c r="A3060" s="229" t="n">
        <v>46248</v>
      </c>
      <c r="B3060" s="46" t="inlineStr">
        <is>
          <t>사용전검사</t>
        </is>
      </c>
      <c r="C3060" s="46" t="inlineStr">
        <is>
          <t>김포지역</t>
        </is>
      </c>
      <c r="D3060" s="46" t="inlineStr">
        <is>
          <t>러브니에2호</t>
        </is>
      </c>
      <c r="E3060" s="46" t="n">
        <v>62</v>
      </c>
      <c r="F3060" s="46" t="inlineStr">
        <is>
          <t>쇄암리</t>
        </is>
      </c>
      <c r="G3060" s="50" t="n"/>
      <c r="H3060" s="51" t="n"/>
      <c r="I3060" s="46" t="inlineStr">
        <is>
          <t>변종국</t>
        </is>
      </c>
      <c r="K3060" s="46" t="n">
        <v>3059</v>
      </c>
      <c r="L3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1">
      <c r="A3061" s="229" t="n">
        <v>46248</v>
      </c>
      <c r="B3061" s="46" t="inlineStr">
        <is>
          <t>사용전검사</t>
        </is>
      </c>
      <c r="C3061" s="46" t="inlineStr">
        <is>
          <t>김포지역</t>
        </is>
      </c>
      <c r="D3061" s="46" t="inlineStr">
        <is>
          <t>러브니에3호</t>
        </is>
      </c>
      <c r="E3061" s="46" t="n">
        <v>63</v>
      </c>
      <c r="F3061" s="46" t="inlineStr">
        <is>
          <t>쇄암리</t>
        </is>
      </c>
      <c r="G3061" s="50" t="n"/>
      <c r="H3061" s="51" t="n"/>
      <c r="I3061" s="46" t="inlineStr">
        <is>
          <t>이종석</t>
        </is>
      </c>
      <c r="K3061" s="46" t="n">
        <v>3060</v>
      </c>
      <c r="L3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2">
      <c r="A3062" s="229" t="n">
        <v>46248</v>
      </c>
      <c r="B3062" s="46" t="inlineStr">
        <is>
          <t>사용전검사</t>
        </is>
      </c>
      <c r="C3062" s="46" t="inlineStr">
        <is>
          <t>김포지역</t>
        </is>
      </c>
      <c r="D3062" s="46" t="inlineStr">
        <is>
          <t>그랜트코리아</t>
        </is>
      </c>
      <c r="E3062" s="46" t="n">
        <v>170</v>
      </c>
      <c r="F3062" s="46" t="inlineStr">
        <is>
          <t>초원지리</t>
        </is>
      </c>
      <c r="G3062" s="50" t="n"/>
      <c r="H3062" s="51" t="n"/>
      <c r="I3062" s="46" t="inlineStr">
        <is>
          <t>당효진</t>
        </is>
      </c>
      <c r="K3062" s="46" t="n">
        <v>3061</v>
      </c>
      <c r="L3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3">
      <c r="A3063" s="229" t="n">
        <v>46248</v>
      </c>
      <c r="B3063" s="46" t="inlineStr">
        <is>
          <t>사용전검사</t>
        </is>
      </c>
      <c r="C3063" s="46" t="inlineStr">
        <is>
          <t>김포지역</t>
        </is>
      </c>
      <c r="D3063" s="46" t="inlineStr">
        <is>
          <t>호반산업</t>
        </is>
      </c>
      <c r="E3063" s="46" t="n">
        <v>700</v>
      </c>
      <c r="F3063" s="46" t="inlineStr">
        <is>
          <t>사우동</t>
        </is>
      </c>
      <c r="G3063" s="50" t="n"/>
      <c r="H3063" s="51" t="n"/>
      <c r="I3063" s="46" t="inlineStr">
        <is>
          <t>송낙명</t>
        </is>
      </c>
      <c r="K3063" s="46" t="n">
        <v>3062</v>
      </c>
      <c r="L3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4">
      <c r="A3064" s="229" t="n">
        <v>46249</v>
      </c>
      <c r="B3064" s="46" t="inlineStr">
        <is>
          <t>사용전검사</t>
        </is>
      </c>
      <c r="C3064" s="46" t="inlineStr">
        <is>
          <t>부천지역</t>
        </is>
      </c>
      <c r="D3064" s="46" t="inlineStr">
        <is>
          <t>스카이빌딩</t>
        </is>
      </c>
      <c r="E3064" s="46" t="inlineStr">
        <is>
          <t>변경</t>
        </is>
      </c>
      <c r="F3064" s="46" t="inlineStr">
        <is>
          <t>역곡동</t>
        </is>
      </c>
      <c r="G3064" s="50" t="n">
        <v>0.25</v>
      </c>
      <c r="H3064" s="51" t="n"/>
      <c r="I3064" s="46" t="n"/>
      <c r="J3064" t="inlineStr">
        <is>
          <t>검사자 원본값: 281710</t>
        </is>
      </c>
      <c r="K3064" s="46" t="n">
        <v>3063</v>
      </c>
      <c r="L3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5">
      <c r="A3065" s="229" t="n">
        <v>46249</v>
      </c>
      <c r="B3065" s="46" t="inlineStr">
        <is>
          <t>사용전검사</t>
        </is>
      </c>
      <c r="C3065" s="46" t="inlineStr">
        <is>
          <t>부천지역</t>
        </is>
      </c>
      <c r="D3065" s="46" t="inlineStr">
        <is>
          <t>영광금속</t>
        </is>
      </c>
      <c r="E3065" s="46" t="inlineStr">
        <is>
          <t>변변</t>
        </is>
      </c>
      <c r="F3065" s="46" t="inlineStr">
        <is>
          <t>내동</t>
        </is>
      </c>
      <c r="G3065" s="50" t="n"/>
      <c r="H3065" s="51" t="n"/>
      <c r="I3065" s="46" t="n"/>
      <c r="K3065" s="46" t="n">
        <v>3064</v>
      </c>
      <c r="L3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6">
      <c r="A3066" s="229" t="n">
        <v>46249</v>
      </c>
      <c r="B3066" s="46" t="inlineStr">
        <is>
          <t>메모</t>
        </is>
      </c>
      <c r="C3066" s="46" t="inlineStr">
        <is>
          <t>부천지역</t>
        </is>
      </c>
      <c r="D3066" s="46" t="inlineStr">
        <is>
          <t>이종석휴가</t>
        </is>
      </c>
      <c r="E3066" s="46" t="n"/>
      <c r="F3066" s="46" t="n"/>
      <c r="G3066" s="50" t="n"/>
      <c r="H3066" s="51" t="n"/>
      <c r="I3066" s="46" t="n"/>
      <c r="K3066" s="46" t="n">
        <v>3065</v>
      </c>
      <c r="L3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7">
      <c r="A3067" s="229" t="n">
        <v>46249</v>
      </c>
      <c r="B3067" s="46" t="inlineStr">
        <is>
          <t>메모</t>
        </is>
      </c>
      <c r="C3067" s="46" t="inlineStr">
        <is>
          <t>부천지역</t>
        </is>
      </c>
      <c r="D3067" s="46" t="inlineStr">
        <is>
          <t>허록종휴가</t>
        </is>
      </c>
      <c r="E3067" s="46" t="n"/>
      <c r="F3067" s="46" t="n"/>
      <c r="G3067" s="50" t="n"/>
      <c r="H3067" s="51" t="n"/>
      <c r="I3067" s="46" t="n"/>
      <c r="K3067" s="46" t="n">
        <v>3066</v>
      </c>
      <c r="L3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8">
      <c r="A3068" s="229" t="n">
        <v>46249</v>
      </c>
      <c r="B3068" s="46" t="inlineStr">
        <is>
          <t>메모</t>
        </is>
      </c>
      <c r="C3068" s="46" t="inlineStr">
        <is>
          <t>부천지역</t>
        </is>
      </c>
      <c r="D3068" s="46" t="inlineStr">
        <is>
          <t>민재홍휴가</t>
        </is>
      </c>
      <c r="E3068" s="46" t="n"/>
      <c r="F3068" s="46" t="n"/>
      <c r="G3068" s="50" t="n"/>
      <c r="H3068" s="51" t="n"/>
      <c r="I3068" s="46" t="n"/>
      <c r="K3068" s="46" t="n">
        <v>3067</v>
      </c>
      <c r="L3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9">
      <c r="A3069" s="229" t="n">
        <v>46249</v>
      </c>
      <c r="B3069" s="46" t="inlineStr">
        <is>
          <t>메모</t>
        </is>
      </c>
      <c r="C3069" s="46" t="inlineStr">
        <is>
          <t>부천지역</t>
        </is>
      </c>
      <c r="D3069" s="46" t="inlineStr">
        <is>
          <t>한태희휴가</t>
        </is>
      </c>
      <c r="E3069" s="46" t="n"/>
      <c r="F3069" s="46" t="n"/>
      <c r="G3069" s="50" t="n"/>
      <c r="H3069" s="51" t="n"/>
      <c r="I3069" s="46" t="n"/>
      <c r="K3069" s="46" t="n">
        <v>3068</v>
      </c>
      <c r="L3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0">
      <c r="A3070" s="229" t="n">
        <v>46250</v>
      </c>
      <c r="B3070" s="46" t="inlineStr">
        <is>
          <t>메모</t>
        </is>
      </c>
      <c r="C3070" s="46" t="inlineStr">
        <is>
          <t>부천지역</t>
        </is>
      </c>
      <c r="D3070" s="46" t="inlineStr">
        <is>
          <t>이종석휴가</t>
        </is>
      </c>
      <c r="E3070" s="46" t="n"/>
      <c r="F3070" s="46" t="n"/>
      <c r="G3070" s="50" t="n"/>
      <c r="H3070" s="51" t="n"/>
      <c r="I3070" s="46" t="n"/>
      <c r="K3070" s="46" t="n">
        <v>3069</v>
      </c>
      <c r="L3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1">
      <c r="A3071" s="229" t="n">
        <v>46250</v>
      </c>
      <c r="B3071" s="46" t="inlineStr">
        <is>
          <t>메모</t>
        </is>
      </c>
      <c r="C3071" s="46" t="inlineStr">
        <is>
          <t>부천지역</t>
        </is>
      </c>
      <c r="D3071" s="46" t="inlineStr">
        <is>
          <t>허록종휴가</t>
        </is>
      </c>
      <c r="E3071" s="46" t="n"/>
      <c r="F3071" s="46" t="n"/>
      <c r="G3071" s="50" t="n"/>
      <c r="H3071" s="51" t="n"/>
      <c r="I3071" s="46" t="n"/>
      <c r="K3071" s="46" t="n">
        <v>3070</v>
      </c>
      <c r="L3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2">
      <c r="A3072" s="229" t="n">
        <v>46250</v>
      </c>
      <c r="B3072" s="46" t="inlineStr">
        <is>
          <t>메모</t>
        </is>
      </c>
      <c r="C3072" s="46" t="inlineStr">
        <is>
          <t>부천지역</t>
        </is>
      </c>
      <c r="D3072" s="46" t="inlineStr">
        <is>
          <t>민재홍휴가</t>
        </is>
      </c>
      <c r="E3072" s="46" t="n"/>
      <c r="F3072" s="46" t="n"/>
      <c r="G3072" s="50" t="n"/>
      <c r="H3072" s="51" t="n"/>
      <c r="I3072" s="46" t="n"/>
      <c r="K3072" s="46" t="n">
        <v>3071</v>
      </c>
      <c r="L3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3">
      <c r="A3073" s="229" t="n">
        <v>46250</v>
      </c>
      <c r="B3073" s="46" t="inlineStr">
        <is>
          <t>메모</t>
        </is>
      </c>
      <c r="C3073" s="46" t="inlineStr">
        <is>
          <t>부천지역</t>
        </is>
      </c>
      <c r="D3073" s="46" t="inlineStr">
        <is>
          <t>한태희휴가</t>
        </is>
      </c>
      <c r="E3073" s="46" t="n"/>
      <c r="F3073" s="46" t="n"/>
      <c r="G3073" s="50" t="n"/>
      <c r="H3073" s="51" t="n"/>
      <c r="I3073" s="46" t="n"/>
      <c r="K3073" s="46" t="n">
        <v>3072</v>
      </c>
      <c r="L3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4">
      <c r="A3074" s="229" t="n">
        <v>46251</v>
      </c>
      <c r="B3074" s="46" t="inlineStr">
        <is>
          <t>메모</t>
        </is>
      </c>
      <c r="C3074" s="46" t="inlineStr">
        <is>
          <t>부천지역</t>
        </is>
      </c>
      <c r="D3074" s="46" t="inlineStr">
        <is>
          <t>이종석휴가</t>
        </is>
      </c>
      <c r="E3074" s="46" t="n"/>
      <c r="F3074" s="46" t="n"/>
      <c r="G3074" s="50" t="n"/>
      <c r="H3074" s="51" t="n"/>
      <c r="I3074" s="46" t="n"/>
      <c r="K3074" s="46" t="n">
        <v>3073</v>
      </c>
      <c r="L3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5">
      <c r="A3075" s="229" t="n">
        <v>46251</v>
      </c>
      <c r="B3075" s="46" t="inlineStr">
        <is>
          <t>메모</t>
        </is>
      </c>
      <c r="C3075" s="46" t="inlineStr">
        <is>
          <t>부천지역</t>
        </is>
      </c>
      <c r="D3075" s="46" t="inlineStr">
        <is>
          <t>민재홍휴가</t>
        </is>
      </c>
      <c r="E3075" s="46" t="n"/>
      <c r="F3075" s="46" t="n"/>
      <c r="G3075" s="50" t="n"/>
      <c r="H3075" s="51" t="n"/>
      <c r="I3075" s="46" t="n"/>
      <c r="K3075" s="46" t="n">
        <v>3074</v>
      </c>
      <c r="L3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6">
      <c r="A3076" s="229" t="n">
        <v>46251</v>
      </c>
      <c r="B3076" s="46" t="inlineStr">
        <is>
          <t>메모</t>
        </is>
      </c>
      <c r="C3076" s="46" t="inlineStr">
        <is>
          <t>부천지역</t>
        </is>
      </c>
      <c r="D3076" s="46" t="inlineStr">
        <is>
          <t>허록종휴가</t>
        </is>
      </c>
      <c r="E3076" s="46" t="n"/>
      <c r="F3076" s="46" t="n"/>
      <c r="G3076" s="50" t="n"/>
      <c r="H3076" s="51" t="n"/>
      <c r="I3076" s="46" t="n"/>
      <c r="K3076" s="46" t="n">
        <v>3075</v>
      </c>
      <c r="L3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7">
      <c r="A3077" s="229" t="n">
        <v>46252</v>
      </c>
      <c r="B3077" s="46" t="inlineStr">
        <is>
          <t>정기검사</t>
        </is>
      </c>
      <c r="C3077" s="46" t="inlineStr">
        <is>
          <t>부천지역</t>
        </is>
      </c>
      <c r="D3077" s="46" t="inlineStr">
        <is>
          <t>태양산업조명</t>
        </is>
      </c>
      <c r="E3077" s="46" t="n">
        <v>400</v>
      </c>
      <c r="F3077" s="46" t="inlineStr">
        <is>
          <t>내동</t>
        </is>
      </c>
      <c r="G3077" s="50" t="n">
        <v>0.5</v>
      </c>
      <c r="H3077" s="51" t="n">
        <v>703120</v>
      </c>
      <c r="I3077" s="46" t="inlineStr">
        <is>
          <t>한태희</t>
        </is>
      </c>
      <c r="K3077" s="46" t="n">
        <v>3076</v>
      </c>
      <c r="L3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8">
      <c r="A3078" s="229" t="n">
        <v>46252</v>
      </c>
      <c r="B3078" s="46" t="inlineStr">
        <is>
          <t>정기검사</t>
        </is>
      </c>
      <c r="C3078" s="46" t="inlineStr">
        <is>
          <t>부천지역</t>
        </is>
      </c>
      <c r="D3078" s="46" t="inlineStr">
        <is>
          <t>장돈수건물</t>
        </is>
      </c>
      <c r="E3078" s="46" t="n">
        <v>293</v>
      </c>
      <c r="F3078" s="46" t="inlineStr">
        <is>
          <t>삼정동</t>
        </is>
      </c>
      <c r="G3078" s="50" t="n">
        <v>0.4791666666666667</v>
      </c>
      <c r="H3078" s="51" t="n">
        <v>517110</v>
      </c>
      <c r="I3078" s="46" t="inlineStr">
        <is>
          <t>민재홍</t>
        </is>
      </c>
      <c r="K3078" s="46" t="n">
        <v>3077</v>
      </c>
      <c r="L3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9">
      <c r="A3079" s="229" t="n">
        <v>46252</v>
      </c>
      <c r="B3079" s="46" t="inlineStr">
        <is>
          <t>정기검사</t>
        </is>
      </c>
      <c r="C3079" s="46" t="inlineStr">
        <is>
          <t>부천지역</t>
        </is>
      </c>
      <c r="D3079" s="46" t="inlineStr">
        <is>
          <t>위드더스테이트</t>
        </is>
      </c>
      <c r="E3079" s="46" t="inlineStr">
        <is>
          <t>전기차</t>
        </is>
      </c>
      <c r="F3079" s="46" t="inlineStr">
        <is>
          <t>중동</t>
        </is>
      </c>
      <c r="G3079" s="50" t="n">
        <v>0.4166666666666667</v>
      </c>
      <c r="H3079" s="51" t="n">
        <v>72710</v>
      </c>
      <c r="I3079" s="46" t="inlineStr">
        <is>
          <t>변종국</t>
        </is>
      </c>
      <c r="K3079" s="46" t="n">
        <v>3078</v>
      </c>
      <c r="L3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0">
      <c r="A3080" s="229" t="n">
        <v>46252</v>
      </c>
      <c r="B3080" s="46" t="inlineStr">
        <is>
          <t>정기검사</t>
        </is>
      </c>
      <c r="C3080" s="46" t="inlineStr">
        <is>
          <t>부천지역</t>
        </is>
      </c>
      <c r="D3080" s="46" t="inlineStr">
        <is>
          <t>위드더스테이트</t>
        </is>
      </c>
      <c r="E3080" s="46" t="inlineStr">
        <is>
          <t>전기차</t>
        </is>
      </c>
      <c r="F3080" s="46" t="inlineStr">
        <is>
          <t>중동</t>
        </is>
      </c>
      <c r="G3080" s="50" t="n">
        <v>0.4583333333333333</v>
      </c>
      <c r="H3080" s="51" t="n">
        <v>72710</v>
      </c>
      <c r="I3080" s="46" t="inlineStr">
        <is>
          <t>변종국</t>
        </is>
      </c>
      <c r="K3080" s="46" t="n">
        <v>3079</v>
      </c>
      <c r="L3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1">
      <c r="A3081" s="229" t="n">
        <v>46252</v>
      </c>
      <c r="B3081" s="46" t="inlineStr">
        <is>
          <t>정기검사</t>
        </is>
      </c>
      <c r="C3081" s="46" t="inlineStr">
        <is>
          <t>부천지역</t>
        </is>
      </c>
      <c r="D3081" s="46" t="inlineStr">
        <is>
          <t>광서유치원</t>
        </is>
      </c>
      <c r="E3081" s="46" t="n">
        <v>200</v>
      </c>
      <c r="F3081" s="46" t="inlineStr">
        <is>
          <t>상동</t>
        </is>
      </c>
      <c r="G3081" s="50" t="n">
        <v>0.3958333333333333</v>
      </c>
      <c r="H3081" s="51" t="n">
        <v>456720</v>
      </c>
      <c r="I3081" s="46" t="inlineStr">
        <is>
          <t>송낙명</t>
        </is>
      </c>
      <c r="K3081" s="46" t="n">
        <v>3080</v>
      </c>
      <c r="L3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2">
      <c r="A3082" s="229" t="n">
        <v>46252</v>
      </c>
      <c r="B3082" s="46" t="inlineStr">
        <is>
          <t>정기검사</t>
        </is>
      </c>
      <c r="C3082" s="46" t="inlineStr">
        <is>
          <t>김포지역</t>
        </is>
      </c>
      <c r="D3082" s="46" t="inlineStr">
        <is>
          <t>풍무초</t>
        </is>
      </c>
      <c r="E3082" s="46" t="n">
        <v>45</v>
      </c>
      <c r="F3082" s="46" t="inlineStr">
        <is>
          <t>풍무동</t>
        </is>
      </c>
      <c r="G3082" s="50" t="n">
        <v>0.4166666666666667</v>
      </c>
      <c r="H3082" s="51" t="n">
        <v>198000</v>
      </c>
      <c r="I3082" s="46" t="inlineStr">
        <is>
          <t>정성관</t>
        </is>
      </c>
      <c r="K3082" s="46" t="n">
        <v>3081</v>
      </c>
      <c r="L3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3">
      <c r="A3083" s="229" t="n">
        <v>46252</v>
      </c>
      <c r="B3083" s="46" t="inlineStr">
        <is>
          <t>정기검사</t>
        </is>
      </c>
      <c r="C3083" s="46" t="inlineStr">
        <is>
          <t>김포지역</t>
        </is>
      </c>
      <c r="D3083" s="46" t="inlineStr">
        <is>
          <t>서문팀버</t>
        </is>
      </c>
      <c r="E3083" s="46" t="n">
        <v>500</v>
      </c>
      <c r="F3083" s="46" t="inlineStr">
        <is>
          <t>약암리</t>
        </is>
      </c>
      <c r="G3083" s="50" t="n">
        <v>0.5416666666666666</v>
      </c>
      <c r="H3083" s="51" t="n">
        <v>737000</v>
      </c>
      <c r="I3083" s="46" t="inlineStr">
        <is>
          <t>허록종</t>
        </is>
      </c>
      <c r="K3083" s="46" t="n">
        <v>3082</v>
      </c>
      <c r="L3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4">
      <c r="A3084" s="229" t="n">
        <v>46252</v>
      </c>
      <c r="B3084" s="46" t="inlineStr">
        <is>
          <t>정기검사</t>
        </is>
      </c>
      <c r="C3084" s="46" t="inlineStr">
        <is>
          <t>김포지역</t>
        </is>
      </c>
      <c r="D3084" s="46" t="inlineStr">
        <is>
          <t>오성엔비테크</t>
        </is>
      </c>
      <c r="E3084" s="46" t="n">
        <v>450</v>
      </c>
      <c r="F3084" s="46" t="inlineStr">
        <is>
          <t>석정리</t>
        </is>
      </c>
      <c r="G3084" s="50" t="n">
        <v>0.5416666666666666</v>
      </c>
      <c r="H3084" s="51" t="n">
        <v>720060</v>
      </c>
      <c r="I3084" s="46" t="inlineStr">
        <is>
          <t>이덕기</t>
        </is>
      </c>
      <c r="K3084" s="46" t="n">
        <v>3083</v>
      </c>
      <c r="L3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5">
      <c r="A3085" s="229" t="n">
        <v>46252</v>
      </c>
      <c r="B3085" s="46" t="inlineStr">
        <is>
          <t>정기검사</t>
        </is>
      </c>
      <c r="C3085" s="46" t="inlineStr">
        <is>
          <t>김포지역</t>
        </is>
      </c>
      <c r="D3085" s="46" t="inlineStr">
        <is>
          <t>신대명에너지</t>
        </is>
      </c>
      <c r="E3085" s="46" t="n">
        <v>300</v>
      </c>
      <c r="F3085" s="46" t="inlineStr">
        <is>
          <t>약암리</t>
        </is>
      </c>
      <c r="G3085" s="50" t="n">
        <v>0.5833333333333334</v>
      </c>
      <c r="H3085" s="51" t="n">
        <v>521730</v>
      </c>
      <c r="I3085" s="46" t="inlineStr">
        <is>
          <t>서수형</t>
        </is>
      </c>
      <c r="K3085" s="46" t="n">
        <v>3084</v>
      </c>
      <c r="L3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6">
      <c r="A3086" s="229" t="n">
        <v>46252</v>
      </c>
      <c r="B3086" s="46" t="inlineStr">
        <is>
          <t>사용전검사</t>
        </is>
      </c>
      <c r="C3086" s="46" t="inlineStr">
        <is>
          <t>부천지역</t>
        </is>
      </c>
      <c r="D3086" s="46" t="inlineStr">
        <is>
          <t>충청청과</t>
        </is>
      </c>
      <c r="E3086" s="46" t="n">
        <v>8</v>
      </c>
      <c r="F3086" s="46" t="inlineStr">
        <is>
          <t>춘의동</t>
        </is>
      </c>
      <c r="G3086" s="50" t="n"/>
      <c r="H3086" s="51" t="n"/>
      <c r="I3086" s="46" t="inlineStr">
        <is>
          <t>변종국</t>
        </is>
      </c>
      <c r="K3086" s="46" t="n">
        <v>3085</v>
      </c>
      <c r="L3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7">
      <c r="A3087" s="229" t="n">
        <v>46252</v>
      </c>
      <c r="B3087" s="46" t="inlineStr">
        <is>
          <t>메모</t>
        </is>
      </c>
      <c r="C3087" s="46" t="inlineStr">
        <is>
          <t>부천지역</t>
        </is>
      </c>
      <c r="D3087" s="46" t="inlineStr">
        <is>
          <t>이종석휴가</t>
        </is>
      </c>
      <c r="E3087" s="46" t="inlineStr">
        <is>
          <t>변종국-민재홍</t>
        </is>
      </c>
      <c r="F3087" s="46" t="n"/>
      <c r="G3087" s="50" t="n"/>
      <c r="H3087" s="51" t="n"/>
      <c r="I3087" s="46" t="n"/>
      <c r="K3087" s="46" t="n">
        <v>3086</v>
      </c>
      <c r="L3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8">
      <c r="A3088" s="229" t="n">
        <v>46252</v>
      </c>
      <c r="B3088" s="46" t="inlineStr">
        <is>
          <t>메모</t>
        </is>
      </c>
      <c r="C3088" s="46" t="inlineStr">
        <is>
          <t>부천지역</t>
        </is>
      </c>
      <c r="D3088" s="46" t="inlineStr">
        <is>
          <t>김영권휴가</t>
        </is>
      </c>
      <c r="E3088" s="46" t="inlineStr">
        <is>
          <t>민재홍</t>
        </is>
      </c>
      <c r="F3088" s="46" t="n"/>
      <c r="G3088" s="50" t="n"/>
      <c r="H3088" s="51" t="n"/>
      <c r="I3088" s="46" t="n"/>
      <c r="K3088" s="46" t="n">
        <v>3087</v>
      </c>
      <c r="L3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9">
      <c r="A3089" s="229" t="n">
        <v>46252</v>
      </c>
      <c r="B3089" s="46" t="inlineStr">
        <is>
          <t>사용전검사</t>
        </is>
      </c>
      <c r="C3089" s="46" t="inlineStr">
        <is>
          <t>김포지역</t>
        </is>
      </c>
      <c r="D3089" s="46" t="inlineStr">
        <is>
          <t>현대태양광</t>
        </is>
      </c>
      <c r="E3089" s="46" t="n">
        <v>67</v>
      </c>
      <c r="F3089" s="46" t="inlineStr">
        <is>
          <t>대명리</t>
        </is>
      </c>
      <c r="G3089" s="50" t="n"/>
      <c r="H3089" s="51" t="n"/>
      <c r="I3089" s="46" t="inlineStr">
        <is>
          <t>옹승완</t>
        </is>
      </c>
      <c r="K3089" s="46" t="n">
        <v>3088</v>
      </c>
      <c r="L3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0">
      <c r="A3090" s="229" t="n">
        <v>46252</v>
      </c>
      <c r="B3090" s="46" t="inlineStr">
        <is>
          <t>사용전검사</t>
        </is>
      </c>
      <c r="C3090" s="46" t="inlineStr">
        <is>
          <t>김포지역</t>
        </is>
      </c>
      <c r="D3090" s="46" t="inlineStr">
        <is>
          <t>연두태양광</t>
        </is>
      </c>
      <c r="E3090" s="46" t="n">
        <v>72</v>
      </c>
      <c r="F3090" s="46" t="inlineStr">
        <is>
          <t>원산리</t>
        </is>
      </c>
      <c r="G3090" s="50" t="n"/>
      <c r="H3090" s="51" t="n"/>
      <c r="I3090" s="46" t="inlineStr">
        <is>
          <t>정성관</t>
        </is>
      </c>
      <c r="K3090" s="46" t="n">
        <v>3089</v>
      </c>
      <c r="L3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1">
      <c r="A3091" s="229" t="n">
        <v>46253</v>
      </c>
      <c r="B3091" s="46" t="inlineStr">
        <is>
          <t>정기검사</t>
        </is>
      </c>
      <c r="C3091" s="46" t="inlineStr">
        <is>
          <t>부천지역</t>
        </is>
      </c>
      <c r="D3091" s="46" t="inlineStr">
        <is>
          <t>프리마빌딩</t>
        </is>
      </c>
      <c r="E3091" s="46" t="n">
        <v>300</v>
      </c>
      <c r="F3091" s="46" t="inlineStr">
        <is>
          <t>도당동</t>
        </is>
      </c>
      <c r="G3091" s="50" t="n">
        <v>0.3958333333333333</v>
      </c>
      <c r="H3091" s="51" t="n">
        <v>521730</v>
      </c>
      <c r="I3091" s="46" t="inlineStr">
        <is>
          <t>정성관</t>
        </is>
      </c>
      <c r="K3091" s="46" t="n">
        <v>3090</v>
      </c>
      <c r="L3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2">
      <c r="A3092" s="229" t="n">
        <v>46253</v>
      </c>
      <c r="B3092" s="46" t="inlineStr">
        <is>
          <t>정기검사</t>
        </is>
      </c>
      <c r="C3092" s="46" t="inlineStr">
        <is>
          <t>부천지역</t>
        </is>
      </c>
      <c r="D3092" s="46" t="inlineStr">
        <is>
          <t>오정결찰서</t>
        </is>
      </c>
      <c r="E3092" s="46" t="n">
        <v>100</v>
      </c>
      <c r="F3092" s="46" t="inlineStr">
        <is>
          <t>오정동</t>
        </is>
      </c>
      <c r="G3092" s="50" t="n">
        <v>0.4166666666666667</v>
      </c>
      <c r="H3092" s="51" t="n">
        <v>289300</v>
      </c>
      <c r="I3092" s="46" t="inlineStr">
        <is>
          <t>정신배</t>
        </is>
      </c>
      <c r="K3092" s="46" t="n">
        <v>3091</v>
      </c>
      <c r="L3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3">
      <c r="A3093" s="229" t="n">
        <v>46253</v>
      </c>
      <c r="B3093" s="46" t="inlineStr">
        <is>
          <t>정기검사</t>
        </is>
      </c>
      <c r="C3093" s="46" t="inlineStr">
        <is>
          <t>김포지역</t>
        </is>
      </c>
      <c r="D3093" s="46" t="inlineStr">
        <is>
          <t>태원산기</t>
        </is>
      </c>
      <c r="E3093" s="46" t="n">
        <v>290</v>
      </c>
      <c r="F3093" s="46" t="inlineStr">
        <is>
          <t>학운리</t>
        </is>
      </c>
      <c r="G3093" s="50" t="n">
        <v>0.4791666666666667</v>
      </c>
      <c r="H3093" s="51" t="n">
        <v>515130</v>
      </c>
      <c r="I3093" s="46" t="inlineStr">
        <is>
          <t>송낙명</t>
        </is>
      </c>
      <c r="K3093" s="46" t="n">
        <v>3092</v>
      </c>
      <c r="L3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4">
      <c r="A3094" s="229" t="n">
        <v>46253</v>
      </c>
      <c r="B3094" s="46" t="inlineStr">
        <is>
          <t>정기검사</t>
        </is>
      </c>
      <c r="C3094" s="46" t="inlineStr">
        <is>
          <t>김포지역</t>
        </is>
      </c>
      <c r="D3094" s="46" t="inlineStr">
        <is>
          <t>비알케이</t>
        </is>
      </c>
      <c r="E3094" s="46" t="n">
        <v>700</v>
      </c>
      <c r="F3094" s="46" t="inlineStr">
        <is>
          <t>송마리</t>
        </is>
      </c>
      <c r="G3094" s="50" t="n">
        <v>0.5</v>
      </c>
      <c r="H3094" s="51" t="n">
        <v>804760</v>
      </c>
      <c r="I3094" s="46" t="inlineStr">
        <is>
          <t>이덕기</t>
        </is>
      </c>
      <c r="K3094" s="46" t="n">
        <v>3093</v>
      </c>
      <c r="L3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5">
      <c r="A3095" s="229" t="n">
        <v>46253</v>
      </c>
      <c r="B3095" s="46" t="inlineStr">
        <is>
          <t>정기검사</t>
        </is>
      </c>
      <c r="C3095" s="46" t="inlineStr">
        <is>
          <t>김포지역</t>
        </is>
      </c>
      <c r="D3095" s="46" t="inlineStr">
        <is>
          <t>원일분체도장</t>
        </is>
      </c>
      <c r="E3095" s="46" t="n">
        <v>150</v>
      </c>
      <c r="F3095" s="46" t="inlineStr">
        <is>
          <t>학운리</t>
        </is>
      </c>
      <c r="G3095" s="50" t="n">
        <v>0.4791666666666667</v>
      </c>
      <c r="H3095" s="51" t="n">
        <v>232430</v>
      </c>
      <c r="I3095" s="46" t="inlineStr">
        <is>
          <t>허록종</t>
        </is>
      </c>
      <c r="K3095" s="46" t="n">
        <v>3094</v>
      </c>
      <c r="L3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6">
      <c r="A3096" s="229" t="n">
        <v>46253</v>
      </c>
      <c r="B3096" s="46" t="inlineStr">
        <is>
          <t>정기검사</t>
        </is>
      </c>
      <c r="C3096" s="46" t="inlineStr">
        <is>
          <t>김포지역</t>
        </is>
      </c>
      <c r="D3096" s="46" t="inlineStr">
        <is>
          <t>신세계</t>
        </is>
      </c>
      <c r="E3096" s="46" t="inlineStr">
        <is>
          <t>ups</t>
        </is>
      </c>
      <c r="F3096" s="46" t="inlineStr">
        <is>
          <t>장기동</t>
        </is>
      </c>
      <c r="G3096" s="50" t="n">
        <v>0.4166666666666667</v>
      </c>
      <c r="H3096" s="51" t="n">
        <v>7205000</v>
      </c>
      <c r="I3096" s="46" t="inlineStr">
        <is>
          <t>민재홍</t>
        </is>
      </c>
      <c r="K3096" s="46" t="n">
        <v>3095</v>
      </c>
      <c r="L3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7">
      <c r="A3097" s="229" t="n">
        <v>46253</v>
      </c>
      <c r="B3097" s="46" t="inlineStr">
        <is>
          <t>정기검사</t>
        </is>
      </c>
      <c r="C3097" s="46" t="inlineStr">
        <is>
          <t>김포지역</t>
        </is>
      </c>
      <c r="D3097" s="46" t="inlineStr">
        <is>
          <t>두울</t>
        </is>
      </c>
      <c r="E3097" s="46" t="n">
        <v>600</v>
      </c>
      <c r="F3097" s="46" t="inlineStr">
        <is>
          <t>석정리</t>
        </is>
      </c>
      <c r="G3097" s="50" t="n">
        <v>0.4375</v>
      </c>
      <c r="H3097" s="51" t="n">
        <v>770880</v>
      </c>
      <c r="I3097" s="46" t="inlineStr">
        <is>
          <t>서수형</t>
        </is>
      </c>
      <c r="K3097" s="46" t="n">
        <v>3096</v>
      </c>
      <c r="L3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8">
      <c r="A3098" s="229" t="n">
        <v>46253</v>
      </c>
      <c r="B3098" s="46" t="inlineStr">
        <is>
          <t>사용전검사</t>
        </is>
      </c>
      <c r="C3098" s="46" t="inlineStr">
        <is>
          <t>부천지역</t>
        </is>
      </c>
      <c r="D3098" s="46" t="inlineStr">
        <is>
          <t>한국토지주택</t>
        </is>
      </c>
      <c r="E3098" s="46" t="inlineStr">
        <is>
          <t>부분</t>
        </is>
      </c>
      <c r="F3098" s="46" t="n"/>
      <c r="G3098" s="50" t="n"/>
      <c r="H3098" s="51" t="n"/>
      <c r="I3098" s="46" t="inlineStr">
        <is>
          <t>이종석</t>
        </is>
      </c>
      <c r="K3098" s="46" t="n">
        <v>3097</v>
      </c>
      <c r="L3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9">
      <c r="A3099" s="229" t="n">
        <v>46253</v>
      </c>
      <c r="B3099" s="46" t="inlineStr">
        <is>
          <t>사용전검사</t>
        </is>
      </c>
      <c r="C3099" s="46" t="inlineStr">
        <is>
          <t>부천지역</t>
        </is>
      </c>
      <c r="D3099" s="46" t="inlineStr">
        <is>
          <t>여월동광남복지</t>
        </is>
      </c>
      <c r="E3099" s="46" t="inlineStr">
        <is>
          <t>부분</t>
        </is>
      </c>
      <c r="F3099" s="46" t="inlineStr">
        <is>
          <t>여월동</t>
        </is>
      </c>
      <c r="G3099" s="50" t="n"/>
      <c r="H3099" s="51" t="n"/>
      <c r="I3099" s="46" t="inlineStr">
        <is>
          <t>변종국</t>
        </is>
      </c>
      <c r="K3099" s="46" t="n">
        <v>3098</v>
      </c>
      <c r="L3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0">
      <c r="A3100" s="229" t="n">
        <v>46253</v>
      </c>
      <c r="B3100" s="46" t="inlineStr">
        <is>
          <t>메모</t>
        </is>
      </c>
      <c r="C3100" s="46" t="inlineStr">
        <is>
          <t>부천지역</t>
        </is>
      </c>
      <c r="D3100" s="46" t="inlineStr">
        <is>
          <t>김영권휴가</t>
        </is>
      </c>
      <c r="E3100" s="46" t="n"/>
      <c r="F3100" s="46" t="n"/>
      <c r="G3100" s="50" t="n"/>
      <c r="H3100" s="51" t="n"/>
      <c r="I3100" s="46" t="n"/>
      <c r="K3100" s="46" t="n">
        <v>3099</v>
      </c>
      <c r="L3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1">
      <c r="A3101" s="229" t="n">
        <v>46253</v>
      </c>
      <c r="B3101" s="46" t="inlineStr">
        <is>
          <t>사용전검사</t>
        </is>
      </c>
      <c r="C3101" s="46" t="inlineStr">
        <is>
          <t>김포지역</t>
        </is>
      </c>
      <c r="D3101" s="46" t="inlineStr">
        <is>
          <t>현정엔에스</t>
        </is>
      </c>
      <c r="E3101" s="46" t="n">
        <v>72</v>
      </c>
      <c r="F3101" s="46" t="inlineStr">
        <is>
          <t>대명리</t>
        </is>
      </c>
      <c r="G3101" s="50" t="n"/>
      <c r="H3101" s="51" t="n"/>
      <c r="I3101" s="46" t="inlineStr">
        <is>
          <t>당효진</t>
        </is>
      </c>
      <c r="K3101" s="46" t="n">
        <v>3100</v>
      </c>
      <c r="L3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2">
      <c r="A3102" s="229" t="n">
        <v>46253</v>
      </c>
      <c r="B3102" s="46" t="inlineStr">
        <is>
          <t>사용전검사</t>
        </is>
      </c>
      <c r="C3102" s="46" t="inlineStr">
        <is>
          <t>김포지역</t>
        </is>
      </c>
      <c r="D3102" s="46" t="inlineStr">
        <is>
          <t>카이스전자</t>
        </is>
      </c>
      <c r="E3102" s="46" t="n">
        <v>232</v>
      </c>
      <c r="F3102" s="46" t="inlineStr">
        <is>
          <t>학운리</t>
        </is>
      </c>
      <c r="G3102" s="50" t="n"/>
      <c r="H3102" s="51" t="n"/>
      <c r="I3102" s="46" t="inlineStr">
        <is>
          <t>한태희</t>
        </is>
      </c>
      <c r="K3102" s="46" t="n">
        <v>3101</v>
      </c>
      <c r="L3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3">
      <c r="A3103" s="229" t="n">
        <v>46253</v>
      </c>
      <c r="B3103" s="46" t="inlineStr">
        <is>
          <t>사용전검사</t>
        </is>
      </c>
      <c r="C3103" s="46" t="inlineStr">
        <is>
          <t>김포지역</t>
        </is>
      </c>
      <c r="D3103" s="46" t="inlineStr">
        <is>
          <t>브이씨커스텀</t>
        </is>
      </c>
      <c r="E3103" s="46" t="n">
        <v>12.8</v>
      </c>
      <c r="F3103" s="46" t="inlineStr">
        <is>
          <t>귀전리</t>
        </is>
      </c>
      <c r="G3103" s="50" t="n"/>
      <c r="H3103" s="51" t="n"/>
      <c r="I3103" s="46" t="inlineStr">
        <is>
          <t>허창수</t>
        </is>
      </c>
      <c r="K3103" s="46" t="n">
        <v>3102</v>
      </c>
      <c r="L3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4">
      <c r="A3104" s="229" t="n">
        <v>46253</v>
      </c>
      <c r="B3104" s="46" t="inlineStr">
        <is>
          <t>사용전검사</t>
        </is>
      </c>
      <c r="C3104" s="46" t="inlineStr">
        <is>
          <t>김포지역</t>
        </is>
      </c>
      <c r="D3104" s="46" t="inlineStr">
        <is>
          <t>이정희</t>
        </is>
      </c>
      <c r="E3104" s="46" t="n">
        <v>12.8</v>
      </c>
      <c r="F3104" s="46" t="inlineStr">
        <is>
          <t>귀전리</t>
        </is>
      </c>
      <c r="G3104" s="50" t="n"/>
      <c r="H3104" s="51" t="n"/>
      <c r="I3104" s="46" t="inlineStr">
        <is>
          <t>허창수</t>
        </is>
      </c>
      <c r="K3104" s="46" t="n">
        <v>3103</v>
      </c>
      <c r="L3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5">
      <c r="A3105" s="229" t="n">
        <v>46254</v>
      </c>
      <c r="B3105" s="46" t="inlineStr">
        <is>
          <t>정기검사</t>
        </is>
      </c>
      <c r="C3105" s="46" t="inlineStr">
        <is>
          <t>부천지역</t>
        </is>
      </c>
      <c r="D3105" s="46" t="inlineStr">
        <is>
          <t>덕산초</t>
        </is>
      </c>
      <c r="E3105" s="46" t="n">
        <v>60</v>
      </c>
      <c r="F3105" s="46" t="inlineStr">
        <is>
          <t>오정동</t>
        </is>
      </c>
      <c r="G3105" s="50" t="n">
        <v>0.4166666666666667</v>
      </c>
      <c r="H3105" s="51" t="n">
        <v>214500</v>
      </c>
      <c r="I3105" s="46" t="inlineStr">
        <is>
          <t>당효진</t>
        </is>
      </c>
      <c r="K3105" s="46" t="n">
        <v>3104</v>
      </c>
      <c r="L3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6">
      <c r="A3106" s="229" t="n">
        <v>46254</v>
      </c>
      <c r="B3106" s="46" t="inlineStr">
        <is>
          <t>정기검사</t>
        </is>
      </c>
      <c r="C3106" s="46" t="inlineStr">
        <is>
          <t>부천지역</t>
        </is>
      </c>
      <c r="D3106" s="46" t="inlineStr">
        <is>
          <t>호산기업</t>
        </is>
      </c>
      <c r="E3106" s="46" t="inlineStr">
        <is>
          <t>750/105</t>
        </is>
      </c>
      <c r="F3106" s="46" t="inlineStr">
        <is>
          <t>상동</t>
        </is>
      </c>
      <c r="G3106" s="50" t="n">
        <v>0.3958333333333333</v>
      </c>
      <c r="H3106" s="51" t="n">
        <v>989340</v>
      </c>
      <c r="I3106" s="46" t="inlineStr">
        <is>
          <t>한태희</t>
        </is>
      </c>
      <c r="K3106" s="46" t="n">
        <v>3105</v>
      </c>
      <c r="L3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7">
      <c r="A3107" s="229" t="n">
        <v>46254</v>
      </c>
      <c r="B3107" s="46" t="inlineStr">
        <is>
          <t>정기검사</t>
        </is>
      </c>
      <c r="C3107" s="46" t="inlineStr">
        <is>
          <t>부천지역</t>
        </is>
      </c>
      <c r="D3107" s="46" t="inlineStr">
        <is>
          <t>두일금형</t>
        </is>
      </c>
      <c r="E3107" s="46" t="n">
        <v>250</v>
      </c>
      <c r="F3107" s="46" t="inlineStr">
        <is>
          <t>도당동</t>
        </is>
      </c>
      <c r="G3107" s="50" t="n">
        <v>0.5208333333333334</v>
      </c>
      <c r="H3107" s="51" t="n">
        <v>489170</v>
      </c>
      <c r="I3107" s="46" t="inlineStr">
        <is>
          <t>허록종</t>
        </is>
      </c>
      <c r="K3107" s="46" t="n">
        <v>3106</v>
      </c>
      <c r="L3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8">
      <c r="A3108" s="229" t="n">
        <v>46254</v>
      </c>
      <c r="B3108" s="46" t="inlineStr">
        <is>
          <t>정기검사</t>
        </is>
      </c>
      <c r="C3108" s="46" t="inlineStr">
        <is>
          <t>부천지역</t>
        </is>
      </c>
      <c r="D3108" s="46" t="inlineStr">
        <is>
          <t>서지테크</t>
        </is>
      </c>
      <c r="E3108" s="46" t="n">
        <v>190</v>
      </c>
      <c r="F3108" s="46" t="inlineStr">
        <is>
          <t>원미동</t>
        </is>
      </c>
      <c r="G3108" s="50" t="n">
        <v>0.5416666666666666</v>
      </c>
      <c r="H3108" s="51" t="n">
        <v>450120</v>
      </c>
      <c r="I3108" s="46" t="inlineStr">
        <is>
          <t>민재홍</t>
        </is>
      </c>
      <c r="K3108" s="46" t="n">
        <v>3107</v>
      </c>
      <c r="L3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9">
      <c r="A3109" s="229" t="n">
        <v>46254</v>
      </c>
      <c r="B3109" s="46" t="inlineStr">
        <is>
          <t>정기검사</t>
        </is>
      </c>
      <c r="C3109" s="46" t="inlineStr">
        <is>
          <t>부천지역</t>
        </is>
      </c>
      <c r="D3109" s="46" t="inlineStr">
        <is>
          <t>건무아파트</t>
        </is>
      </c>
      <c r="E3109" s="46" t="inlineStr">
        <is>
          <t>600/225</t>
        </is>
      </c>
      <c r="F3109" s="46" t="inlineStr">
        <is>
          <t>심곡동</t>
        </is>
      </c>
      <c r="G3109" s="50" t="n">
        <v>0.3958333333333333</v>
      </c>
      <c r="H3109" s="51" t="n">
        <v>974050</v>
      </c>
      <c r="I3109" s="46" t="inlineStr">
        <is>
          <t>옹승완</t>
        </is>
      </c>
      <c r="K3109" s="46" t="n">
        <v>3108</v>
      </c>
      <c r="L3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0">
      <c r="A3110" s="229" t="n">
        <v>46254</v>
      </c>
      <c r="B3110" s="46" t="inlineStr">
        <is>
          <t>정기검사</t>
        </is>
      </c>
      <c r="C3110" s="46" t="inlineStr">
        <is>
          <t>부천지역</t>
        </is>
      </c>
      <c r="D3110" s="46" t="inlineStr">
        <is>
          <t>도당초</t>
        </is>
      </c>
      <c r="E3110" s="46" t="n">
        <v>750</v>
      </c>
      <c r="F3110" s="46" t="inlineStr">
        <is>
          <t>도당동</t>
        </is>
      </c>
      <c r="G3110" s="50" t="n">
        <v>0.625</v>
      </c>
      <c r="H3110" s="51" t="n">
        <v>821700</v>
      </c>
      <c r="I3110" s="46" t="inlineStr">
        <is>
          <t>민재홍</t>
        </is>
      </c>
      <c r="K3110" s="46" t="n">
        <v>3109</v>
      </c>
      <c r="L3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1">
      <c r="A3111" s="229" t="n">
        <v>46254</v>
      </c>
      <c r="B3111" s="46" t="inlineStr">
        <is>
          <t>정기검사</t>
        </is>
      </c>
      <c r="C3111" s="46" t="inlineStr">
        <is>
          <t>부천지역</t>
        </is>
      </c>
      <c r="D3111" s="46" t="inlineStr">
        <is>
          <t>상쿠스</t>
        </is>
      </c>
      <c r="E3111" s="46" t="n">
        <v>250</v>
      </c>
      <c r="F3111" s="46" t="inlineStr">
        <is>
          <t>삼정동</t>
        </is>
      </c>
      <c r="G3111" s="50" t="n">
        <v>0.4791666666666667</v>
      </c>
      <c r="H3111" s="51" t="n">
        <v>489170</v>
      </c>
      <c r="I3111" s="46" t="inlineStr">
        <is>
          <t>송낙명</t>
        </is>
      </c>
      <c r="K3111" s="46" t="n">
        <v>3110</v>
      </c>
      <c r="L3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2">
      <c r="A3112" s="229" t="n">
        <v>46254</v>
      </c>
      <c r="B3112" s="46" t="inlineStr">
        <is>
          <t>정기검사</t>
        </is>
      </c>
      <c r="C3112" s="46" t="inlineStr">
        <is>
          <t>김포지역</t>
        </is>
      </c>
      <c r="D3112" s="46" t="inlineStr">
        <is>
          <t>미래정밀</t>
        </is>
      </c>
      <c r="E3112" s="46" t="n">
        <v>290</v>
      </c>
      <c r="F3112" s="46" t="inlineStr">
        <is>
          <t>석모리</t>
        </is>
      </c>
      <c r="G3112" s="50" t="n">
        <v>0.5416666666666666</v>
      </c>
      <c r="H3112" s="51" t="n">
        <v>515130</v>
      </c>
      <c r="I3112" s="46" t="inlineStr">
        <is>
          <t>정성관</t>
        </is>
      </c>
      <c r="K3112" s="46" t="n">
        <v>3111</v>
      </c>
      <c r="L3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3">
      <c r="A3113" s="229" t="n">
        <v>46254</v>
      </c>
      <c r="B3113" s="46" t="inlineStr">
        <is>
          <t>정기검사</t>
        </is>
      </c>
      <c r="C3113" s="46" t="inlineStr">
        <is>
          <t>김포지역</t>
        </is>
      </c>
      <c r="D3113" s="46" t="inlineStr">
        <is>
          <t>쉴드</t>
        </is>
      </c>
      <c r="E3113" s="46" t="n">
        <v>250</v>
      </c>
      <c r="F3113" s="46" t="inlineStr">
        <is>
          <t>율생리</t>
        </is>
      </c>
      <c r="G3113" s="50" t="n">
        <v>0.5208333333333334</v>
      </c>
      <c r="H3113" s="51" t="n">
        <v>635910</v>
      </c>
      <c r="I3113" s="46" t="inlineStr">
        <is>
          <t>이종석</t>
        </is>
      </c>
      <c r="K3113" s="46" t="n">
        <v>3112</v>
      </c>
      <c r="L3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4">
      <c r="A3114" s="229" t="n">
        <v>46254</v>
      </c>
      <c r="B3114" s="46" t="inlineStr">
        <is>
          <t>정기검사</t>
        </is>
      </c>
      <c r="C3114" s="46" t="inlineStr">
        <is>
          <t>김포지역</t>
        </is>
      </c>
      <c r="D3114" s="46" t="inlineStr">
        <is>
          <t>이브이시스</t>
        </is>
      </c>
      <c r="E3114" s="46" t="inlineStr">
        <is>
          <t>전기차</t>
        </is>
      </c>
      <c r="F3114" s="46" t="inlineStr">
        <is>
          <t>장기동</t>
        </is>
      </c>
      <c r="G3114" s="50" t="n">
        <v>0.4166666666666667</v>
      </c>
      <c r="H3114" s="51" t="n">
        <v>355960</v>
      </c>
      <c r="I3114" s="46" t="inlineStr">
        <is>
          <t>이종석</t>
        </is>
      </c>
      <c r="K3114" s="46" t="n">
        <v>3113</v>
      </c>
      <c r="L3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5">
      <c r="A3115" s="229" t="n">
        <v>46254</v>
      </c>
      <c r="B3115" s="46" t="inlineStr">
        <is>
          <t>정기검사</t>
        </is>
      </c>
      <c r="C3115" s="46" t="inlineStr">
        <is>
          <t>김포지역</t>
        </is>
      </c>
      <c r="D3115" s="46" t="inlineStr">
        <is>
          <t>센톨</t>
        </is>
      </c>
      <c r="E3115" s="46" t="n">
        <v>170</v>
      </c>
      <c r="F3115" s="46" t="inlineStr">
        <is>
          <t>석탄리</t>
        </is>
      </c>
      <c r="G3115" s="50" t="n">
        <v>0.5</v>
      </c>
      <c r="H3115" s="51" t="n">
        <v>437140</v>
      </c>
      <c r="I3115" s="46" t="inlineStr">
        <is>
          <t>서수형</t>
        </is>
      </c>
      <c r="K3115" s="46" t="n">
        <v>3114</v>
      </c>
      <c r="L3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6">
      <c r="A3116" s="229" t="n">
        <v>46254</v>
      </c>
      <c r="B3116" s="46" t="inlineStr">
        <is>
          <t>정기검사</t>
        </is>
      </c>
      <c r="C3116" s="46" t="inlineStr">
        <is>
          <t>김포지역</t>
        </is>
      </c>
      <c r="D3116" s="46" t="inlineStr">
        <is>
          <t>세명유리</t>
        </is>
      </c>
      <c r="E3116" s="46" t="n">
        <v>290</v>
      </c>
      <c r="F3116" s="46" t="n"/>
      <c r="G3116" s="50" t="n"/>
      <c r="H3116" s="51" t="n">
        <v>515130</v>
      </c>
      <c r="I3116" s="46" t="inlineStr">
        <is>
          <t>서수형</t>
        </is>
      </c>
      <c r="K3116" s="46" t="n">
        <v>3115</v>
      </c>
      <c r="L3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7">
      <c r="A3117" s="229" t="n">
        <v>46254</v>
      </c>
      <c r="B3117" s="46" t="inlineStr">
        <is>
          <t>사용전검사</t>
        </is>
      </c>
      <c r="C3117" s="46" t="inlineStr">
        <is>
          <t>부천지역</t>
        </is>
      </c>
      <c r="D3117" s="46" t="inlineStr">
        <is>
          <t>삼도갈비</t>
        </is>
      </c>
      <c r="E3117" s="46" t="n">
        <v>58</v>
      </c>
      <c r="F3117" s="46" t="inlineStr">
        <is>
          <t>상동</t>
        </is>
      </c>
      <c r="G3117" s="50" t="n"/>
      <c r="H3117" s="51" t="n"/>
      <c r="I3117" s="46" t="inlineStr">
        <is>
          <t>당효진</t>
        </is>
      </c>
      <c r="K3117" s="46" t="n">
        <v>3116</v>
      </c>
      <c r="L3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8">
      <c r="A3118" s="229" t="n">
        <v>46254</v>
      </c>
      <c r="B3118" s="46" t="inlineStr">
        <is>
          <t>사용전검사</t>
        </is>
      </c>
      <c r="C3118" s="46" t="inlineStr">
        <is>
          <t>부천지역</t>
        </is>
      </c>
      <c r="D3118" s="46" t="inlineStr">
        <is>
          <t>시수기릿</t>
        </is>
      </c>
      <c r="E3118" s="46" t="n">
        <v>40</v>
      </c>
      <c r="F3118" s="46" t="inlineStr">
        <is>
          <t>심곡동</t>
        </is>
      </c>
      <c r="G3118" s="50" t="n"/>
      <c r="H3118" s="51" t="n"/>
      <c r="I3118" s="46" t="inlineStr">
        <is>
          <t>한태희</t>
        </is>
      </c>
      <c r="K3118" s="46" t="n">
        <v>3117</v>
      </c>
      <c r="L3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9">
      <c r="A3119" s="229" t="n">
        <v>46254</v>
      </c>
      <c r="B3119" s="46" t="inlineStr">
        <is>
          <t>사용전검사</t>
        </is>
      </c>
      <c r="C3119" s="46" t="inlineStr">
        <is>
          <t>부천지역</t>
        </is>
      </c>
      <c r="D3119" s="46" t="inlineStr">
        <is>
          <t>은성제일교회</t>
        </is>
      </c>
      <c r="E3119" s="46" t="n">
        <v>40</v>
      </c>
      <c r="F3119" s="46" t="inlineStr">
        <is>
          <t>원종동</t>
        </is>
      </c>
      <c r="G3119" s="50" t="n"/>
      <c r="H3119" s="51" t="n"/>
      <c r="I3119" s="46" t="inlineStr">
        <is>
          <t>허록종</t>
        </is>
      </c>
      <c r="K3119" s="46" t="n">
        <v>3118</v>
      </c>
      <c r="L3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0">
      <c r="A3120" s="229" t="n">
        <v>46254</v>
      </c>
      <c r="B3120" s="46" t="inlineStr">
        <is>
          <t>메모</t>
        </is>
      </c>
      <c r="C3120" s="46" t="inlineStr">
        <is>
          <t>부천지역</t>
        </is>
      </c>
      <c r="D3120" s="46" t="inlineStr">
        <is>
          <t>김영권휴가</t>
        </is>
      </c>
      <c r="E3120" s="46" t="inlineStr">
        <is>
          <t>민재홍-옹승완</t>
        </is>
      </c>
      <c r="F3120" s="46" t="n"/>
      <c r="G3120" s="50" t="n"/>
      <c r="H3120" s="51" t="n"/>
      <c r="I3120" s="46" t="n"/>
      <c r="K3120" s="46" t="n">
        <v>3119</v>
      </c>
      <c r="L3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1">
      <c r="A3121" s="229" t="n">
        <v>46254</v>
      </c>
      <c r="B3121" s="46" t="inlineStr">
        <is>
          <t>메모</t>
        </is>
      </c>
      <c r="C3121" s="46" t="inlineStr">
        <is>
          <t>부천지역</t>
        </is>
      </c>
      <c r="D3121" s="46" t="inlineStr">
        <is>
          <t>이덕기휴가</t>
        </is>
      </c>
      <c r="E3121" s="46" t="n"/>
      <c r="F3121" s="46" t="n"/>
      <c r="G3121" s="50" t="n"/>
      <c r="H3121" s="51" t="n"/>
      <c r="I3121" s="46" t="n"/>
      <c r="K3121" s="46" t="n">
        <v>3120</v>
      </c>
      <c r="L3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2">
      <c r="A3122" s="229" t="n">
        <v>46254</v>
      </c>
      <c r="B3122" s="46" t="inlineStr">
        <is>
          <t>사용전검사</t>
        </is>
      </c>
      <c r="C3122" s="46" t="inlineStr">
        <is>
          <t>김포지역</t>
        </is>
      </c>
      <c r="D3122" s="46" t="inlineStr">
        <is>
          <t>dh태양광</t>
        </is>
      </c>
      <c r="E3122" s="46" t="n">
        <v>240</v>
      </c>
      <c r="F3122" s="46" t="inlineStr">
        <is>
          <t>학운리</t>
        </is>
      </c>
      <c r="G3122" s="50" t="n"/>
      <c r="H3122" s="51" t="n"/>
      <c r="I3122" s="46" t="inlineStr">
        <is>
          <t>정신배</t>
        </is>
      </c>
      <c r="K3122" s="46" t="n">
        <v>3121</v>
      </c>
      <c r="L3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3">
      <c r="A3123" s="229" t="n">
        <v>46254</v>
      </c>
      <c r="B3123" s="46" t="inlineStr">
        <is>
          <t>사용전검사</t>
        </is>
      </c>
      <c r="C3123" s="46" t="inlineStr">
        <is>
          <t>김포지역</t>
        </is>
      </c>
      <c r="D3123" s="46" t="inlineStr">
        <is>
          <t>새마을국수</t>
        </is>
      </c>
      <c r="E3123" s="46" t="n">
        <v>89</v>
      </c>
      <c r="F3123" s="46" t="inlineStr">
        <is>
          <t>초원지리</t>
        </is>
      </c>
      <c r="G3123" s="50" t="n"/>
      <c r="H3123" s="51" t="n"/>
      <c r="I3123" s="46" t="inlineStr">
        <is>
          <t>정신배</t>
        </is>
      </c>
      <c r="K3123" s="46" t="n">
        <v>3122</v>
      </c>
      <c r="L3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4">
      <c r="A3124" s="229" t="n">
        <v>46254</v>
      </c>
      <c r="B3124" s="46" t="inlineStr">
        <is>
          <t>사용전검사</t>
        </is>
      </c>
      <c r="C3124" s="46" t="inlineStr">
        <is>
          <t>김포지역</t>
        </is>
      </c>
      <c r="D3124" s="46" t="inlineStr">
        <is>
          <t>동원1호</t>
        </is>
      </c>
      <c r="E3124" s="46" t="n">
        <v>78</v>
      </c>
      <c r="F3124" s="46" t="inlineStr">
        <is>
          <t>송마리</t>
        </is>
      </c>
      <c r="G3124" s="50" t="n"/>
      <c r="H3124" s="51" t="n"/>
      <c r="I3124" s="46" t="inlineStr">
        <is>
          <t>허창수</t>
        </is>
      </c>
      <c r="K3124" s="46" t="n">
        <v>3123</v>
      </c>
      <c r="L3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5">
      <c r="A3125" s="229" t="n">
        <v>46254</v>
      </c>
      <c r="B3125" s="46" t="inlineStr">
        <is>
          <t>사용전검사</t>
        </is>
      </c>
      <c r="C3125" s="46" t="inlineStr">
        <is>
          <t>김포지역</t>
        </is>
      </c>
      <c r="D3125" s="46" t="inlineStr">
        <is>
          <t>동원2호</t>
        </is>
      </c>
      <c r="E3125" s="46" t="n">
        <v>78</v>
      </c>
      <c r="F3125" s="46" t="inlineStr">
        <is>
          <t>송마리</t>
        </is>
      </c>
      <c r="G3125" s="50" t="n"/>
      <c r="H3125" s="51" t="n"/>
      <c r="I3125" s="46" t="inlineStr">
        <is>
          <t>허창수</t>
        </is>
      </c>
      <c r="K3125" s="46" t="n">
        <v>3124</v>
      </c>
      <c r="L3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6">
      <c r="A3126" s="229" t="n">
        <v>46254</v>
      </c>
      <c r="B3126" s="46" t="inlineStr">
        <is>
          <t>사용전검사</t>
        </is>
      </c>
      <c r="C3126" s="46" t="inlineStr">
        <is>
          <t>김포지역</t>
        </is>
      </c>
      <c r="D3126" s="46" t="inlineStr">
        <is>
          <t>러브니에1호</t>
        </is>
      </c>
      <c r="E3126" s="46" t="n">
        <v>61</v>
      </c>
      <c r="F3126" s="46" t="inlineStr">
        <is>
          <t>쇄암리</t>
        </is>
      </c>
      <c r="G3126" s="50" t="n"/>
      <c r="H3126" s="51" t="n"/>
      <c r="I3126" s="46" t="inlineStr">
        <is>
          <t>변종국</t>
        </is>
      </c>
      <c r="K3126" s="46" t="n">
        <v>3125</v>
      </c>
      <c r="L3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7">
      <c r="A3127" s="229" t="n">
        <v>46254</v>
      </c>
      <c r="B3127" s="46" t="inlineStr">
        <is>
          <t>사용전검사</t>
        </is>
      </c>
      <c r="C3127" s="46" t="inlineStr">
        <is>
          <t>김포지역</t>
        </is>
      </c>
      <c r="D3127" s="46" t="inlineStr">
        <is>
          <t>러브니에2호</t>
        </is>
      </c>
      <c r="E3127" s="46" t="n">
        <v>62</v>
      </c>
      <c r="F3127" s="46" t="inlineStr">
        <is>
          <t>쇄암리</t>
        </is>
      </c>
      <c r="G3127" s="50" t="n"/>
      <c r="H3127" s="51" t="n"/>
      <c r="I3127" s="46" t="inlineStr">
        <is>
          <t>변종국</t>
        </is>
      </c>
      <c r="K3127" s="46" t="n">
        <v>3126</v>
      </c>
      <c r="L3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8">
      <c r="A3128" s="229" t="n">
        <v>46254</v>
      </c>
      <c r="B3128" s="46" t="inlineStr">
        <is>
          <t>사용전검사</t>
        </is>
      </c>
      <c r="C3128" s="46" t="inlineStr">
        <is>
          <t>김포지역</t>
        </is>
      </c>
      <c r="D3128" s="46" t="inlineStr">
        <is>
          <t>러브니에3호</t>
        </is>
      </c>
      <c r="E3128" s="46" t="n">
        <v>63</v>
      </c>
      <c r="F3128" s="46" t="inlineStr">
        <is>
          <t>쇄암리</t>
        </is>
      </c>
      <c r="G3128" s="50" t="n"/>
      <c r="H3128" s="51" t="n"/>
      <c r="I3128" s="46" t="inlineStr">
        <is>
          <t>변종국</t>
        </is>
      </c>
      <c r="K3128" s="46" t="n">
        <v>3127</v>
      </c>
      <c r="L3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9">
      <c r="A3129" s="229" t="n">
        <v>46254</v>
      </c>
      <c r="B3129" s="46" t="inlineStr">
        <is>
          <t>사용전검사</t>
        </is>
      </c>
      <c r="C3129" s="46" t="inlineStr">
        <is>
          <t>김포지역</t>
        </is>
      </c>
      <c r="D3129" s="46" t="inlineStr">
        <is>
          <t>북창순두부</t>
        </is>
      </c>
      <c r="E3129" s="46" t="n">
        <v>35</v>
      </c>
      <c r="F3129" s="46" t="inlineStr">
        <is>
          <t>풍무동</t>
        </is>
      </c>
      <c r="G3129" s="50" t="n"/>
      <c r="H3129" s="51" t="n"/>
      <c r="I3129" s="46" t="inlineStr">
        <is>
          <t>서수형</t>
        </is>
      </c>
      <c r="K3129" s="46" t="n">
        <v>3128</v>
      </c>
      <c r="L3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0">
      <c r="A3130" s="229" t="n">
        <v>46254</v>
      </c>
      <c r="B3130" s="46" t="inlineStr">
        <is>
          <t>사용전검사</t>
        </is>
      </c>
      <c r="C3130" s="46" t="inlineStr">
        <is>
          <t>김포지역</t>
        </is>
      </c>
      <c r="D3130" s="46" t="inlineStr">
        <is>
          <t>혜영</t>
        </is>
      </c>
      <c r="E3130" s="46" t="inlineStr">
        <is>
          <t>재검</t>
        </is>
      </c>
      <c r="F3130" s="46" t="inlineStr">
        <is>
          <t>대곶</t>
        </is>
      </c>
      <c r="G3130" s="50" t="n"/>
      <c r="H3130" s="51" t="n"/>
      <c r="I3130" s="46" t="inlineStr">
        <is>
          <t>변종국</t>
        </is>
      </c>
      <c r="K3130" s="46" t="n">
        <v>3129</v>
      </c>
      <c r="L3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1">
      <c r="A3131" s="229" t="n">
        <v>46255</v>
      </c>
      <c r="B3131" s="46" t="inlineStr">
        <is>
          <t>정기검사</t>
        </is>
      </c>
      <c r="C3131" s="46" t="inlineStr">
        <is>
          <t>부천지역</t>
        </is>
      </c>
      <c r="D3131" s="46" t="inlineStr">
        <is>
          <t>베이직하우스</t>
        </is>
      </c>
      <c r="E3131" s="46" t="n">
        <v>300</v>
      </c>
      <c r="F3131" s="46" t="inlineStr">
        <is>
          <t>심곡동</t>
        </is>
      </c>
      <c r="G3131" s="50" t="n">
        <v>0.4166666666666667</v>
      </c>
      <c r="H3131" s="51" t="n">
        <v>521730</v>
      </c>
      <c r="I3131" s="46" t="inlineStr">
        <is>
          <t>한태희</t>
        </is>
      </c>
      <c r="K3131" s="46" t="n">
        <v>3130</v>
      </c>
      <c r="L3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2">
      <c r="A3132" s="229" t="n">
        <v>46255</v>
      </c>
      <c r="B3132" s="46" t="inlineStr">
        <is>
          <t>정기검사</t>
        </is>
      </c>
      <c r="C3132" s="46" t="inlineStr">
        <is>
          <t>부천지역</t>
        </is>
      </c>
      <c r="D3132" s="46" t="inlineStr">
        <is>
          <t>양지기공</t>
        </is>
      </c>
      <c r="E3132" s="46" t="n">
        <v>350</v>
      </c>
      <c r="F3132" s="46" t="inlineStr">
        <is>
          <t>내동</t>
        </is>
      </c>
      <c r="G3132" s="50" t="n">
        <v>0.5208333333333334</v>
      </c>
      <c r="H3132" s="51" t="n">
        <v>686180</v>
      </c>
      <c r="I3132" s="46" t="inlineStr">
        <is>
          <t>허창수</t>
        </is>
      </c>
      <c r="K3132" s="46" t="n">
        <v>3131</v>
      </c>
      <c r="L3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3">
      <c r="A3133" s="229" t="n">
        <v>46255</v>
      </c>
      <c r="B3133" s="46" t="inlineStr">
        <is>
          <t>정기검사</t>
        </is>
      </c>
      <c r="C3133" s="46" t="inlineStr">
        <is>
          <t>부천지역</t>
        </is>
      </c>
      <c r="D3133" s="46" t="inlineStr">
        <is>
          <t>jy포에시아</t>
        </is>
      </c>
      <c r="E3133" s="46" t="inlineStr">
        <is>
          <t>950/450</t>
        </is>
      </c>
      <c r="F3133" s="46" t="inlineStr">
        <is>
          <t>심곡동</t>
        </is>
      </c>
      <c r="G3133" s="50" t="n">
        <v>0.4166666666666667</v>
      </c>
      <c r="H3133" s="51" t="n">
        <v>1127060</v>
      </c>
      <c r="I3133" s="46" t="inlineStr">
        <is>
          <t>서수형</t>
        </is>
      </c>
      <c r="K3133" s="46" t="n">
        <v>3132</v>
      </c>
      <c r="L3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4">
      <c r="A3134" s="229" t="n">
        <v>46255</v>
      </c>
      <c r="B3134" s="46" t="inlineStr">
        <is>
          <t>정기검사</t>
        </is>
      </c>
      <c r="C3134" s="46" t="inlineStr">
        <is>
          <t>김포지역</t>
        </is>
      </c>
      <c r="D3134" s="46" t="inlineStr">
        <is>
          <t>광원에너지</t>
        </is>
      </c>
      <c r="E3134" s="46" t="n">
        <v>290</v>
      </c>
      <c r="F3134" s="46" t="inlineStr">
        <is>
          <t>양곡리</t>
        </is>
      </c>
      <c r="G3134" s="50" t="n">
        <v>0.4583333333333333</v>
      </c>
      <c r="H3134" s="51" t="n">
        <v>515130</v>
      </c>
      <c r="I3134" s="46" t="inlineStr">
        <is>
          <t>정신배</t>
        </is>
      </c>
      <c r="K3134" s="46" t="n">
        <v>3133</v>
      </c>
      <c r="L3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5">
      <c r="A3135" s="229" t="n">
        <v>46255</v>
      </c>
      <c r="B3135" s="46" t="inlineStr">
        <is>
          <t>정기검사</t>
        </is>
      </c>
      <c r="C3135" s="46" t="inlineStr">
        <is>
          <t>김포지역</t>
        </is>
      </c>
      <c r="D3135" s="46" t="inlineStr">
        <is>
          <t>유광테크</t>
        </is>
      </c>
      <c r="E3135" s="46" t="n">
        <v>700</v>
      </c>
      <c r="F3135" s="46" t="inlineStr">
        <is>
          <t>석탄리</t>
        </is>
      </c>
      <c r="G3135" s="50" t="n">
        <v>0.5</v>
      </c>
      <c r="H3135" s="51" t="n">
        <v>804760</v>
      </c>
      <c r="I3135" s="46" t="inlineStr">
        <is>
          <t>허록종</t>
        </is>
      </c>
      <c r="K3135" s="46" t="n">
        <v>3134</v>
      </c>
      <c r="L3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6">
      <c r="A3136" s="229" t="n">
        <v>46255</v>
      </c>
      <c r="B3136" s="46" t="inlineStr">
        <is>
          <t>정기검사</t>
        </is>
      </c>
      <c r="C3136" s="46" t="inlineStr">
        <is>
          <t>김포지역</t>
        </is>
      </c>
      <c r="D3136" s="46" t="inlineStr">
        <is>
          <t>세우이앤아이</t>
        </is>
      </c>
      <c r="E3136" s="46" t="n">
        <v>120</v>
      </c>
      <c r="F3136" s="46" t="inlineStr">
        <is>
          <t>양택리</t>
        </is>
      </c>
      <c r="G3136" s="50" t="n">
        <v>0.3958333333333333</v>
      </c>
      <c r="H3136" s="51" t="n">
        <v>206580</v>
      </c>
      <c r="I3136" s="46" t="inlineStr">
        <is>
          <t>옹승완</t>
        </is>
      </c>
      <c r="K3136" s="46" t="n">
        <v>3135</v>
      </c>
      <c r="L3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7">
      <c r="A3137" s="229" t="n">
        <v>46255</v>
      </c>
      <c r="B3137" s="46" t="inlineStr">
        <is>
          <t>정기검사</t>
        </is>
      </c>
      <c r="C3137" s="46" t="inlineStr">
        <is>
          <t>김포지역</t>
        </is>
      </c>
      <c r="D3137" s="46" t="inlineStr">
        <is>
          <t>성산정공</t>
        </is>
      </c>
      <c r="E3137" s="46" t="n">
        <v>290</v>
      </c>
      <c r="F3137" s="46" t="inlineStr">
        <is>
          <t>대벽리</t>
        </is>
      </c>
      <c r="G3137" s="50" t="n">
        <v>0.4791666666666667</v>
      </c>
      <c r="H3137" s="51" t="n">
        <v>515130</v>
      </c>
      <c r="I3137" s="46" t="inlineStr">
        <is>
          <t>민재홍</t>
        </is>
      </c>
      <c r="K3137" s="46" t="n">
        <v>3136</v>
      </c>
      <c r="L3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8">
      <c r="A3138" s="229" t="n">
        <v>46255</v>
      </c>
      <c r="B3138" s="46" t="inlineStr">
        <is>
          <t>정기검사</t>
        </is>
      </c>
      <c r="C3138" s="46" t="inlineStr">
        <is>
          <t>김포지역</t>
        </is>
      </c>
      <c r="D3138" s="46" t="inlineStr">
        <is>
          <t>삼덕에스티</t>
        </is>
      </c>
      <c r="E3138" s="46" t="n">
        <v>290</v>
      </c>
      <c r="F3138" s="46" t="inlineStr">
        <is>
          <t>대포리</t>
        </is>
      </c>
      <c r="G3138" s="50" t="n">
        <v>0.5</v>
      </c>
      <c r="H3138" s="51" t="n">
        <v>515130</v>
      </c>
      <c r="I3138" s="46" t="inlineStr">
        <is>
          <t>정성관</t>
        </is>
      </c>
      <c r="K3138" s="46" t="n">
        <v>3137</v>
      </c>
      <c r="L3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9">
      <c r="A3139" s="229" t="n">
        <v>46255</v>
      </c>
      <c r="B3139" s="46" t="inlineStr">
        <is>
          <t>정기검사</t>
        </is>
      </c>
      <c r="C3139" s="46" t="inlineStr">
        <is>
          <t>김포지역</t>
        </is>
      </c>
      <c r="D3139" s="46" t="inlineStr">
        <is>
          <t>오성테크</t>
        </is>
      </c>
      <c r="E3139" s="46" t="n">
        <v>300</v>
      </c>
      <c r="F3139" s="46" t="inlineStr">
        <is>
          <t>약암리</t>
        </is>
      </c>
      <c r="G3139" s="50" t="n">
        <v>0.4791666666666667</v>
      </c>
      <c r="H3139" s="51" t="n">
        <v>521730</v>
      </c>
      <c r="I3139" s="46" t="inlineStr">
        <is>
          <t>이종석</t>
        </is>
      </c>
      <c r="K3139" s="46" t="n">
        <v>3138</v>
      </c>
      <c r="L3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0">
      <c r="A3140" s="229" t="n">
        <v>46255</v>
      </c>
      <c r="B3140" s="46" t="inlineStr">
        <is>
          <t>정기검사</t>
        </is>
      </c>
      <c r="C3140" s="46" t="inlineStr">
        <is>
          <t>김포지역</t>
        </is>
      </c>
      <c r="D3140" s="46" t="inlineStr">
        <is>
          <t>덱스레보</t>
        </is>
      </c>
      <c r="E3140" s="46" t="n">
        <v>300</v>
      </c>
      <c r="F3140" s="46" t="inlineStr">
        <is>
          <t>학운리</t>
        </is>
      </c>
      <c r="G3140" s="50" t="n">
        <v>0.5833333333333334</v>
      </c>
      <c r="H3140" s="51" t="n">
        <v>521730</v>
      </c>
      <c r="I3140" s="46" t="inlineStr">
        <is>
          <t>허록종</t>
        </is>
      </c>
      <c r="K3140" s="46" t="n">
        <v>3139</v>
      </c>
      <c r="L3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1">
      <c r="A3141" s="229" t="n">
        <v>46255</v>
      </c>
      <c r="B3141" s="46" t="inlineStr">
        <is>
          <t>메모</t>
        </is>
      </c>
      <c r="C3141" s="46" t="inlineStr">
        <is>
          <t>부천지역</t>
        </is>
      </c>
      <c r="D3141" s="46" t="inlineStr">
        <is>
          <t>김영권휴가</t>
        </is>
      </c>
      <c r="E3141" s="46" t="inlineStr">
        <is>
          <t>민재홍-옹승완</t>
        </is>
      </c>
      <c r="F3141" s="46" t="n"/>
      <c r="G3141" s="50" t="n"/>
      <c r="H3141" s="51" t="n"/>
      <c r="I3141" s="46" t="n"/>
      <c r="K3141" s="46" t="n">
        <v>3140</v>
      </c>
      <c r="L3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2">
      <c r="A3142" s="229" t="n">
        <v>46255</v>
      </c>
      <c r="B3142" s="46" t="inlineStr">
        <is>
          <t>메모</t>
        </is>
      </c>
      <c r="C3142" s="46" t="inlineStr">
        <is>
          <t>부천지역</t>
        </is>
      </c>
      <c r="D3142" s="46" t="inlineStr">
        <is>
          <t>이덕기휴가</t>
        </is>
      </c>
      <c r="E3142" s="46" t="n"/>
      <c r="F3142" s="46" t="n"/>
      <c r="G3142" s="50" t="n"/>
      <c r="H3142" s="51" t="n"/>
      <c r="I3142" s="46" t="n"/>
      <c r="K3142" s="46" t="n">
        <v>3141</v>
      </c>
      <c r="L3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3">
      <c r="A3143" s="229" t="n">
        <v>46255</v>
      </c>
      <c r="B3143" s="46" t="inlineStr">
        <is>
          <t>사용전검사</t>
        </is>
      </c>
      <c r="C3143" s="46" t="inlineStr">
        <is>
          <t>김포지역</t>
        </is>
      </c>
      <c r="D3143" s="46" t="inlineStr">
        <is>
          <t>청양1호</t>
        </is>
      </c>
      <c r="E3143" s="46" t="n">
        <v>297</v>
      </c>
      <c r="F3143" s="46" t="inlineStr">
        <is>
          <t>고막리</t>
        </is>
      </c>
      <c r="G3143" s="50" t="n"/>
      <c r="H3143" s="51" t="n"/>
      <c r="I3143" s="46" t="inlineStr">
        <is>
          <t>옹승완</t>
        </is>
      </c>
      <c r="K3143" s="46" t="n">
        <v>3142</v>
      </c>
      <c r="L3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4">
      <c r="A3144" s="229" t="n">
        <v>46255</v>
      </c>
      <c r="B3144" s="46" t="inlineStr">
        <is>
          <t>사용전검사</t>
        </is>
      </c>
      <c r="C3144" s="46" t="inlineStr">
        <is>
          <t>김포지역</t>
        </is>
      </c>
      <c r="D3144" s="46" t="inlineStr">
        <is>
          <t>룸코리아</t>
        </is>
      </c>
      <c r="E3144" s="46" t="n">
        <v>950</v>
      </c>
      <c r="F3144" s="46" t="inlineStr">
        <is>
          <t>옹정리</t>
        </is>
      </c>
      <c r="G3144" s="50" t="n"/>
      <c r="H3144" s="51" t="n"/>
      <c r="I3144" s="46" t="inlineStr">
        <is>
          <t>민재홍</t>
        </is>
      </c>
      <c r="K3144" s="46" t="n">
        <v>3143</v>
      </c>
      <c r="L3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5">
      <c r="A3145" s="229" t="n">
        <v>46255</v>
      </c>
      <c r="B3145" s="46" t="inlineStr">
        <is>
          <t>사용전검사</t>
        </is>
      </c>
      <c r="C3145" s="46" t="inlineStr">
        <is>
          <t>김포지역</t>
        </is>
      </c>
      <c r="D3145" s="46" t="inlineStr">
        <is>
          <t>코케탈</t>
        </is>
      </c>
      <c r="E3145" s="46" t="n">
        <v>167</v>
      </c>
      <c r="F3145" s="46" t="inlineStr">
        <is>
          <t>학운리</t>
        </is>
      </c>
      <c r="G3145" s="50" t="n"/>
      <c r="H3145" s="51" t="n"/>
      <c r="I3145" s="46" t="inlineStr">
        <is>
          <t>변종국</t>
        </is>
      </c>
      <c r="K3145" s="46" t="n">
        <v>3144</v>
      </c>
      <c r="L3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6">
      <c r="A3146" s="229" t="n">
        <v>46255</v>
      </c>
      <c r="B3146" s="46" t="inlineStr">
        <is>
          <t>사용전검사</t>
        </is>
      </c>
      <c r="C3146" s="46" t="inlineStr">
        <is>
          <t>김포지역</t>
        </is>
      </c>
      <c r="D3146" s="46" t="inlineStr">
        <is>
          <t>강승원</t>
        </is>
      </c>
      <c r="E3146" s="46" t="n">
        <v>121</v>
      </c>
      <c r="F3146" s="46" t="inlineStr">
        <is>
          <t>대능리</t>
        </is>
      </c>
      <c r="G3146" s="50" t="n"/>
      <c r="H3146" s="51" t="n"/>
      <c r="I3146" s="46" t="inlineStr">
        <is>
          <t>정신배</t>
        </is>
      </c>
      <c r="K3146" s="46" t="n">
        <v>3145</v>
      </c>
      <c r="L3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7">
      <c r="A3147" s="229" t="n">
        <v>46255</v>
      </c>
      <c r="B3147" s="46" t="inlineStr">
        <is>
          <t>사용전검사</t>
        </is>
      </c>
      <c r="C3147" s="46" t="inlineStr">
        <is>
          <t>김포지역</t>
        </is>
      </c>
      <c r="D3147" s="46" t="inlineStr">
        <is>
          <t>넥스트</t>
        </is>
      </c>
      <c r="E3147" s="46" t="n">
        <v>116</v>
      </c>
      <c r="F3147" s="46" t="inlineStr">
        <is>
          <t>마곡리</t>
        </is>
      </c>
      <c r="G3147" s="50" t="n"/>
      <c r="H3147" s="51" t="n"/>
      <c r="I3147" s="46" t="inlineStr">
        <is>
          <t>당효진</t>
        </is>
      </c>
      <c r="K3147" s="46" t="n">
        <v>3146</v>
      </c>
      <c r="L3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8">
      <c r="A3148" s="229" t="n">
        <v>46255</v>
      </c>
      <c r="B3148" s="46" t="inlineStr">
        <is>
          <t>사용전검사</t>
        </is>
      </c>
      <c r="C3148" s="46" t="inlineStr">
        <is>
          <t>김포지역</t>
        </is>
      </c>
      <c r="D3148" s="46" t="inlineStr">
        <is>
          <t>테라태양광</t>
        </is>
      </c>
      <c r="E3148" s="46" t="n">
        <v>332</v>
      </c>
      <c r="F3148" s="46" t="inlineStr">
        <is>
          <t>학운리</t>
        </is>
      </c>
      <c r="G3148" s="50" t="n"/>
      <c r="H3148" s="51" t="n"/>
      <c r="I3148" s="46" t="inlineStr">
        <is>
          <t>변종국</t>
        </is>
      </c>
      <c r="K3148" s="46" t="n">
        <v>3147</v>
      </c>
      <c r="L3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9">
      <c r="A3149" s="229" t="n">
        <v>46256</v>
      </c>
      <c r="B3149" s="46" t="inlineStr">
        <is>
          <t>정기검사</t>
        </is>
      </c>
      <c r="C3149" s="46" t="inlineStr">
        <is>
          <t>부천지역</t>
        </is>
      </c>
      <c r="D3149" s="46" t="inlineStr">
        <is>
          <t>서울텔레콤</t>
        </is>
      </c>
      <c r="E3149" s="46" t="n">
        <v>110</v>
      </c>
      <c r="F3149" s="46" t="inlineStr">
        <is>
          <t>소사동</t>
        </is>
      </c>
      <c r="G3149" s="50" t="n">
        <v>0.4583333333333333</v>
      </c>
      <c r="H3149" s="51" t="n">
        <v>257400</v>
      </c>
      <c r="I3149" s="46" t="inlineStr">
        <is>
          <t>허창수</t>
        </is>
      </c>
      <c r="K3149" s="46" t="n">
        <v>3148</v>
      </c>
      <c r="L3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0">
      <c r="A3150" s="229" t="n">
        <v>46256</v>
      </c>
      <c r="B3150" s="46" t="inlineStr">
        <is>
          <t>정기검사</t>
        </is>
      </c>
      <c r="C3150" s="46" t="inlineStr">
        <is>
          <t>김포지역</t>
        </is>
      </c>
      <c r="D3150" s="46" t="inlineStr">
        <is>
          <t>진코스밸리</t>
        </is>
      </c>
      <c r="E3150" s="46" t="n">
        <v>200</v>
      </c>
      <c r="F3150" s="46" t="inlineStr">
        <is>
          <t>학운리</t>
        </is>
      </c>
      <c r="G3150" s="50" t="n">
        <v>0.4166666666666667</v>
      </c>
      <c r="H3150" s="51" t="n">
        <v>593670</v>
      </c>
      <c r="I3150" s="46" t="inlineStr">
        <is>
          <t>민재홍</t>
        </is>
      </c>
      <c r="K3150" s="46" t="n">
        <v>3149</v>
      </c>
      <c r="L3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1">
      <c r="A3151" s="229" t="n">
        <v>46256</v>
      </c>
      <c r="B3151" s="46" t="inlineStr">
        <is>
          <t>정기검사</t>
        </is>
      </c>
      <c r="C3151" s="46" t="inlineStr">
        <is>
          <t>김포지역</t>
        </is>
      </c>
      <c r="D3151" s="46" t="inlineStr">
        <is>
          <t>특영테크</t>
        </is>
      </c>
      <c r="E3151" s="46" t="n">
        <v>490</v>
      </c>
      <c r="F3151" s="46" t="inlineStr">
        <is>
          <t>상마리</t>
        </is>
      </c>
      <c r="G3151" s="50" t="n">
        <v>0.4583333333333333</v>
      </c>
      <c r="H3151" s="51" t="n">
        <v>953590</v>
      </c>
      <c r="I3151" s="46" t="inlineStr">
        <is>
          <t>민재홍</t>
        </is>
      </c>
      <c r="K3151" s="46" t="n">
        <v>3150</v>
      </c>
      <c r="L3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2">
      <c r="A3152" s="229" t="n">
        <v>46256</v>
      </c>
      <c r="B3152" s="46" t="inlineStr">
        <is>
          <t>사용전검사</t>
        </is>
      </c>
      <c r="C3152" s="46" t="inlineStr">
        <is>
          <t>부천지역</t>
        </is>
      </c>
      <c r="D3152" s="46" t="inlineStr">
        <is>
          <t>허록종휴가</t>
        </is>
      </c>
      <c r="E3152" s="46" t="inlineStr">
        <is>
          <t>당효진</t>
        </is>
      </c>
      <c r="F3152" s="46" t="inlineStr">
        <is>
          <t>정성관</t>
        </is>
      </c>
      <c r="G3152" s="50" t="n"/>
      <c r="H3152" s="51" t="n"/>
      <c r="I3152" s="46" t="n"/>
      <c r="K3152" s="46" t="n">
        <v>3151</v>
      </c>
      <c r="L3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3">
      <c r="A3153" s="229" t="n">
        <v>46256</v>
      </c>
      <c r="B3153" s="46" t="inlineStr">
        <is>
          <t>사용전검사</t>
        </is>
      </c>
      <c r="C3153" s="46" t="inlineStr">
        <is>
          <t>부천지역</t>
        </is>
      </c>
      <c r="D3153" s="46" t="inlineStr">
        <is>
          <t>서수형휴가</t>
        </is>
      </c>
      <c r="E3153" s="46" t="inlineStr">
        <is>
          <t>허창수</t>
        </is>
      </c>
      <c r="F3153" s="46" t="inlineStr">
        <is>
          <t>정신배</t>
        </is>
      </c>
      <c r="G3153" s="50" t="n"/>
      <c r="H3153" s="51" t="n"/>
      <c r="I3153" s="46" t="n"/>
      <c r="K3153" s="46" t="n">
        <v>3152</v>
      </c>
      <c r="L3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4">
      <c r="A3154" s="229" t="n">
        <v>46256</v>
      </c>
      <c r="B3154" s="46" t="inlineStr">
        <is>
          <t>사용전검사</t>
        </is>
      </c>
      <c r="C3154" s="46" t="inlineStr">
        <is>
          <t>부천지역</t>
        </is>
      </c>
      <c r="D3154" s="46" t="inlineStr">
        <is>
          <t>옹승완휴가</t>
        </is>
      </c>
      <c r="E3154" s="46" t="inlineStr">
        <is>
          <t>민재홍</t>
        </is>
      </c>
      <c r="F3154" s="46" t="inlineStr">
        <is>
          <t>변종국</t>
        </is>
      </c>
      <c r="G3154" s="50" t="n"/>
      <c r="H3154" s="51" t="n"/>
      <c r="I3154" s="46" t="n"/>
      <c r="K3154" s="46" t="n">
        <v>3153</v>
      </c>
      <c r="L3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5">
      <c r="A3155" s="229" t="n">
        <v>46256</v>
      </c>
      <c r="B3155" s="46" t="inlineStr">
        <is>
          <t>사용전검사</t>
        </is>
      </c>
      <c r="C3155" s="46" t="inlineStr">
        <is>
          <t>부천지역</t>
        </is>
      </c>
      <c r="D3155" s="46" t="inlineStr">
        <is>
          <t>김영권휴가</t>
        </is>
      </c>
      <c r="E3155" s="46" t="inlineStr">
        <is>
          <t>송낙명</t>
        </is>
      </c>
      <c r="F3155" s="46" t="inlineStr">
        <is>
          <t>이종석</t>
        </is>
      </c>
      <c r="G3155" s="50" t="n"/>
      <c r="H3155" s="51" t="n"/>
      <c r="I3155" s="46" t="n"/>
      <c r="K3155" s="46" t="n">
        <v>3154</v>
      </c>
      <c r="L3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6">
      <c r="A3156" s="229" t="n">
        <v>46256</v>
      </c>
      <c r="B3156" s="46" t="inlineStr">
        <is>
          <t>메모</t>
        </is>
      </c>
      <c r="C3156" s="46" t="inlineStr">
        <is>
          <t>부천지역</t>
        </is>
      </c>
      <c r="D3156" s="46" t="inlineStr">
        <is>
          <t>이덕기휴가</t>
        </is>
      </c>
      <c r="E3156" s="46" t="inlineStr">
        <is>
          <t>한태희</t>
        </is>
      </c>
      <c r="F3156" s="46" t="n"/>
      <c r="G3156" s="50" t="n"/>
      <c r="H3156" s="51" t="n"/>
      <c r="I3156" s="46" t="n"/>
      <c r="K3156" s="46" t="n">
        <v>3155</v>
      </c>
      <c r="L3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7">
      <c r="A3157" s="229" t="n">
        <v>46257</v>
      </c>
      <c r="B3157" s="46" t="inlineStr">
        <is>
          <t>사용전검사</t>
        </is>
      </c>
      <c r="C3157" s="46" t="inlineStr">
        <is>
          <t>부천지역</t>
        </is>
      </c>
      <c r="D3157" s="46" t="inlineStr">
        <is>
          <t>심곡본1동</t>
        </is>
      </c>
      <c r="E3157" s="46" t="n">
        <v>500</v>
      </c>
      <c r="F3157" s="46" t="inlineStr">
        <is>
          <t>심곡동</t>
        </is>
      </c>
      <c r="G3157" s="50" t="n"/>
      <c r="H3157" s="51" t="n"/>
      <c r="I3157" s="46" t="inlineStr">
        <is>
          <t>이덕기</t>
        </is>
      </c>
      <c r="K3157" s="46" t="n">
        <v>3156</v>
      </c>
      <c r="L3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8">
      <c r="A3158" s="229" t="n">
        <v>46257</v>
      </c>
      <c r="B3158" s="46" t="inlineStr">
        <is>
          <t>메모</t>
        </is>
      </c>
      <c r="C3158" s="46" t="inlineStr">
        <is>
          <t>부천지역</t>
        </is>
      </c>
      <c r="D3158" s="46" t="inlineStr">
        <is>
          <t>허록종휴가</t>
        </is>
      </c>
      <c r="E3158" s="46" t="n"/>
      <c r="F3158" s="46" t="n"/>
      <c r="G3158" s="50" t="n"/>
      <c r="H3158" s="51" t="n"/>
      <c r="I3158" s="46" t="n"/>
      <c r="K3158" s="46" t="n">
        <v>3157</v>
      </c>
      <c r="L3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9">
      <c r="A3159" s="229" t="n">
        <v>46257</v>
      </c>
      <c r="B3159" s="46" t="inlineStr">
        <is>
          <t>메모</t>
        </is>
      </c>
      <c r="C3159" s="46" t="inlineStr">
        <is>
          <t>부천지역</t>
        </is>
      </c>
      <c r="D3159" s="46" t="inlineStr">
        <is>
          <t>김영권휴가</t>
        </is>
      </c>
      <c r="E3159" s="46" t="n"/>
      <c r="F3159" s="46" t="n"/>
      <c r="G3159" s="50" t="n"/>
      <c r="H3159" s="51" t="n"/>
      <c r="I3159" s="46" t="n"/>
      <c r="K3159" s="46" t="n">
        <v>3158</v>
      </c>
      <c r="L3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0">
      <c r="A3160" s="229" t="n">
        <v>46258</v>
      </c>
      <c r="B3160" s="46" t="inlineStr">
        <is>
          <t>정기검사</t>
        </is>
      </c>
      <c r="C3160" s="46" t="inlineStr">
        <is>
          <t>부천지역</t>
        </is>
      </c>
      <c r="D3160" s="46" t="inlineStr">
        <is>
          <t>제이와이컴파니</t>
        </is>
      </c>
      <c r="E3160" s="46" t="n">
        <v>150</v>
      </c>
      <c r="F3160" s="46" t="inlineStr">
        <is>
          <t>도당동</t>
        </is>
      </c>
      <c r="G3160" s="50" t="n">
        <v>0.5</v>
      </c>
      <c r="H3160" s="51" t="n">
        <v>424160</v>
      </c>
      <c r="I3160" s="46" t="inlineStr">
        <is>
          <t>김영권</t>
        </is>
      </c>
      <c r="K3160" s="46" t="n">
        <v>3159</v>
      </c>
      <c r="L3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1">
      <c r="A3161" s="229" t="n">
        <v>46258</v>
      </c>
      <c r="B3161" s="46" t="inlineStr">
        <is>
          <t>정기검사</t>
        </is>
      </c>
      <c r="C3161" s="46" t="inlineStr">
        <is>
          <t>부천지역</t>
        </is>
      </c>
      <c r="D3161" s="46" t="inlineStr">
        <is>
          <t>다온앤</t>
        </is>
      </c>
      <c r="E3161" s="46" t="inlineStr">
        <is>
          <t>950/300</t>
        </is>
      </c>
      <c r="F3161" s="46" t="inlineStr">
        <is>
          <t>옥길동</t>
        </is>
      </c>
      <c r="G3161" s="50" t="n">
        <v>0.3958333333333333</v>
      </c>
      <c r="H3161" s="51" t="n">
        <v>1114850</v>
      </c>
      <c r="I3161" s="46" t="inlineStr">
        <is>
          <t>민재홍</t>
        </is>
      </c>
      <c r="K3161" s="46" t="n">
        <v>3160</v>
      </c>
      <c r="L3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2">
      <c r="A3162" s="229" t="n">
        <v>46258</v>
      </c>
      <c r="B3162" s="46" t="inlineStr">
        <is>
          <t>정기검사</t>
        </is>
      </c>
      <c r="C3162" s="46" t="inlineStr">
        <is>
          <t>부천지역</t>
        </is>
      </c>
      <c r="D3162" s="46" t="inlineStr">
        <is>
          <t>경춘빌딩</t>
        </is>
      </c>
      <c r="E3162" s="46" t="n">
        <v>225</v>
      </c>
      <c r="F3162" s="46" t="inlineStr">
        <is>
          <t>상동</t>
        </is>
      </c>
      <c r="G3162" s="50" t="n">
        <v>0.4166666666666667</v>
      </c>
      <c r="H3162" s="51" t="n">
        <v>472890</v>
      </c>
      <c r="I3162" s="46" t="inlineStr">
        <is>
          <t>송낙명</t>
        </is>
      </c>
      <c r="K3162" s="46" t="n">
        <v>3161</v>
      </c>
      <c r="L3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3">
      <c r="A3163" s="229" t="n">
        <v>46258</v>
      </c>
      <c r="B3163" s="46" t="inlineStr">
        <is>
          <t>정기검사</t>
        </is>
      </c>
      <c r="C3163" s="46" t="inlineStr">
        <is>
          <t>부천지역</t>
        </is>
      </c>
      <c r="D3163" s="46" t="inlineStr">
        <is>
          <t>계남아카데미</t>
        </is>
      </c>
      <c r="E3163" s="46" t="inlineStr">
        <is>
          <t>600/105</t>
        </is>
      </c>
      <c r="F3163" s="46" t="inlineStr">
        <is>
          <t>중동</t>
        </is>
      </c>
      <c r="G3163" s="50" t="n">
        <v>0.2708333333333333</v>
      </c>
      <c r="H3163" s="51" t="n">
        <v>1220080</v>
      </c>
      <c r="I3163" s="46" t="inlineStr">
        <is>
          <t>한태희</t>
        </is>
      </c>
      <c r="K3163" s="46" t="n">
        <v>3162</v>
      </c>
      <c r="L3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4">
      <c r="A3164" s="229" t="n">
        <v>46258</v>
      </c>
      <c r="B3164" s="46" t="inlineStr">
        <is>
          <t>정기검사</t>
        </is>
      </c>
      <c r="C3164" s="46" t="inlineStr">
        <is>
          <t>부천지역</t>
        </is>
      </c>
      <c r="D3164" s="46" t="inlineStr">
        <is>
          <t>성원테크원</t>
        </is>
      </c>
      <c r="E3164" s="46" t="n">
        <v>280</v>
      </c>
      <c r="F3164" s="46" t="inlineStr">
        <is>
          <t>도당동</t>
        </is>
      </c>
      <c r="G3164" s="50" t="n">
        <v>0.5</v>
      </c>
      <c r="H3164" s="51" t="n">
        <v>548640</v>
      </c>
      <c r="I3164" s="46" t="inlineStr">
        <is>
          <t>송낙명</t>
        </is>
      </c>
      <c r="K3164" s="46" t="n">
        <v>3163</v>
      </c>
      <c r="L3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5">
      <c r="A3165" s="229" t="n">
        <v>46258</v>
      </c>
      <c r="B3165" s="46" t="inlineStr">
        <is>
          <t>정기검사</t>
        </is>
      </c>
      <c r="C3165" s="46" t="inlineStr">
        <is>
          <t>김포지역</t>
        </is>
      </c>
      <c r="D3165" s="46" t="inlineStr">
        <is>
          <t>에이트테크</t>
        </is>
      </c>
      <c r="E3165" s="46" t="n">
        <v>200</v>
      </c>
      <c r="F3165" s="46" t="inlineStr">
        <is>
          <t>옹정리</t>
        </is>
      </c>
      <c r="G3165" s="50" t="n">
        <v>0.5</v>
      </c>
      <c r="H3165" s="51" t="n">
        <v>456720</v>
      </c>
      <c r="I3165" s="46" t="inlineStr">
        <is>
          <t>허창수</t>
        </is>
      </c>
      <c r="K3165" s="46" t="n">
        <v>3164</v>
      </c>
      <c r="L3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6">
      <c r="A3166" s="229" t="n">
        <v>46258</v>
      </c>
      <c r="B3166" s="46" t="inlineStr">
        <is>
          <t>정기검사</t>
        </is>
      </c>
      <c r="C3166" s="46" t="inlineStr">
        <is>
          <t>김포지역</t>
        </is>
      </c>
      <c r="D3166" s="46" t="inlineStr">
        <is>
          <t>푸른나래</t>
        </is>
      </c>
      <c r="E3166" s="46" t="n">
        <v>290</v>
      </c>
      <c r="F3166" s="46" t="inlineStr">
        <is>
          <t>포내리</t>
        </is>
      </c>
      <c r="G3166" s="50" t="n">
        <v>0.4791666666666667</v>
      </c>
      <c r="H3166" s="51" t="n">
        <v>515130</v>
      </c>
      <c r="I3166" s="46" t="inlineStr">
        <is>
          <t>이덕기</t>
        </is>
      </c>
      <c r="K3166" s="46" t="n">
        <v>3165</v>
      </c>
      <c r="L3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7">
      <c r="A3167" s="229" t="n">
        <v>46258</v>
      </c>
      <c r="B3167" s="46" t="inlineStr">
        <is>
          <t>정기검사</t>
        </is>
      </c>
      <c r="C3167" s="46" t="inlineStr">
        <is>
          <t>김포지역</t>
        </is>
      </c>
      <c r="D3167" s="46" t="inlineStr">
        <is>
          <t>창대스틸</t>
        </is>
      </c>
      <c r="E3167" s="46" t="n">
        <v>200</v>
      </c>
      <c r="F3167" s="46" t="inlineStr">
        <is>
          <t>원산리</t>
        </is>
      </c>
      <c r="G3167" s="50" t="n">
        <v>0.4166666666666667</v>
      </c>
      <c r="H3167" s="51" t="n">
        <v>456720</v>
      </c>
      <c r="I3167" s="46" t="inlineStr">
        <is>
          <t>서수형</t>
        </is>
      </c>
      <c r="K3167" s="46" t="n">
        <v>3166</v>
      </c>
      <c r="L3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8">
      <c r="A3168" s="229" t="n">
        <v>46258</v>
      </c>
      <c r="B3168" s="46" t="inlineStr">
        <is>
          <t>정기검사</t>
        </is>
      </c>
      <c r="C3168" s="46" t="inlineStr">
        <is>
          <t>김포지역</t>
        </is>
      </c>
      <c r="D3168" s="46" t="inlineStr">
        <is>
          <t>김포문화재단</t>
        </is>
      </c>
      <c r="E3168" s="46" t="inlineStr">
        <is>
          <t>전기차</t>
        </is>
      </c>
      <c r="F3168" s="46" t="inlineStr">
        <is>
          <t>사우동</t>
        </is>
      </c>
      <c r="G3168" s="50" t="n">
        <v>0.4375</v>
      </c>
      <c r="H3168" s="51" t="n">
        <v>288200</v>
      </c>
      <c r="I3168" s="46" t="inlineStr">
        <is>
          <t>변종국</t>
        </is>
      </c>
      <c r="K3168" s="46" t="n">
        <v>3167</v>
      </c>
      <c r="L3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9">
      <c r="A3169" s="229" t="n">
        <v>46258</v>
      </c>
      <c r="B3169" s="46" t="inlineStr">
        <is>
          <t>정기검사</t>
        </is>
      </c>
      <c r="C3169" s="46" t="inlineStr">
        <is>
          <t>김포지역</t>
        </is>
      </c>
      <c r="D3169" s="46" t="inlineStr">
        <is>
          <t>가현양수장</t>
        </is>
      </c>
      <c r="E3169" s="46" t="n">
        <v>2575</v>
      </c>
      <c r="F3169" s="46" t="inlineStr">
        <is>
          <t>가현리</t>
        </is>
      </c>
      <c r="G3169" s="50" t="n">
        <v>0.4166666666666667</v>
      </c>
      <c r="H3169" s="51" t="n">
        <v>1136740</v>
      </c>
      <c r="I3169" s="46" t="inlineStr">
        <is>
          <t>옹승완</t>
        </is>
      </c>
      <c r="K3169" s="46" t="n">
        <v>3168</v>
      </c>
      <c r="L3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0">
      <c r="A3170" s="229" t="n">
        <v>46258</v>
      </c>
      <c r="B3170" s="46" t="inlineStr">
        <is>
          <t>정기검사</t>
        </is>
      </c>
      <c r="C3170" s="46" t="inlineStr">
        <is>
          <t>김포지역</t>
        </is>
      </c>
      <c r="D3170" s="46" t="inlineStr">
        <is>
          <t>전영두</t>
        </is>
      </c>
      <c r="E3170" s="46" t="n">
        <v>20</v>
      </c>
      <c r="F3170" s="46" t="inlineStr">
        <is>
          <t>초원지리</t>
        </is>
      </c>
      <c r="G3170" s="50" t="n"/>
      <c r="H3170" s="51" t="n">
        <v>94600</v>
      </c>
      <c r="I3170" s="46" t="inlineStr">
        <is>
          <t>변종국</t>
        </is>
      </c>
      <c r="K3170" s="46" t="n">
        <v>3169</v>
      </c>
      <c r="L3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1">
      <c r="A3171" s="229" t="n">
        <v>46258</v>
      </c>
      <c r="B3171" s="46" t="inlineStr">
        <is>
          <t>정기검사</t>
        </is>
      </c>
      <c r="C3171" s="46" t="inlineStr">
        <is>
          <t>김포지역</t>
        </is>
      </c>
      <c r="D3171" s="46" t="inlineStr">
        <is>
          <t>권상면</t>
        </is>
      </c>
      <c r="E3171" s="46" t="n">
        <v>20</v>
      </c>
      <c r="F3171" s="46" t="inlineStr">
        <is>
          <t>대벽리</t>
        </is>
      </c>
      <c r="G3171" s="50" t="n"/>
      <c r="H3171" s="51" t="n">
        <v>94600</v>
      </c>
      <c r="I3171" s="46" t="inlineStr">
        <is>
          <t>이종석</t>
        </is>
      </c>
      <c r="K3171" s="46" t="n">
        <v>3170</v>
      </c>
      <c r="L3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2">
      <c r="A3172" s="229" t="n">
        <v>46258</v>
      </c>
      <c r="B3172" s="46" t="inlineStr">
        <is>
          <t>사용전검사</t>
        </is>
      </c>
      <c r="C3172" s="46" t="inlineStr">
        <is>
          <t>부천지역</t>
        </is>
      </c>
      <c r="D3172" s="46" t="inlineStr">
        <is>
          <t>리오렌</t>
        </is>
      </c>
      <c r="E3172" s="46" t="n">
        <v>20</v>
      </c>
      <c r="F3172" s="46" t="inlineStr">
        <is>
          <t>원미동</t>
        </is>
      </c>
      <c r="G3172" s="50" t="n"/>
      <c r="H3172" s="51" t="n"/>
      <c r="I3172" s="46" t="inlineStr">
        <is>
          <t>민재홍</t>
        </is>
      </c>
      <c r="K3172" s="46" t="n">
        <v>3171</v>
      </c>
      <c r="L3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3">
      <c r="A3173" s="229" t="n">
        <v>46258</v>
      </c>
      <c r="B3173" s="46" t="inlineStr">
        <is>
          <t>사용전검사</t>
        </is>
      </c>
      <c r="C3173" s="46" t="inlineStr">
        <is>
          <t>부천지역</t>
        </is>
      </c>
      <c r="D3173" s="46" t="inlineStr">
        <is>
          <t>삼환기업</t>
        </is>
      </c>
      <c r="E3173" s="46" t="n">
        <v>2000</v>
      </c>
      <c r="F3173" s="46" t="inlineStr">
        <is>
          <t>오정동</t>
        </is>
      </c>
      <c r="G3173" s="50" t="n"/>
      <c r="H3173" s="51" t="n"/>
      <c r="I3173" s="46" t="inlineStr">
        <is>
          <t>한태희</t>
        </is>
      </c>
      <c r="K3173" s="46" t="n">
        <v>3172</v>
      </c>
      <c r="L3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4">
      <c r="A3174" s="229" t="n">
        <v>46258</v>
      </c>
      <c r="B3174" s="46" t="inlineStr">
        <is>
          <t>메모</t>
        </is>
      </c>
      <c r="C3174" s="46" t="inlineStr">
        <is>
          <t>부천지역</t>
        </is>
      </c>
      <c r="D3174" s="46" t="inlineStr">
        <is>
          <t>허록조휴가</t>
        </is>
      </c>
      <c r="E3174" s="46" t="n"/>
      <c r="F3174" s="46" t="n"/>
      <c r="G3174" s="50" t="n"/>
      <c r="H3174" s="51" t="n"/>
      <c r="I3174" s="46" t="n"/>
      <c r="K3174" s="46" t="n">
        <v>3173</v>
      </c>
      <c r="L3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5">
      <c r="A3175" s="229" t="n">
        <v>46258</v>
      </c>
      <c r="B3175" s="46" t="inlineStr">
        <is>
          <t>메모</t>
        </is>
      </c>
      <c r="C3175" s="46" t="inlineStr">
        <is>
          <t>부천지역</t>
        </is>
      </c>
      <c r="D3175" s="46" t="inlineStr">
        <is>
          <t>당효진휴가</t>
        </is>
      </c>
      <c r="E3175" s="46" t="n"/>
      <c r="F3175" s="46" t="n"/>
      <c r="G3175" s="50" t="n"/>
      <c r="H3175" s="51" t="n"/>
      <c r="I3175" s="46" t="n"/>
      <c r="K3175" s="46" t="n">
        <v>3174</v>
      </c>
      <c r="L3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6">
      <c r="A3176" s="229" t="n">
        <v>46258</v>
      </c>
      <c r="B3176" s="46" t="inlineStr">
        <is>
          <t>메모</t>
        </is>
      </c>
      <c r="C3176" s="46" t="inlineStr">
        <is>
          <t>부천지역</t>
        </is>
      </c>
      <c r="D3176" s="46" t="inlineStr">
        <is>
          <t>정성관휴가</t>
        </is>
      </c>
      <c r="E3176" s="46" t="n"/>
      <c r="F3176" s="46" t="n"/>
      <c r="G3176" s="50" t="n"/>
      <c r="H3176" s="51" t="n"/>
      <c r="I3176" s="46" t="n"/>
      <c r="K3176" s="46" t="n">
        <v>3175</v>
      </c>
      <c r="L3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7">
      <c r="A3177" s="229" t="n">
        <v>46258</v>
      </c>
      <c r="B3177" s="46" t="inlineStr">
        <is>
          <t>사용전검사</t>
        </is>
      </c>
      <c r="C3177" s="46" t="inlineStr">
        <is>
          <t>김포지역</t>
        </is>
      </c>
      <c r="D3177" s="46" t="inlineStr">
        <is>
          <t>jym 그로벌</t>
        </is>
      </c>
      <c r="E3177" s="46" t="n">
        <v>700</v>
      </c>
      <c r="F3177" s="46" t="inlineStr">
        <is>
          <t>쇄암리</t>
        </is>
      </c>
      <c r="G3177" s="50" t="n"/>
      <c r="H3177" s="51" t="n"/>
      <c r="I3177" s="46" t="inlineStr">
        <is>
          <t>옹승완</t>
        </is>
      </c>
      <c r="K3177" s="46" t="n">
        <v>3176</v>
      </c>
      <c r="L3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8">
      <c r="A3178" s="229" t="n">
        <v>46258</v>
      </c>
      <c r="B3178" s="46" t="inlineStr">
        <is>
          <t>사용전검사</t>
        </is>
      </c>
      <c r="C3178" s="46" t="inlineStr">
        <is>
          <t>김포지역</t>
        </is>
      </c>
      <c r="D3178" s="46" t="inlineStr">
        <is>
          <t>안전1호</t>
        </is>
      </c>
      <c r="E3178" s="46" t="n">
        <v>89</v>
      </c>
      <c r="F3178" s="46" t="inlineStr">
        <is>
          <t>쇄암리</t>
        </is>
      </c>
      <c r="G3178" s="50" t="n"/>
      <c r="H3178" s="51" t="n"/>
      <c r="I3178" s="46" t="inlineStr">
        <is>
          <t>허창수</t>
        </is>
      </c>
      <c r="K3178" s="46" t="n">
        <v>3177</v>
      </c>
      <c r="L3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9">
      <c r="A3179" s="229" t="n">
        <v>46258</v>
      </c>
      <c r="B3179" s="46" t="inlineStr">
        <is>
          <t>사용전검사</t>
        </is>
      </c>
      <c r="C3179" s="46" t="inlineStr">
        <is>
          <t>김포지역</t>
        </is>
      </c>
      <c r="D3179" s="46" t="inlineStr">
        <is>
          <t>안전2호</t>
        </is>
      </c>
      <c r="E3179" s="46" t="n">
        <v>90</v>
      </c>
      <c r="F3179" s="46" t="inlineStr">
        <is>
          <t>쇄암리</t>
        </is>
      </c>
      <c r="G3179" s="50" t="n"/>
      <c r="H3179" s="51" t="n"/>
      <c r="I3179" s="46" t="inlineStr">
        <is>
          <t>허창수</t>
        </is>
      </c>
      <c r="K3179" s="46" t="n">
        <v>3178</v>
      </c>
      <c r="L3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0">
      <c r="A3180" s="229" t="n">
        <v>46258</v>
      </c>
      <c r="B3180" s="46" t="inlineStr">
        <is>
          <t>사용전검사</t>
        </is>
      </c>
      <c r="C3180" s="46" t="inlineStr">
        <is>
          <t>김포지역</t>
        </is>
      </c>
      <c r="D3180" s="46" t="inlineStr">
        <is>
          <t>안전3호</t>
        </is>
      </c>
      <c r="E3180" s="46" t="n">
        <v>91</v>
      </c>
      <c r="F3180" s="46" t="inlineStr">
        <is>
          <t>쇄암리</t>
        </is>
      </c>
      <c r="G3180" s="50" t="n"/>
      <c r="H3180" s="51" t="n"/>
      <c r="I3180" s="46" t="inlineStr">
        <is>
          <t>허창수</t>
        </is>
      </c>
      <c r="K3180" s="46" t="n">
        <v>3179</v>
      </c>
      <c r="L3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1">
      <c r="A3181" s="229" t="n">
        <v>46258</v>
      </c>
      <c r="B3181" s="46" t="inlineStr">
        <is>
          <t>사용전검사</t>
        </is>
      </c>
      <c r="C3181" s="46" t="inlineStr">
        <is>
          <t>김포지역</t>
        </is>
      </c>
      <c r="D3181" s="46" t="inlineStr">
        <is>
          <t>제이케이</t>
        </is>
      </c>
      <c r="E3181" s="46" t="n">
        <v>70</v>
      </c>
      <c r="F3181" s="46" t="inlineStr">
        <is>
          <t>대능리</t>
        </is>
      </c>
      <c r="G3181" s="50" t="n"/>
      <c r="H3181" s="51" t="n"/>
      <c r="I3181" s="46" t="inlineStr">
        <is>
          <t>정신배</t>
        </is>
      </c>
      <c r="K3181" s="46" t="n">
        <v>3180</v>
      </c>
      <c r="L3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2">
      <c r="A3182" s="229" t="n">
        <v>46258</v>
      </c>
      <c r="B3182" s="46" t="inlineStr">
        <is>
          <t>사용전검사</t>
        </is>
      </c>
      <c r="C3182" s="46" t="inlineStr">
        <is>
          <t>김포지역</t>
        </is>
      </c>
      <c r="D3182" s="46" t="inlineStr">
        <is>
          <t>크린에어테크</t>
        </is>
      </c>
      <c r="E3182" s="46" t="n">
        <v>120</v>
      </c>
      <c r="F3182" s="46" t="inlineStr">
        <is>
          <t>학운리</t>
        </is>
      </c>
      <c r="G3182" s="50" t="n"/>
      <c r="H3182" s="51" t="n"/>
      <c r="I3182" s="46" t="inlineStr">
        <is>
          <t>정신배</t>
        </is>
      </c>
      <c r="K3182" s="46" t="n">
        <v>3181</v>
      </c>
      <c r="L3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3">
      <c r="A3183" s="229" t="n">
        <v>46258</v>
      </c>
      <c r="B3183" s="46" t="inlineStr">
        <is>
          <t>사용전검사</t>
        </is>
      </c>
      <c r="C3183" s="46" t="inlineStr">
        <is>
          <t>김포지역</t>
        </is>
      </c>
      <c r="D3183" s="46" t="inlineStr">
        <is>
          <t>예건</t>
        </is>
      </c>
      <c r="E3183" s="46" t="n">
        <v>150</v>
      </c>
      <c r="F3183" s="46" t="inlineStr">
        <is>
          <t>학운리</t>
        </is>
      </c>
      <c r="G3183" s="50" t="n"/>
      <c r="H3183" s="51" t="n"/>
      <c r="I3183" s="46" t="inlineStr">
        <is>
          <t>정신배</t>
        </is>
      </c>
      <c r="K3183" s="46" t="n">
        <v>3182</v>
      </c>
      <c r="L3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4">
      <c r="A3184" s="229" t="n">
        <v>46259</v>
      </c>
      <c r="B3184" s="46" t="inlineStr">
        <is>
          <t>정기검사</t>
        </is>
      </c>
      <c r="C3184" s="46" t="inlineStr">
        <is>
          <t>부천지역</t>
        </is>
      </c>
      <c r="D3184" s="46" t="inlineStr">
        <is>
          <t>센타프라자</t>
        </is>
      </c>
      <c r="E3184" s="46" t="n">
        <v>182</v>
      </c>
      <c r="F3184" s="46" t="inlineStr">
        <is>
          <t>상동</t>
        </is>
      </c>
      <c r="G3184" s="50" t="n">
        <v>0.2708333333333333</v>
      </c>
      <c r="H3184" s="51" t="n">
        <v>247610</v>
      </c>
      <c r="I3184" s="46" t="inlineStr">
        <is>
          <t>이종석</t>
        </is>
      </c>
      <c r="K3184" s="46" t="n">
        <v>3183</v>
      </c>
      <c r="L3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5">
      <c r="A3185" s="229" t="n">
        <v>46259</v>
      </c>
      <c r="B3185" s="46" t="inlineStr">
        <is>
          <t>정기검사</t>
        </is>
      </c>
      <c r="C3185" s="46" t="inlineStr">
        <is>
          <t>김포지역</t>
        </is>
      </c>
      <c r="D3185" s="46" t="inlineStr">
        <is>
          <t>에스엠테크</t>
        </is>
      </c>
      <c r="E3185" s="46" t="n">
        <v>199</v>
      </c>
      <c r="F3185" s="46" t="inlineStr">
        <is>
          <t>학운리</t>
        </is>
      </c>
      <c r="G3185" s="50" t="n">
        <v>0.4166666666666667</v>
      </c>
      <c r="H3185" s="51" t="n">
        <v>359700</v>
      </c>
      <c r="I3185" s="46" t="inlineStr">
        <is>
          <t>한태희</t>
        </is>
      </c>
      <c r="K3185" s="46" t="n">
        <v>3184</v>
      </c>
      <c r="L3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6">
      <c r="A3186" s="229" t="n">
        <v>46259</v>
      </c>
      <c r="B3186" s="46" t="inlineStr">
        <is>
          <t>정기검사</t>
        </is>
      </c>
      <c r="C3186" s="46" t="inlineStr">
        <is>
          <t>김포지역</t>
        </is>
      </c>
      <c r="D3186" s="46" t="inlineStr">
        <is>
          <t>존시스템</t>
        </is>
      </c>
      <c r="E3186" s="46" t="n">
        <v>290</v>
      </c>
      <c r="F3186" s="46" t="inlineStr">
        <is>
          <t>대벽리</t>
        </is>
      </c>
      <c r="G3186" s="50" t="n">
        <v>0.5</v>
      </c>
      <c r="H3186" s="51" t="n">
        <v>515130</v>
      </c>
      <c r="I3186" s="46" t="inlineStr">
        <is>
          <t>송낙명</t>
        </is>
      </c>
      <c r="K3186" s="46" t="n">
        <v>3185</v>
      </c>
      <c r="L3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7">
      <c r="A3187" s="229" t="n">
        <v>46259</v>
      </c>
      <c r="B3187" s="46" t="inlineStr">
        <is>
          <t>정기검사</t>
        </is>
      </c>
      <c r="C3187" s="46" t="inlineStr">
        <is>
          <t>김포지역</t>
        </is>
      </c>
      <c r="D3187" s="46" t="inlineStr">
        <is>
          <t>신한이비스타</t>
        </is>
      </c>
      <c r="E3187" s="46" t="inlineStr">
        <is>
          <t>600/250</t>
        </is>
      </c>
      <c r="F3187" s="46" t="inlineStr">
        <is>
          <t>고촌</t>
        </is>
      </c>
      <c r="G3187" s="50" t="n">
        <v>0.4583333333333333</v>
      </c>
      <c r="H3187" s="51" t="n">
        <v>981420</v>
      </c>
      <c r="I3187" s="46" t="inlineStr">
        <is>
          <t>옹승완</t>
        </is>
      </c>
      <c r="K3187" s="46" t="n">
        <v>3186</v>
      </c>
      <c r="L3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8">
      <c r="A3188" s="229" t="n">
        <v>46259</v>
      </c>
      <c r="B3188" s="46" t="inlineStr">
        <is>
          <t>정기검사</t>
        </is>
      </c>
      <c r="C3188" s="46" t="inlineStr">
        <is>
          <t>김포지역</t>
        </is>
      </c>
      <c r="D3188" s="46" t="inlineStr">
        <is>
          <t>태신산업</t>
        </is>
      </c>
      <c r="E3188" s="46" t="n">
        <v>290</v>
      </c>
      <c r="F3188" s="46" t="inlineStr">
        <is>
          <t>율생리</t>
        </is>
      </c>
      <c r="G3188" s="50" t="n">
        <v>0.3958333333333333</v>
      </c>
      <c r="H3188" s="51" t="n">
        <v>515130</v>
      </c>
      <c r="I3188" s="46" t="inlineStr">
        <is>
          <t>김영권</t>
        </is>
      </c>
      <c r="K3188" s="46" t="n">
        <v>3187</v>
      </c>
      <c r="L3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9">
      <c r="A3189" s="229" t="n">
        <v>46259</v>
      </c>
      <c r="B3189" s="46" t="inlineStr">
        <is>
          <t>정기검사</t>
        </is>
      </c>
      <c r="C3189" s="46" t="inlineStr">
        <is>
          <t>김포지역</t>
        </is>
      </c>
      <c r="D3189" s="46" t="inlineStr">
        <is>
          <t>신곡수중보</t>
        </is>
      </c>
      <c r="E3189" s="46" t="n">
        <v>60</v>
      </c>
      <c r="F3189" s="46" t="inlineStr">
        <is>
          <t>고촌</t>
        </is>
      </c>
      <c r="G3189" s="50" t="n">
        <v>0.4166666666666667</v>
      </c>
      <c r="H3189" s="51" t="n">
        <v>154330</v>
      </c>
      <c r="I3189" s="46" t="inlineStr">
        <is>
          <t>이덕기</t>
        </is>
      </c>
      <c r="K3189" s="46" t="n">
        <v>3188</v>
      </c>
      <c r="L3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0">
      <c r="A3190" s="229" t="n">
        <v>46259</v>
      </c>
      <c r="B3190" s="46" t="inlineStr">
        <is>
          <t>정기검사</t>
        </is>
      </c>
      <c r="C3190" s="46" t="inlineStr">
        <is>
          <t>김포지역</t>
        </is>
      </c>
      <c r="D3190" s="46" t="inlineStr">
        <is>
          <t>한강비즈나인</t>
        </is>
      </c>
      <c r="E3190" s="46" t="inlineStr">
        <is>
          <t>전기차</t>
        </is>
      </c>
      <c r="F3190" s="46" t="inlineStr">
        <is>
          <t>구래동</t>
        </is>
      </c>
      <c r="G3190" s="50" t="n">
        <v>0.5833333333333334</v>
      </c>
      <c r="H3190" s="51" t="n">
        <v>242110</v>
      </c>
      <c r="I3190" s="46" t="inlineStr">
        <is>
          <t>정신배</t>
        </is>
      </c>
      <c r="K3190" s="46" t="n">
        <v>3189</v>
      </c>
      <c r="L3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1">
      <c r="A3191" s="229" t="n">
        <v>46259</v>
      </c>
      <c r="B3191" s="46" t="inlineStr">
        <is>
          <t>정기검사</t>
        </is>
      </c>
      <c r="C3191" s="46" t="inlineStr">
        <is>
          <t>김포지역</t>
        </is>
      </c>
      <c r="D3191" s="46" t="inlineStr">
        <is>
          <t>세림</t>
        </is>
      </c>
      <c r="E3191" s="46" t="n">
        <v>290</v>
      </c>
      <c r="F3191" s="46" t="inlineStr">
        <is>
          <t>귀전리</t>
        </is>
      </c>
      <c r="G3191" s="50" t="n">
        <v>0.5</v>
      </c>
      <c r="H3191" s="51" t="n">
        <v>515130</v>
      </c>
      <c r="I3191" s="46" t="inlineStr">
        <is>
          <t>서수형</t>
        </is>
      </c>
      <c r="K3191" s="46" t="n">
        <v>3190</v>
      </c>
      <c r="L3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2">
      <c r="A3192" s="229" t="n">
        <v>46259</v>
      </c>
      <c r="B3192" s="46" t="inlineStr">
        <is>
          <t>정기검사</t>
        </is>
      </c>
      <c r="C3192" s="46" t="inlineStr">
        <is>
          <t>김포지역</t>
        </is>
      </c>
      <c r="D3192" s="46" t="inlineStr">
        <is>
          <t>지피엠</t>
        </is>
      </c>
      <c r="E3192" s="46" t="n">
        <v>64</v>
      </c>
      <c r="F3192" s="46" t="inlineStr">
        <is>
          <t>학운리</t>
        </is>
      </c>
      <c r="G3192" s="50" t="n">
        <v>0.4583333333333333</v>
      </c>
      <c r="H3192" s="51" t="n">
        <v>155540</v>
      </c>
      <c r="I3192" s="46" t="inlineStr">
        <is>
          <t>정신배</t>
        </is>
      </c>
      <c r="K3192" s="46" t="n">
        <v>3191</v>
      </c>
      <c r="L3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3">
      <c r="A3193" s="229" t="n">
        <v>46259</v>
      </c>
      <c r="B3193" s="46" t="inlineStr">
        <is>
          <t>사용전검사</t>
        </is>
      </c>
      <c r="C3193" s="46" t="inlineStr">
        <is>
          <t>부천지역</t>
        </is>
      </c>
      <c r="D3193" s="46" t="inlineStr">
        <is>
          <t>센타프라자</t>
        </is>
      </c>
      <c r="E3193" s="46" t="n">
        <v>990</v>
      </c>
      <c r="F3193" s="46" t="inlineStr">
        <is>
          <t>상동</t>
        </is>
      </c>
      <c r="G3193" s="50" t="n">
        <v>0.2708333333333333</v>
      </c>
      <c r="H3193" s="51" t="n"/>
      <c r="I3193" s="46" t="inlineStr">
        <is>
          <t>이종석</t>
        </is>
      </c>
      <c r="K3193" s="46" t="n">
        <v>3192</v>
      </c>
      <c r="L3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4">
      <c r="A3194" s="229" t="n">
        <v>46259</v>
      </c>
      <c r="B3194" s="46" t="inlineStr">
        <is>
          <t>사용전검사</t>
        </is>
      </c>
      <c r="C3194" s="46" t="inlineStr">
        <is>
          <t>부천지역</t>
        </is>
      </c>
      <c r="D3194" s="46" t="inlineStr">
        <is>
          <t>뉴트로실크</t>
        </is>
      </c>
      <c r="E3194" s="46" t="n">
        <v>20</v>
      </c>
      <c r="F3194" s="46" t="inlineStr">
        <is>
          <t>내동</t>
        </is>
      </c>
      <c r="G3194" s="50" t="n"/>
      <c r="H3194" s="51" t="n"/>
      <c r="I3194" s="46" t="inlineStr">
        <is>
          <t>변종국</t>
        </is>
      </c>
      <c r="K3194" s="46" t="n">
        <v>3193</v>
      </c>
      <c r="L3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5">
      <c r="A3195" s="229" t="n">
        <v>46259</v>
      </c>
      <c r="B3195" s="46" t="inlineStr">
        <is>
          <t>메모</t>
        </is>
      </c>
      <c r="C3195" s="46" t="inlineStr">
        <is>
          <t>부천지역</t>
        </is>
      </c>
      <c r="D3195" s="46" t="inlineStr">
        <is>
          <t>정성관휴가</t>
        </is>
      </c>
      <c r="E3195" s="46" t="n"/>
      <c r="F3195" s="46" t="n"/>
      <c r="G3195" s="50" t="n"/>
      <c r="H3195" s="51" t="n"/>
      <c r="I3195" s="46" t="n"/>
      <c r="K3195" s="46" t="n">
        <v>3194</v>
      </c>
      <c r="L3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6">
      <c r="A3196" s="229" t="n">
        <v>46259</v>
      </c>
      <c r="B3196" s="46" t="inlineStr">
        <is>
          <t>메모</t>
        </is>
      </c>
      <c r="C3196" s="46" t="inlineStr">
        <is>
          <t>부천지역</t>
        </is>
      </c>
      <c r="D3196" s="46" t="inlineStr">
        <is>
          <t>허록종휴가</t>
        </is>
      </c>
      <c r="E3196" s="46" t="n"/>
      <c r="F3196" s="46" t="n"/>
      <c r="G3196" s="50" t="n"/>
      <c r="H3196" s="51" t="n"/>
      <c r="I3196" s="46" t="n"/>
      <c r="K3196" s="46" t="n">
        <v>3195</v>
      </c>
      <c r="L3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7">
      <c r="A3197" s="229" t="n">
        <v>46259</v>
      </c>
      <c r="B3197" s="46" t="inlineStr">
        <is>
          <t>메모</t>
        </is>
      </c>
      <c r="C3197" s="46" t="inlineStr">
        <is>
          <t>부천지역</t>
        </is>
      </c>
      <c r="D3197" s="46" t="inlineStr">
        <is>
          <t>당효진휴가</t>
        </is>
      </c>
      <c r="E3197" s="46" t="n"/>
      <c r="F3197" s="46" t="n"/>
      <c r="G3197" s="50" t="n"/>
      <c r="H3197" s="51" t="n"/>
      <c r="I3197" s="46" t="n"/>
      <c r="K3197" s="46" t="n">
        <v>3196</v>
      </c>
      <c r="L3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8">
      <c r="A3198" s="229" t="n">
        <v>46259</v>
      </c>
      <c r="B3198" s="46" t="inlineStr">
        <is>
          <t>사용전검사</t>
        </is>
      </c>
      <c r="C3198" s="46" t="inlineStr">
        <is>
          <t>김포지역</t>
        </is>
      </c>
      <c r="D3198" s="46" t="inlineStr">
        <is>
          <t>오리정태양광</t>
        </is>
      </c>
      <c r="E3198" s="46" t="n">
        <v>46</v>
      </c>
      <c r="F3198" s="46" t="inlineStr">
        <is>
          <t>군하리</t>
        </is>
      </c>
      <c r="G3198" s="50" t="n"/>
      <c r="H3198" s="51" t="n"/>
      <c r="I3198" s="46" t="inlineStr">
        <is>
          <t>허창수</t>
        </is>
      </c>
      <c r="K3198" s="46" t="n">
        <v>3197</v>
      </c>
      <c r="L3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9">
      <c r="A3199" s="229" t="n">
        <v>46260</v>
      </c>
      <c r="B3199" s="46" t="inlineStr">
        <is>
          <t>정기검사</t>
        </is>
      </c>
      <c r="C3199" s="46" t="inlineStr">
        <is>
          <t>부천지역</t>
        </is>
      </c>
      <c r="D3199" s="46" t="inlineStr">
        <is>
          <t>삼융3차</t>
        </is>
      </c>
      <c r="E3199" s="46" t="inlineStr">
        <is>
          <t>750/310</t>
        </is>
      </c>
      <c r="F3199" s="46" t="inlineStr">
        <is>
          <t>심곡동</t>
        </is>
      </c>
      <c r="G3199" s="50" t="n">
        <v>0.5833333333333334</v>
      </c>
      <c r="H3199" s="51" t="n">
        <v>1038070</v>
      </c>
      <c r="I3199" s="46" t="inlineStr">
        <is>
          <t>이덕기</t>
        </is>
      </c>
      <c r="K3199" s="46" t="n">
        <v>3198</v>
      </c>
      <c r="L3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0">
      <c r="A3200" s="229" t="n">
        <v>46260</v>
      </c>
      <c r="B3200" s="46" t="inlineStr">
        <is>
          <t>정기검사</t>
        </is>
      </c>
      <c r="C3200" s="46" t="inlineStr">
        <is>
          <t>부천지역</t>
        </is>
      </c>
      <c r="D3200" s="46" t="inlineStr">
        <is>
          <t>예성</t>
        </is>
      </c>
      <c r="E3200" s="46" t="n">
        <v>290</v>
      </c>
      <c r="F3200" s="46" t="inlineStr">
        <is>
          <t>내동</t>
        </is>
      </c>
      <c r="G3200" s="50" t="n">
        <v>0.5208333333333334</v>
      </c>
      <c r="H3200" s="51" t="n">
        <v>515130</v>
      </c>
      <c r="I3200" s="46" t="inlineStr">
        <is>
          <t>옹승완</t>
        </is>
      </c>
      <c r="K3200" s="46" t="n">
        <v>3199</v>
      </c>
      <c r="L3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1">
      <c r="A3201" s="229" t="n">
        <v>46260</v>
      </c>
      <c r="B3201" s="46" t="inlineStr">
        <is>
          <t>정기검사</t>
        </is>
      </c>
      <c r="C3201" s="46" t="inlineStr">
        <is>
          <t>부천지역</t>
        </is>
      </c>
      <c r="D3201" s="46" t="inlineStr">
        <is>
          <t>미래가이드</t>
        </is>
      </c>
      <c r="E3201" s="46" t="n">
        <v>273</v>
      </c>
      <c r="F3201" s="46" t="inlineStr">
        <is>
          <t>역곡</t>
        </is>
      </c>
      <c r="G3201" s="50" t="n">
        <v>0.4166666666666667</v>
      </c>
      <c r="H3201" s="51" t="n">
        <v>217360</v>
      </c>
      <c r="I3201" s="46" t="inlineStr">
        <is>
          <t>이덕기</t>
        </is>
      </c>
      <c r="K3201" s="46" t="n">
        <v>3200</v>
      </c>
      <c r="L3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2">
      <c r="A3202" s="229" t="n">
        <v>46260</v>
      </c>
      <c r="B3202" s="46" t="inlineStr">
        <is>
          <t>정기검사</t>
        </is>
      </c>
      <c r="C3202" s="46" t="inlineStr">
        <is>
          <t>부천지역</t>
        </is>
      </c>
      <c r="D3202" s="46" t="inlineStr">
        <is>
          <t>골드라인</t>
        </is>
      </c>
      <c r="E3202" s="46" t="n">
        <v>180</v>
      </c>
      <c r="F3202" s="46" t="inlineStr">
        <is>
          <t>양촌역</t>
        </is>
      </c>
      <c r="G3202" s="50" t="n"/>
      <c r="H3202" s="51" t="n">
        <v>816090</v>
      </c>
      <c r="I3202" s="46" t="inlineStr">
        <is>
          <t>정신배</t>
        </is>
      </c>
      <c r="K3202" s="46" t="n">
        <v>3201</v>
      </c>
      <c r="L3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3">
      <c r="A3203" s="229" t="n">
        <v>46260</v>
      </c>
      <c r="B3203" s="46" t="inlineStr">
        <is>
          <t>정기검사</t>
        </is>
      </c>
      <c r="C3203" s="46" t="inlineStr">
        <is>
          <t>부천지역</t>
        </is>
      </c>
      <c r="D3203" s="46" t="inlineStr">
        <is>
          <t>골드라인</t>
        </is>
      </c>
      <c r="E3203" s="46" t="n">
        <v>50</v>
      </c>
      <c r="F3203" s="46" t="inlineStr">
        <is>
          <t>양촌역</t>
        </is>
      </c>
      <c r="G3203" s="50" t="n"/>
      <c r="H3203" s="51" t="n">
        <v>267740</v>
      </c>
      <c r="I3203" s="46" t="inlineStr">
        <is>
          <t>정신배</t>
        </is>
      </c>
      <c r="K3203" s="46" t="n">
        <v>3202</v>
      </c>
      <c r="L3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4">
      <c r="A3204" s="229" t="n">
        <v>46260</v>
      </c>
      <c r="B3204" s="46" t="inlineStr">
        <is>
          <t>정기검사</t>
        </is>
      </c>
      <c r="C3204" s="46" t="inlineStr">
        <is>
          <t>부천지역</t>
        </is>
      </c>
      <c r="D3204" s="46" t="inlineStr">
        <is>
          <t>골드라인</t>
        </is>
      </c>
      <c r="E3204" s="46" t="n">
        <v>175</v>
      </c>
      <c r="F3204" s="46" t="inlineStr">
        <is>
          <t>양촌역</t>
        </is>
      </c>
      <c r="G3204" s="50" t="n"/>
      <c r="H3204" s="51" t="n">
        <v>567820</v>
      </c>
      <c r="I3204" s="46" t="inlineStr">
        <is>
          <t>정신배</t>
        </is>
      </c>
      <c r="K3204" s="46" t="n">
        <v>3203</v>
      </c>
      <c r="L3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5">
      <c r="A3205" s="229" t="n">
        <v>46260</v>
      </c>
      <c r="B3205" s="46" t="inlineStr">
        <is>
          <t>정기검사</t>
        </is>
      </c>
      <c r="C3205" s="46" t="inlineStr">
        <is>
          <t>부천지역</t>
        </is>
      </c>
      <c r="D3205" s="46" t="inlineStr">
        <is>
          <t>골드라인</t>
        </is>
      </c>
      <c r="E3205" s="46" t="n">
        <v>40</v>
      </c>
      <c r="F3205" s="46" t="inlineStr">
        <is>
          <t>양촌역</t>
        </is>
      </c>
      <c r="G3205" s="50" t="n"/>
      <c r="H3205" s="51" t="n">
        <v>263340</v>
      </c>
      <c r="I3205" s="46" t="inlineStr">
        <is>
          <t>정신배</t>
        </is>
      </c>
      <c r="K3205" s="46" t="n">
        <v>3204</v>
      </c>
      <c r="L3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6">
      <c r="A3206" s="229" t="n">
        <v>46260</v>
      </c>
      <c r="B3206" s="46" t="inlineStr">
        <is>
          <t>정기검사</t>
        </is>
      </c>
      <c r="C3206" s="46" t="inlineStr">
        <is>
          <t>김포지역</t>
        </is>
      </c>
      <c r="D3206" s="46" t="inlineStr">
        <is>
          <t>나라키오스크</t>
        </is>
      </c>
      <c r="E3206" s="46" t="n">
        <v>250</v>
      </c>
      <c r="F3206" s="46" t="inlineStr">
        <is>
          <t>학운리</t>
        </is>
      </c>
      <c r="G3206" s="50" t="n">
        <v>0.4791666666666667</v>
      </c>
      <c r="H3206" s="51" t="n">
        <v>489170</v>
      </c>
      <c r="I3206" s="46" t="inlineStr">
        <is>
          <t>송낙명</t>
        </is>
      </c>
      <c r="K3206" s="46" t="n">
        <v>3205</v>
      </c>
      <c r="L3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7">
      <c r="A3207" s="229" t="n">
        <v>46260</v>
      </c>
      <c r="B3207" s="46" t="inlineStr">
        <is>
          <t>정기검사</t>
        </is>
      </c>
      <c r="C3207" s="46" t="inlineStr">
        <is>
          <t>김포지역</t>
        </is>
      </c>
      <c r="D3207" s="46" t="inlineStr">
        <is>
          <t>세기하이텍</t>
        </is>
      </c>
      <c r="E3207" s="46" t="n">
        <v>290</v>
      </c>
      <c r="F3207" s="46" t="inlineStr">
        <is>
          <t>개곡리</t>
        </is>
      </c>
      <c r="G3207" s="50" t="n">
        <v>0.4791666666666667</v>
      </c>
      <c r="H3207" s="51" t="n">
        <v>515130</v>
      </c>
      <c r="I3207" s="46" t="inlineStr">
        <is>
          <t>변종국</t>
        </is>
      </c>
      <c r="K3207" s="46" t="n">
        <v>3206</v>
      </c>
      <c r="L3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8">
      <c r="A3208" s="229" t="n">
        <v>46260</v>
      </c>
      <c r="B3208" s="46" t="inlineStr">
        <is>
          <t>정기검사</t>
        </is>
      </c>
      <c r="C3208" s="46" t="inlineStr">
        <is>
          <t>김포지역</t>
        </is>
      </c>
      <c r="D3208" s="46" t="inlineStr">
        <is>
          <t>이랜드타운아파트</t>
        </is>
      </c>
      <c r="E3208" s="46" t="inlineStr">
        <is>
          <t>2250/682</t>
        </is>
      </c>
      <c r="F3208" s="46" t="inlineStr">
        <is>
          <t>운양동</t>
        </is>
      </c>
      <c r="G3208" s="50" t="n">
        <v>0.4166666666666667</v>
      </c>
      <c r="H3208" s="51" t="n">
        <v>1390400</v>
      </c>
      <c r="I3208" s="46" t="inlineStr">
        <is>
          <t>허창수</t>
        </is>
      </c>
      <c r="K3208" s="46" t="n">
        <v>3207</v>
      </c>
      <c r="L3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9">
      <c r="A3209" s="229" t="n">
        <v>46260</v>
      </c>
      <c r="B3209" s="46" t="inlineStr">
        <is>
          <t>정기검사</t>
        </is>
      </c>
      <c r="C3209" s="46" t="inlineStr">
        <is>
          <t>김포지역</t>
        </is>
      </c>
      <c r="D3209" s="46" t="inlineStr">
        <is>
          <t>아너스힐병원</t>
        </is>
      </c>
      <c r="E3209" s="46" t="inlineStr">
        <is>
          <t>200/37</t>
        </is>
      </c>
      <c r="F3209" s="46" t="inlineStr">
        <is>
          <t>흥신리</t>
        </is>
      </c>
      <c r="G3209" s="50" t="n">
        <v>0.5833333333333334</v>
      </c>
      <c r="H3209" s="51" t="n">
        <v>604230</v>
      </c>
      <c r="I3209" s="46" t="inlineStr">
        <is>
          <t>서수형</t>
        </is>
      </c>
      <c r="K3209" s="46" t="n">
        <v>3208</v>
      </c>
      <c r="L3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0">
      <c r="A3210" s="229" t="n">
        <v>46260</v>
      </c>
      <c r="B3210" s="46" t="inlineStr">
        <is>
          <t>정기검사</t>
        </is>
      </c>
      <c r="C3210" s="46" t="inlineStr">
        <is>
          <t>김포지역</t>
        </is>
      </c>
      <c r="D3210" s="46" t="inlineStr">
        <is>
          <t>거일금속</t>
        </is>
      </c>
      <c r="E3210" s="46" t="n">
        <v>800</v>
      </c>
      <c r="F3210" s="46" t="inlineStr">
        <is>
          <t>상마리</t>
        </is>
      </c>
      <c r="G3210" s="50" t="n">
        <v>0.3958333333333333</v>
      </c>
      <c r="H3210" s="51" t="n">
        <v>838640</v>
      </c>
      <c r="I3210" s="46" t="inlineStr">
        <is>
          <t>김영권</t>
        </is>
      </c>
      <c r="K3210" s="46" t="n">
        <v>3209</v>
      </c>
      <c r="L3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1">
      <c r="A3211" s="229" t="n">
        <v>46260</v>
      </c>
      <c r="B3211" s="46" t="inlineStr">
        <is>
          <t>정기검사</t>
        </is>
      </c>
      <c r="C3211" s="46" t="inlineStr">
        <is>
          <t>김포지역</t>
        </is>
      </c>
      <c r="D3211" s="46" t="inlineStr">
        <is>
          <t>김포신앤리리츠랜드</t>
        </is>
      </c>
      <c r="E3211" s="46" t="inlineStr">
        <is>
          <t>500/155</t>
        </is>
      </c>
      <c r="F3211" s="46" t="inlineStr">
        <is>
          <t>장기동</t>
        </is>
      </c>
      <c r="G3211" s="50" t="n">
        <v>0.3125</v>
      </c>
      <c r="H3211" s="51" t="n">
        <v>1195260</v>
      </c>
      <c r="I3211" s="46" t="inlineStr">
        <is>
          <t>김영권</t>
        </is>
      </c>
      <c r="K3211" s="46" t="n">
        <v>3210</v>
      </c>
      <c r="L3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2">
      <c r="A3212" s="229" t="n">
        <v>46260</v>
      </c>
      <c r="B3212" s="46" t="inlineStr">
        <is>
          <t>정기검사</t>
        </is>
      </c>
      <c r="C3212" s="46" t="inlineStr">
        <is>
          <t>김포지역</t>
        </is>
      </c>
      <c r="D3212" s="46" t="inlineStr">
        <is>
          <t>이랜드</t>
        </is>
      </c>
      <c r="E3212" s="46" t="inlineStr">
        <is>
          <t>전기차</t>
        </is>
      </c>
      <c r="F3212" s="46" t="inlineStr">
        <is>
          <t>운양동</t>
        </is>
      </c>
      <c r="G3212" s="50" t="n">
        <v>0.4166666666666667</v>
      </c>
      <c r="H3212" s="51" t="n">
        <v>174350</v>
      </c>
      <c r="I3212" s="46" t="inlineStr">
        <is>
          <t>허창수</t>
        </is>
      </c>
      <c r="K3212" s="46" t="n">
        <v>3211</v>
      </c>
      <c r="L3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3">
      <c r="A3213" s="229" t="n">
        <v>46260</v>
      </c>
      <c r="B3213" s="46" t="inlineStr">
        <is>
          <t>정기검사</t>
        </is>
      </c>
      <c r="C3213" s="46" t="inlineStr">
        <is>
          <t>김포지역</t>
        </is>
      </c>
      <c r="D3213" s="46" t="inlineStr">
        <is>
          <t>심순자</t>
        </is>
      </c>
      <c r="E3213" s="46" t="n">
        <v>16.25</v>
      </c>
      <c r="F3213" s="46" t="inlineStr">
        <is>
          <t>포내리</t>
        </is>
      </c>
      <c r="G3213" s="50" t="n">
        <v>0.4791666666666667</v>
      </c>
      <c r="H3213" s="51" t="n">
        <v>93390</v>
      </c>
      <c r="I3213" s="46" t="inlineStr">
        <is>
          <t>이종석</t>
        </is>
      </c>
      <c r="K3213" s="46" t="n">
        <v>3212</v>
      </c>
      <c r="L3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4">
      <c r="A3214" s="229" t="n">
        <v>46260</v>
      </c>
      <c r="B3214" s="46" t="inlineStr">
        <is>
          <t>정기검사</t>
        </is>
      </c>
      <c r="C3214" s="46" t="inlineStr">
        <is>
          <t>김포지역</t>
        </is>
      </c>
      <c r="D3214" s="46" t="inlineStr">
        <is>
          <t>새한태양광</t>
        </is>
      </c>
      <c r="E3214" s="46" t="n">
        <v>98</v>
      </c>
      <c r="F3214" s="46" t="inlineStr">
        <is>
          <t>개곡리</t>
        </is>
      </c>
      <c r="G3214" s="50" t="n">
        <v>0.4166666666666667</v>
      </c>
      <c r="H3214" s="51" t="n">
        <v>254100</v>
      </c>
      <c r="I3214" s="46" t="inlineStr">
        <is>
          <t>이종석</t>
        </is>
      </c>
      <c r="K3214" s="46" t="n">
        <v>3213</v>
      </c>
      <c r="L3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5">
      <c r="A3215" s="229" t="n">
        <v>46260</v>
      </c>
      <c r="B3215" s="46" t="inlineStr">
        <is>
          <t>메모</t>
        </is>
      </c>
      <c r="C3215" s="46" t="inlineStr">
        <is>
          <t>부천지역</t>
        </is>
      </c>
      <c r="D3215" s="46" t="inlineStr">
        <is>
          <t>당효진휴가</t>
        </is>
      </c>
      <c r="E3215" s="46" t="n"/>
      <c r="F3215" s="46" t="n"/>
      <c r="G3215" s="50" t="n"/>
      <c r="H3215" s="51" t="n"/>
      <c r="I3215" s="46" t="n"/>
      <c r="K3215" s="46" t="n">
        <v>3214</v>
      </c>
      <c r="L3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6">
      <c r="A3216" s="229" t="n">
        <v>46260</v>
      </c>
      <c r="B3216" s="46" t="inlineStr">
        <is>
          <t>메모</t>
        </is>
      </c>
      <c r="C3216" s="46" t="inlineStr">
        <is>
          <t>부천지역</t>
        </is>
      </c>
      <c r="D3216" s="46" t="inlineStr">
        <is>
          <t>허록종 휴가</t>
        </is>
      </c>
      <c r="E3216" s="46" t="n"/>
      <c r="F3216" s="46" t="n"/>
      <c r="G3216" s="50" t="n"/>
      <c r="H3216" s="51" t="n"/>
      <c r="I3216" s="46" t="n"/>
      <c r="K3216" s="46" t="n">
        <v>3215</v>
      </c>
      <c r="L3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7">
      <c r="A3217" s="229" t="n">
        <v>46260</v>
      </c>
      <c r="B3217" s="46" t="inlineStr">
        <is>
          <t>메모</t>
        </is>
      </c>
      <c r="C3217" s="46" t="inlineStr">
        <is>
          <t>부천지역</t>
        </is>
      </c>
      <c r="D3217" s="46" t="inlineStr">
        <is>
          <t>정성관휴가</t>
        </is>
      </c>
      <c r="E3217" s="46" t="n"/>
      <c r="F3217" s="46" t="n"/>
      <c r="G3217" s="50" t="n"/>
      <c r="H3217" s="51" t="n"/>
      <c r="I3217" s="46" t="n"/>
      <c r="K3217" s="46" t="n">
        <v>3216</v>
      </c>
      <c r="L3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8">
      <c r="A3218" s="229" t="n">
        <v>46260</v>
      </c>
      <c r="B3218" s="46" t="inlineStr">
        <is>
          <t>사용전검사</t>
        </is>
      </c>
      <c r="C3218" s="46" t="inlineStr">
        <is>
          <t>김포지역</t>
        </is>
      </c>
      <c r="D3218" s="46" t="inlineStr">
        <is>
          <t>정문이엔이</t>
        </is>
      </c>
      <c r="E3218" s="46" t="n">
        <v>141</v>
      </c>
      <c r="F3218" s="46" t="inlineStr">
        <is>
          <t>석정리</t>
        </is>
      </c>
      <c r="G3218" s="50" t="n"/>
      <c r="H3218" s="51" t="n"/>
      <c r="I3218" s="46" t="inlineStr">
        <is>
          <t>한태희</t>
        </is>
      </c>
      <c r="K3218" s="46" t="n">
        <v>3217</v>
      </c>
      <c r="L3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9">
      <c r="A3219" s="229" t="n">
        <v>46260</v>
      </c>
      <c r="B3219" s="46" t="inlineStr">
        <is>
          <t>사용전검사</t>
        </is>
      </c>
      <c r="C3219" s="46" t="inlineStr">
        <is>
          <t>김포지역</t>
        </is>
      </c>
      <c r="D3219" s="46" t="inlineStr">
        <is>
          <t>육군제5226부대</t>
        </is>
      </c>
      <c r="E3219" s="46" t="n">
        <v>150</v>
      </c>
      <c r="F3219" s="46" t="inlineStr">
        <is>
          <t>석모리</t>
        </is>
      </c>
      <c r="G3219" s="50" t="n"/>
      <c r="H3219" s="51" t="n"/>
      <c r="I3219" s="46" t="inlineStr">
        <is>
          <t>서수형</t>
        </is>
      </c>
      <c r="K3219" s="46" t="n">
        <v>3218</v>
      </c>
      <c r="L3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0">
      <c r="A3220" s="229" t="n">
        <v>46260</v>
      </c>
      <c r="B3220" s="46" t="inlineStr">
        <is>
          <t>사용전검사</t>
        </is>
      </c>
      <c r="C3220" s="46" t="inlineStr">
        <is>
          <t>김포지역</t>
        </is>
      </c>
      <c r="D3220" s="46" t="inlineStr">
        <is>
          <t>성하산업</t>
        </is>
      </c>
      <c r="E3220" s="46" t="n">
        <v>499</v>
      </c>
      <c r="F3220" s="46" t="inlineStr">
        <is>
          <t>동을산리</t>
        </is>
      </c>
      <c r="G3220" s="50" t="n"/>
      <c r="H3220" s="51" t="n"/>
      <c r="I3220" s="46" t="inlineStr">
        <is>
          <t>변종국</t>
        </is>
      </c>
      <c r="K3220" s="46" t="n">
        <v>3219</v>
      </c>
      <c r="L3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1">
      <c r="A3221" s="229" t="n">
        <v>46260</v>
      </c>
      <c r="B3221" s="46" t="inlineStr">
        <is>
          <t>사용전검사</t>
        </is>
      </c>
      <c r="C3221" s="46" t="inlineStr">
        <is>
          <t>김포지역</t>
        </is>
      </c>
      <c r="D3221" s="46" t="inlineStr">
        <is>
          <t>미래스타</t>
        </is>
      </c>
      <c r="E3221" s="46" t="n">
        <v>90</v>
      </c>
      <c r="F3221" s="46" t="inlineStr">
        <is>
          <t>구래리</t>
        </is>
      </c>
      <c r="G3221" s="50" t="n"/>
      <c r="H3221" s="51" t="n"/>
      <c r="I3221" s="46" t="inlineStr">
        <is>
          <t>한태희</t>
        </is>
      </c>
      <c r="K3221" s="46" t="n">
        <v>3220</v>
      </c>
      <c r="L3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2">
      <c r="A3222" s="229" t="n">
        <v>46260</v>
      </c>
      <c r="B3222" s="46" t="inlineStr">
        <is>
          <t>사용전검사</t>
        </is>
      </c>
      <c r="C3222" s="46" t="inlineStr">
        <is>
          <t>김포지역</t>
        </is>
      </c>
      <c r="D3222" s="46" t="inlineStr">
        <is>
          <t>한솔8호</t>
        </is>
      </c>
      <c r="E3222" s="46" t="n">
        <v>301</v>
      </c>
      <c r="F3222" s="46" t="inlineStr">
        <is>
          <t>약암리</t>
        </is>
      </c>
      <c r="G3222" s="50" t="n"/>
      <c r="H3222" s="51" t="n"/>
      <c r="I3222" s="46" t="inlineStr">
        <is>
          <t>민재홍</t>
        </is>
      </c>
      <c r="K3222" s="46" t="n">
        <v>3221</v>
      </c>
      <c r="L3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3">
      <c r="A3223" s="229" t="n">
        <v>46260</v>
      </c>
      <c r="B3223" s="46" t="inlineStr">
        <is>
          <t>사용전검사</t>
        </is>
      </c>
      <c r="C3223" s="46" t="inlineStr">
        <is>
          <t>김포지역</t>
        </is>
      </c>
      <c r="D3223" s="46" t="inlineStr">
        <is>
          <t>한솔9호</t>
        </is>
      </c>
      <c r="E3223" s="46" t="n">
        <v>302</v>
      </c>
      <c r="F3223" s="46" t="inlineStr">
        <is>
          <t>약암리</t>
        </is>
      </c>
      <c r="G3223" s="50" t="n"/>
      <c r="H3223" s="51" t="n"/>
      <c r="I3223" s="46" t="inlineStr">
        <is>
          <t>민재홍</t>
        </is>
      </c>
      <c r="K3223" s="46" t="n">
        <v>3222</v>
      </c>
      <c r="L3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4">
      <c r="A3224" s="229" t="n">
        <v>46261</v>
      </c>
      <c r="B3224" s="46" t="inlineStr">
        <is>
          <t>정기검사</t>
        </is>
      </c>
      <c r="C3224" s="46" t="inlineStr">
        <is>
          <t>부천지역</t>
        </is>
      </c>
      <c r="D3224" s="46" t="inlineStr">
        <is>
          <t>승재밀레니업</t>
        </is>
      </c>
      <c r="E3224" s="46" t="inlineStr">
        <is>
          <t>757/235</t>
        </is>
      </c>
      <c r="F3224" s="46" t="inlineStr">
        <is>
          <t>상동</t>
        </is>
      </c>
      <c r="G3224" s="50" t="n">
        <v>0.4375</v>
      </c>
      <c r="H3224" s="51" t="n"/>
      <c r="I3224" s="46" t="inlineStr">
        <is>
          <t>서수형</t>
        </is>
      </c>
      <c r="K3224" s="46" t="n">
        <v>3223</v>
      </c>
      <c r="L3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5">
      <c r="A3225" s="229" t="n">
        <v>46261</v>
      </c>
      <c r="B3225" s="46" t="inlineStr">
        <is>
          <t>정기검사</t>
        </is>
      </c>
      <c r="C3225" s="46" t="inlineStr">
        <is>
          <t>부천지역</t>
        </is>
      </c>
      <c r="D3225" s="46" t="inlineStr">
        <is>
          <t>광성프라자</t>
        </is>
      </c>
      <c r="E3225" s="46" t="inlineStr">
        <is>
          <t>750/245</t>
        </is>
      </c>
      <c r="F3225" s="46" t="inlineStr">
        <is>
          <t>도당동</t>
        </is>
      </c>
      <c r="G3225" s="50" t="n">
        <v>0.25</v>
      </c>
      <c r="H3225" s="51" t="n">
        <v>1340020</v>
      </c>
      <c r="I3225" s="46" t="inlineStr">
        <is>
          <t>허창수</t>
        </is>
      </c>
      <c r="K3225" s="46" t="n">
        <v>3224</v>
      </c>
      <c r="L3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6">
      <c r="A3226" s="229" t="n">
        <v>46261</v>
      </c>
      <c r="B3226" s="46" t="inlineStr">
        <is>
          <t>정기검사</t>
        </is>
      </c>
      <c r="C3226" s="46" t="inlineStr">
        <is>
          <t>부천지역</t>
        </is>
      </c>
      <c r="D3226" s="46" t="inlineStr">
        <is>
          <t>케이알</t>
        </is>
      </c>
      <c r="E3226" s="46" t="n">
        <v>290</v>
      </c>
      <c r="F3226" s="46" t="inlineStr">
        <is>
          <t>도당동</t>
        </is>
      </c>
      <c r="G3226" s="50" t="n">
        <v>0.5</v>
      </c>
      <c r="H3226" s="51" t="n">
        <v>515130</v>
      </c>
      <c r="I3226" s="46" t="inlineStr">
        <is>
          <t>서수형</t>
        </is>
      </c>
      <c r="K3226" s="46" t="n">
        <v>3225</v>
      </c>
      <c r="L3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7">
      <c r="A3227" s="229" t="n">
        <v>46261</v>
      </c>
      <c r="B3227" s="46" t="inlineStr">
        <is>
          <t>정기검사</t>
        </is>
      </c>
      <c r="C3227" s="46" t="inlineStr">
        <is>
          <t>부천지역</t>
        </is>
      </c>
      <c r="D3227" s="46" t="inlineStr">
        <is>
          <t>우성테크노파크</t>
        </is>
      </c>
      <c r="E3227" s="46" t="inlineStr">
        <is>
          <t>2350/455</t>
        </is>
      </c>
      <c r="F3227" s="46" t="inlineStr">
        <is>
          <t>옥길동</t>
        </is>
      </c>
      <c r="G3227" s="50" t="n">
        <v>0.4166666666666667</v>
      </c>
      <c r="H3227" s="51" t="n">
        <v>1351350</v>
      </c>
      <c r="I3227" s="46" t="inlineStr">
        <is>
          <t>정성관</t>
        </is>
      </c>
      <c r="K3227" s="46" t="n">
        <v>3226</v>
      </c>
      <c r="L3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8">
      <c r="A3228" s="229" t="n">
        <v>46261</v>
      </c>
      <c r="B3228" s="46" t="inlineStr">
        <is>
          <t>정기검사</t>
        </is>
      </c>
      <c r="C3228" s="46" t="inlineStr">
        <is>
          <t>부천지역</t>
        </is>
      </c>
      <c r="D3228" s="46" t="inlineStr">
        <is>
          <t>영민방전</t>
        </is>
      </c>
      <c r="E3228" s="46" t="n">
        <v>200</v>
      </c>
      <c r="F3228" s="46" t="inlineStr">
        <is>
          <t>도당동</t>
        </is>
      </c>
      <c r="G3228" s="50" t="n">
        <v>0.5</v>
      </c>
      <c r="H3228" s="51" t="n">
        <v>456720</v>
      </c>
      <c r="I3228" s="46" t="inlineStr">
        <is>
          <t>정신배</t>
        </is>
      </c>
      <c r="K3228" s="46" t="n">
        <v>3227</v>
      </c>
      <c r="L3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9">
      <c r="A3229" s="229" t="n">
        <v>46261</v>
      </c>
      <c r="B3229" s="46" t="inlineStr">
        <is>
          <t>정기검사</t>
        </is>
      </c>
      <c r="C3229" s="46" t="inlineStr">
        <is>
          <t>부천지역</t>
        </is>
      </c>
      <c r="D3229" s="46" t="inlineStr">
        <is>
          <t>골드라인</t>
        </is>
      </c>
      <c r="E3229" s="46" t="n">
        <v>30</v>
      </c>
      <c r="F3229" s="46" t="inlineStr">
        <is>
          <t>북변역</t>
        </is>
      </c>
      <c r="G3229" s="50" t="n"/>
      <c r="H3229" s="51" t="n">
        <v>259050</v>
      </c>
      <c r="I3229" s="46" t="inlineStr">
        <is>
          <t>당효진</t>
        </is>
      </c>
      <c r="K3229" s="46" t="n">
        <v>3228</v>
      </c>
      <c r="L3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0">
      <c r="A3230" s="229" t="n">
        <v>46261</v>
      </c>
      <c r="B3230" s="46" t="inlineStr">
        <is>
          <t>정기검사</t>
        </is>
      </c>
      <c r="C3230" s="46" t="inlineStr">
        <is>
          <t>부천지역</t>
        </is>
      </c>
      <c r="D3230" s="46" t="inlineStr">
        <is>
          <t>골드라인</t>
        </is>
      </c>
      <c r="E3230" s="46" t="n">
        <v>30</v>
      </c>
      <c r="F3230" s="46" t="inlineStr">
        <is>
          <t>사우동</t>
        </is>
      </c>
      <c r="G3230" s="50" t="n"/>
      <c r="H3230" s="51" t="n">
        <v>259050</v>
      </c>
      <c r="I3230" s="46" t="inlineStr">
        <is>
          <t>당효진</t>
        </is>
      </c>
      <c r="K3230" s="46" t="n">
        <v>3229</v>
      </c>
      <c r="L3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1">
      <c r="A3231" s="229" t="n">
        <v>46261</v>
      </c>
      <c r="B3231" s="46" t="inlineStr">
        <is>
          <t>정기검사</t>
        </is>
      </c>
      <c r="C3231" s="46" t="inlineStr">
        <is>
          <t>김포지역</t>
        </is>
      </c>
      <c r="D3231" s="46" t="inlineStr">
        <is>
          <t>헤브론</t>
        </is>
      </c>
      <c r="E3231" s="46" t="n">
        <v>900</v>
      </c>
      <c r="F3231" s="46" t="inlineStr">
        <is>
          <t>학운리</t>
        </is>
      </c>
      <c r="G3231" s="50" t="n">
        <v>0.4791666666666667</v>
      </c>
      <c r="H3231" s="51" t="n">
        <v>872520</v>
      </c>
      <c r="I3231" s="46" t="inlineStr">
        <is>
          <t>송낙명</t>
        </is>
      </c>
      <c r="K3231" s="46" t="n">
        <v>3230</v>
      </c>
      <c r="L3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2">
      <c r="A3232" s="229" t="n">
        <v>46261</v>
      </c>
      <c r="B3232" s="46" t="inlineStr">
        <is>
          <t>정기검사</t>
        </is>
      </c>
      <c r="C3232" s="46" t="inlineStr">
        <is>
          <t>김포지역</t>
        </is>
      </c>
      <c r="D3232" s="46" t="inlineStr">
        <is>
          <t>김포시종합사회</t>
        </is>
      </c>
      <c r="E3232" s="46" t="n">
        <v>22</v>
      </c>
      <c r="F3232" s="46" t="inlineStr">
        <is>
          <t>사우동</t>
        </is>
      </c>
      <c r="G3232" s="50" t="n">
        <v>0.6041666666666666</v>
      </c>
      <c r="H3232" s="51" t="n">
        <v>174350</v>
      </c>
      <c r="I3232" s="46" t="inlineStr">
        <is>
          <t>옹승완</t>
        </is>
      </c>
      <c r="K3232" s="46" t="n">
        <v>3231</v>
      </c>
      <c r="L3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3">
      <c r="A3233" s="229" t="n">
        <v>46261</v>
      </c>
      <c r="B3233" s="46" t="inlineStr">
        <is>
          <t>정기검사</t>
        </is>
      </c>
      <c r="C3233" s="46" t="inlineStr">
        <is>
          <t>김포지역</t>
        </is>
      </c>
      <c r="D3233" s="46" t="inlineStr">
        <is>
          <t>김년철</t>
        </is>
      </c>
      <c r="E3233" s="46" t="n">
        <v>350</v>
      </c>
      <c r="F3233" s="46" t="inlineStr">
        <is>
          <t>약암리</t>
        </is>
      </c>
      <c r="G3233" s="50" t="n">
        <v>0.3958333333333333</v>
      </c>
      <c r="H3233" s="51" t="n">
        <v>686180</v>
      </c>
      <c r="I3233" s="46" t="inlineStr">
        <is>
          <t>이덕기</t>
        </is>
      </c>
      <c r="K3233" s="46" t="n">
        <v>3232</v>
      </c>
      <c r="L3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4">
      <c r="A3234" s="229" t="n">
        <v>46261</v>
      </c>
      <c r="B3234" s="46" t="inlineStr">
        <is>
          <t>정기검사</t>
        </is>
      </c>
      <c r="C3234" s="46" t="inlineStr">
        <is>
          <t>김포지역</t>
        </is>
      </c>
      <c r="D3234" s="46" t="inlineStr">
        <is>
          <t>주방114</t>
        </is>
      </c>
      <c r="E3234" s="46" t="n">
        <v>525</v>
      </c>
      <c r="F3234" s="46" t="inlineStr">
        <is>
          <t>송마리</t>
        </is>
      </c>
      <c r="G3234" s="50" t="n">
        <v>0.5</v>
      </c>
      <c r="H3234" s="51" t="n">
        <v>745470</v>
      </c>
      <c r="I3234" s="46" t="inlineStr">
        <is>
          <t>이덕기</t>
        </is>
      </c>
      <c r="K3234" s="46" t="n">
        <v>3233</v>
      </c>
      <c r="L3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5">
      <c r="A3235" s="229" t="n">
        <v>46261</v>
      </c>
      <c r="B3235" s="46" t="inlineStr">
        <is>
          <t>정기검사</t>
        </is>
      </c>
      <c r="C3235" s="46" t="inlineStr">
        <is>
          <t>김포지역</t>
        </is>
      </c>
      <c r="D3235" s="46" t="inlineStr">
        <is>
          <t>부자테이프</t>
        </is>
      </c>
      <c r="E3235" s="46" t="n">
        <v>150</v>
      </c>
      <c r="F3235" s="46" t="inlineStr">
        <is>
          <t>봉성리</t>
        </is>
      </c>
      <c r="G3235" s="50" t="n">
        <v>0.4791666666666667</v>
      </c>
      <c r="H3235" s="51" t="n">
        <v>424160</v>
      </c>
      <c r="I3235" s="46" t="inlineStr">
        <is>
          <t>김영권</t>
        </is>
      </c>
      <c r="K3235" s="46" t="n">
        <v>3234</v>
      </c>
      <c r="L3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6">
      <c r="A3236" s="229" t="n">
        <v>46261</v>
      </c>
      <c r="B3236" s="46" t="inlineStr">
        <is>
          <t>정기검사</t>
        </is>
      </c>
      <c r="C3236" s="46" t="inlineStr">
        <is>
          <t>김포지역</t>
        </is>
      </c>
      <c r="D3236" s="46" t="inlineStr">
        <is>
          <t>혜성</t>
        </is>
      </c>
      <c r="E3236" s="46" t="n">
        <v>290</v>
      </c>
      <c r="F3236" s="46" t="inlineStr">
        <is>
          <t>상마리</t>
        </is>
      </c>
      <c r="G3236" s="50" t="n">
        <v>0.4791666666666667</v>
      </c>
      <c r="H3236" s="51" t="n">
        <v>515130</v>
      </c>
      <c r="I3236" s="46" t="inlineStr">
        <is>
          <t>옹승완</t>
        </is>
      </c>
      <c r="K3236" s="46" t="n">
        <v>3235</v>
      </c>
      <c r="L3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7">
      <c r="A3237" s="229" t="n">
        <v>46261</v>
      </c>
      <c r="B3237" s="46" t="inlineStr">
        <is>
          <t>정기검사</t>
        </is>
      </c>
      <c r="C3237" s="46" t="inlineStr">
        <is>
          <t>김포지역</t>
        </is>
      </c>
      <c r="D3237" s="46" t="inlineStr">
        <is>
          <t>금파가스충전소</t>
        </is>
      </c>
      <c r="E3237" s="46" t="n">
        <v>15.3</v>
      </c>
      <c r="F3237" s="46" t="inlineStr">
        <is>
          <t>걸포동</t>
        </is>
      </c>
      <c r="G3237" s="50" t="n">
        <v>0.4166666666666667</v>
      </c>
      <c r="H3237" s="51" t="n">
        <v>93060</v>
      </c>
      <c r="I3237" s="46" t="inlineStr">
        <is>
          <t>한태희</t>
        </is>
      </c>
      <c r="K3237" s="46" t="n">
        <v>3236</v>
      </c>
      <c r="L3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8">
      <c r="A3238" s="229" t="n">
        <v>46261</v>
      </c>
      <c r="B3238" s="46" t="inlineStr">
        <is>
          <t>정기검사</t>
        </is>
      </c>
      <c r="C3238" s="46" t="inlineStr">
        <is>
          <t>김포지역</t>
        </is>
      </c>
      <c r="D3238" s="46" t="inlineStr">
        <is>
          <t>골드라인</t>
        </is>
      </c>
      <c r="E3238" s="46" t="n">
        <v>30</v>
      </c>
      <c r="F3238" s="46" t="inlineStr">
        <is>
          <t>고촌</t>
        </is>
      </c>
      <c r="G3238" s="50" t="n"/>
      <c r="H3238" s="51" t="n">
        <v>259050</v>
      </c>
      <c r="I3238" s="46" t="inlineStr">
        <is>
          <t>당효진</t>
        </is>
      </c>
      <c r="K3238" s="46" t="n">
        <v>3237</v>
      </c>
      <c r="L3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9">
      <c r="A3239" s="229" t="n">
        <v>46261</v>
      </c>
      <c r="B3239" s="46" t="inlineStr">
        <is>
          <t>정기검사</t>
        </is>
      </c>
      <c r="C3239" s="46" t="inlineStr">
        <is>
          <t>김포지역</t>
        </is>
      </c>
      <c r="D3239" s="46" t="inlineStr">
        <is>
          <t>골드라인</t>
        </is>
      </c>
      <c r="E3239" s="46" t="n">
        <v>30</v>
      </c>
      <c r="F3239" s="46" t="inlineStr">
        <is>
          <t>전호리</t>
        </is>
      </c>
      <c r="G3239" s="50" t="n"/>
      <c r="H3239" s="51" t="n">
        <v>259050</v>
      </c>
      <c r="I3239" s="46" t="inlineStr">
        <is>
          <t>당효진</t>
        </is>
      </c>
      <c r="K3239" s="46" t="n">
        <v>3238</v>
      </c>
      <c r="L3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0">
      <c r="A3240" s="229" t="n">
        <v>46261</v>
      </c>
      <c r="B3240" s="46" t="inlineStr">
        <is>
          <t>정기검사</t>
        </is>
      </c>
      <c r="C3240" s="46" t="inlineStr">
        <is>
          <t>김포지역</t>
        </is>
      </c>
      <c r="D3240" s="46" t="inlineStr">
        <is>
          <t>골드라인</t>
        </is>
      </c>
      <c r="E3240" s="46" t="n">
        <v>30</v>
      </c>
      <c r="F3240" s="46" t="inlineStr">
        <is>
          <t>풍무역</t>
        </is>
      </c>
      <c r="G3240" s="50" t="n"/>
      <c r="H3240" s="51" t="n">
        <v>259050</v>
      </c>
      <c r="I3240" s="46" t="inlineStr">
        <is>
          <t>당효진</t>
        </is>
      </c>
      <c r="K3240" s="46" t="n">
        <v>3239</v>
      </c>
      <c r="L3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1">
      <c r="A3241" s="229" t="n">
        <v>46261</v>
      </c>
      <c r="B3241" s="46" t="inlineStr">
        <is>
          <t>사용전검사</t>
        </is>
      </c>
      <c r="C3241" s="46" t="inlineStr">
        <is>
          <t>부천지역</t>
        </is>
      </c>
      <c r="D3241" s="46" t="inlineStr">
        <is>
          <t>김수민</t>
        </is>
      </c>
      <c r="E3241" s="46" t="n">
        <v>12</v>
      </c>
      <c r="F3241" s="46" t="n"/>
      <c r="G3241" s="50" t="n"/>
      <c r="H3241" s="51" t="n"/>
      <c r="I3241" s="46" t="inlineStr">
        <is>
          <t>정신배</t>
        </is>
      </c>
      <c r="K3241" s="46" t="n">
        <v>3240</v>
      </c>
      <c r="L3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2">
      <c r="A3242" s="229" t="n">
        <v>46261</v>
      </c>
      <c r="B3242" s="46" t="inlineStr">
        <is>
          <t>메모</t>
        </is>
      </c>
      <c r="C3242" s="46" t="inlineStr">
        <is>
          <t>부천지역</t>
        </is>
      </c>
      <c r="D3242" s="46" t="inlineStr">
        <is>
          <t>변종국휴가</t>
        </is>
      </c>
      <c r="E3242" s="46" t="n"/>
      <c r="F3242" s="46" t="n"/>
      <c r="G3242" s="50" t="n"/>
      <c r="H3242" s="51" t="n"/>
      <c r="I3242" s="46" t="n"/>
      <c r="K3242" s="46" t="n">
        <v>3241</v>
      </c>
      <c r="L3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3">
      <c r="A3243" s="229" t="n">
        <v>46261</v>
      </c>
      <c r="B3243" s="46" t="inlineStr">
        <is>
          <t>사용전검사</t>
        </is>
      </c>
      <c r="C3243" s="46" t="inlineStr">
        <is>
          <t>김포지역</t>
        </is>
      </c>
      <c r="D3243" s="46" t="inlineStr">
        <is>
          <t>맥도날드</t>
        </is>
      </c>
      <c r="E3243" s="46" t="inlineStr">
        <is>
          <t>변변</t>
        </is>
      </c>
      <c r="F3243" s="46" t="inlineStr">
        <is>
          <t>감정동</t>
        </is>
      </c>
      <c r="G3243" s="50" t="n">
        <v>0.2708333333333333</v>
      </c>
      <c r="H3243" s="51" t="n"/>
      <c r="I3243" s="46" t="inlineStr">
        <is>
          <t>허록종</t>
        </is>
      </c>
      <c r="K3243" s="46" t="n">
        <v>3242</v>
      </c>
      <c r="L3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4">
      <c r="A3244" s="229" t="n">
        <v>46261</v>
      </c>
      <c r="B3244" s="46" t="inlineStr">
        <is>
          <t>사용전검사</t>
        </is>
      </c>
      <c r="C3244" s="46" t="inlineStr">
        <is>
          <t>김포지역</t>
        </is>
      </c>
      <c r="D3244" s="46" t="inlineStr">
        <is>
          <t>덕승1호</t>
        </is>
      </c>
      <c r="E3244" s="46" t="n">
        <v>86</v>
      </c>
      <c r="F3244" s="46" t="inlineStr">
        <is>
          <t>학운리</t>
        </is>
      </c>
      <c r="G3244" s="50" t="n"/>
      <c r="H3244" s="51" t="n"/>
      <c r="I3244" s="46" t="inlineStr">
        <is>
          <t>이종석</t>
        </is>
      </c>
      <c r="K3244" s="46" t="n">
        <v>3243</v>
      </c>
      <c r="L3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5">
      <c r="A3245" s="229" t="n">
        <v>46261</v>
      </c>
      <c r="B3245" s="46" t="inlineStr">
        <is>
          <t>사용전검사</t>
        </is>
      </c>
      <c r="C3245" s="46" t="inlineStr">
        <is>
          <t>김포지역</t>
        </is>
      </c>
      <c r="D3245" s="46" t="inlineStr">
        <is>
          <t>덕승2호</t>
        </is>
      </c>
      <c r="E3245" s="46" t="n">
        <v>87</v>
      </c>
      <c r="F3245" s="46" t="inlineStr">
        <is>
          <t>학운리</t>
        </is>
      </c>
      <c r="G3245" s="50" t="n"/>
      <c r="H3245" s="51" t="n"/>
      <c r="I3245" s="46" t="inlineStr">
        <is>
          <t>이종석</t>
        </is>
      </c>
      <c r="K3245" s="46" t="n">
        <v>3244</v>
      </c>
      <c r="L3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6">
      <c r="A3246" s="229" t="n">
        <v>46261</v>
      </c>
      <c r="B3246" s="46" t="inlineStr">
        <is>
          <t>사용전검사</t>
        </is>
      </c>
      <c r="C3246" s="46" t="inlineStr">
        <is>
          <t>김포지역</t>
        </is>
      </c>
      <c r="D3246" s="46" t="inlineStr">
        <is>
          <t>덕승3호</t>
        </is>
      </c>
      <c r="E3246" s="46" t="n">
        <v>88</v>
      </c>
      <c r="F3246" s="46" t="inlineStr">
        <is>
          <t>학운리</t>
        </is>
      </c>
      <c r="G3246" s="50" t="n"/>
      <c r="H3246" s="51" t="n"/>
      <c r="I3246" s="46" t="inlineStr">
        <is>
          <t>이종석</t>
        </is>
      </c>
      <c r="K3246" s="46" t="n">
        <v>3245</v>
      </c>
      <c r="L3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7">
      <c r="A3247" s="229" t="n">
        <v>46261</v>
      </c>
      <c r="B3247" s="46" t="inlineStr">
        <is>
          <t>사용전검사</t>
        </is>
      </c>
      <c r="C3247" s="46" t="inlineStr">
        <is>
          <t>김포지역</t>
        </is>
      </c>
      <c r="D3247" s="46" t="inlineStr">
        <is>
          <t>모했</t>
        </is>
      </c>
      <c r="E3247" s="46" t="n">
        <v>121</v>
      </c>
      <c r="F3247" s="46" t="inlineStr">
        <is>
          <t>구래동</t>
        </is>
      </c>
      <c r="G3247" s="50" t="n"/>
      <c r="H3247" s="51" t="n"/>
      <c r="I3247" s="46" t="inlineStr">
        <is>
          <t>이종석</t>
        </is>
      </c>
      <c r="K3247" s="46" t="n">
        <v>3246</v>
      </c>
      <c r="L3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8">
      <c r="A3248" s="229" t="n">
        <v>46261</v>
      </c>
      <c r="B3248" s="46" t="inlineStr">
        <is>
          <t>사용전검사</t>
        </is>
      </c>
      <c r="C3248" s="46" t="inlineStr">
        <is>
          <t>김포지역</t>
        </is>
      </c>
      <c r="D3248" s="46" t="inlineStr">
        <is>
          <t>JK</t>
        </is>
      </c>
      <c r="E3248" s="46" t="n">
        <v>89</v>
      </c>
      <c r="F3248" s="46" t="inlineStr">
        <is>
          <t>송마리</t>
        </is>
      </c>
      <c r="G3248" s="50" t="n"/>
      <c r="H3248" s="51" t="n"/>
      <c r="I3248" s="46" t="inlineStr">
        <is>
          <t>한태희</t>
        </is>
      </c>
      <c r="K3248" s="46" t="n">
        <v>3247</v>
      </c>
      <c r="L3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9">
      <c r="A3249" s="229" t="n">
        <v>46262</v>
      </c>
      <c r="B3249" s="46" t="inlineStr">
        <is>
          <t>정기검사</t>
        </is>
      </c>
      <c r="C3249" s="46" t="inlineStr">
        <is>
          <t>부천지역</t>
        </is>
      </c>
      <c r="D3249" s="46" t="inlineStr">
        <is>
          <t>쇄경골</t>
        </is>
      </c>
      <c r="E3249" s="46" t="inlineStr">
        <is>
          <t>ups</t>
        </is>
      </c>
      <c r="F3249" s="46" t="inlineStr">
        <is>
          <t>도당동</t>
        </is>
      </c>
      <c r="G3249" s="50" t="n">
        <v>0.4166666666666667</v>
      </c>
      <c r="H3249" s="51" t="n">
        <v>272030</v>
      </c>
      <c r="I3249" s="46" t="inlineStr">
        <is>
          <t>당효진</t>
        </is>
      </c>
      <c r="K3249" s="46" t="n">
        <v>3248</v>
      </c>
      <c r="L3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0">
      <c r="A3250" s="229" t="n">
        <v>46262</v>
      </c>
      <c r="B3250" s="46" t="inlineStr">
        <is>
          <t>정기검사</t>
        </is>
      </c>
      <c r="C3250" s="46" t="inlineStr">
        <is>
          <t>부천지역</t>
        </is>
      </c>
      <c r="D3250" s="46" t="inlineStr">
        <is>
          <t>태원빌딛</t>
        </is>
      </c>
      <c r="E3250" s="46" t="n">
        <v>150</v>
      </c>
      <c r="F3250" s="46" t="inlineStr">
        <is>
          <t>괴안동</t>
        </is>
      </c>
      <c r="G3250" s="50" t="n"/>
      <c r="H3250" s="51" t="n">
        <v>180950</v>
      </c>
      <c r="I3250" s="46" t="inlineStr">
        <is>
          <t>허록종</t>
        </is>
      </c>
      <c r="K3250" s="46" t="n">
        <v>3249</v>
      </c>
      <c r="L3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1">
      <c r="A3251" s="229" t="n">
        <v>46262</v>
      </c>
      <c r="B3251" s="46" t="inlineStr">
        <is>
          <t>정기검사</t>
        </is>
      </c>
      <c r="C3251" s="46" t="inlineStr">
        <is>
          <t>부천지역</t>
        </is>
      </c>
      <c r="D3251" s="46" t="inlineStr">
        <is>
          <t>놏</t>
        </is>
      </c>
      <c r="E3251" s="46" t="inlineStr">
        <is>
          <t>600/273</t>
        </is>
      </c>
      <c r="F3251" s="46" t="inlineStr">
        <is>
          <t>소사동</t>
        </is>
      </c>
      <c r="G3251" s="50" t="n">
        <v>0.5416666666666666</v>
      </c>
      <c r="H3251" s="51" t="n">
        <v>988240</v>
      </c>
      <c r="I3251" s="46" t="inlineStr">
        <is>
          <t>허록종</t>
        </is>
      </c>
      <c r="K3251" s="46" t="n">
        <v>3250</v>
      </c>
      <c r="L3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2">
      <c r="A3252" s="229" t="n">
        <v>46262</v>
      </c>
      <c r="B3252" s="46" t="inlineStr">
        <is>
          <t>정기검사</t>
        </is>
      </c>
      <c r="C3252" s="46" t="inlineStr">
        <is>
          <t>부천지역</t>
        </is>
      </c>
      <c r="D3252" s="46" t="inlineStr">
        <is>
          <t>풍진</t>
        </is>
      </c>
      <c r="E3252" s="46" t="n">
        <v>400</v>
      </c>
      <c r="F3252" s="46" t="inlineStr">
        <is>
          <t>오정동</t>
        </is>
      </c>
      <c r="G3252" s="50" t="n">
        <v>0.4583333333333333</v>
      </c>
      <c r="H3252" s="51" t="n">
        <v>703120</v>
      </c>
      <c r="I3252" s="46" t="inlineStr">
        <is>
          <t>당효진</t>
        </is>
      </c>
      <c r="K3252" s="46" t="n">
        <v>3251</v>
      </c>
      <c r="L3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3">
      <c r="A3253" s="229" t="n">
        <v>46262</v>
      </c>
      <c r="B3253" s="46" t="inlineStr">
        <is>
          <t>정기검사</t>
        </is>
      </c>
      <c r="C3253" s="46" t="inlineStr">
        <is>
          <t>부천지역</t>
        </is>
      </c>
      <c r="D3253" s="46" t="inlineStr">
        <is>
          <t>우리조명</t>
        </is>
      </c>
      <c r="E3253" s="46" t="n">
        <v>290</v>
      </c>
      <c r="F3253" s="46" t="n"/>
      <c r="G3253" s="50" t="n"/>
      <c r="H3253" s="51" t="n"/>
      <c r="I3253" s="46" t="n"/>
      <c r="K3253" s="46" t="n">
        <v>3252</v>
      </c>
      <c r="L3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4">
      <c r="A3254" s="229" t="n">
        <v>46262</v>
      </c>
      <c r="B3254" s="46" t="inlineStr">
        <is>
          <t>정기검사</t>
        </is>
      </c>
      <c r="C3254" s="46" t="inlineStr">
        <is>
          <t>부천지역</t>
        </is>
      </c>
      <c r="D3254" s="46" t="inlineStr">
        <is>
          <t>경기예술고</t>
        </is>
      </c>
      <c r="E3254" s="46" t="n">
        <v>25</v>
      </c>
      <c r="F3254" s="46" t="n"/>
      <c r="G3254" s="50" t="n"/>
      <c r="H3254" s="51" t="n">
        <v>177100</v>
      </c>
      <c r="I3254" s="46" t="n"/>
      <c r="K3254" s="46" t="n">
        <v>3253</v>
      </c>
      <c r="L3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5">
      <c r="A3255" s="229" t="n">
        <v>46262</v>
      </c>
      <c r="B3255" s="46" t="inlineStr">
        <is>
          <t>정기검사</t>
        </is>
      </c>
      <c r="C3255" s="46" t="inlineStr">
        <is>
          <t>김포지역</t>
        </is>
      </c>
      <c r="D3255" s="46" t="inlineStr">
        <is>
          <t>진흥</t>
        </is>
      </c>
      <c r="E3255" s="46" t="n">
        <v>400</v>
      </c>
      <c r="F3255" s="46" t="inlineStr">
        <is>
          <t>옹정리</t>
        </is>
      </c>
      <c r="G3255" s="50" t="n">
        <v>0.4791666666666667</v>
      </c>
      <c r="H3255" s="51" t="n">
        <v>703120</v>
      </c>
      <c r="I3255" s="46" t="inlineStr">
        <is>
          <t>김영권</t>
        </is>
      </c>
      <c r="K3255" s="46" t="n">
        <v>3254</v>
      </c>
      <c r="L3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6">
      <c r="A3256" s="229" t="n">
        <v>46262</v>
      </c>
      <c r="B3256" s="46" t="inlineStr">
        <is>
          <t>정기검사</t>
        </is>
      </c>
      <c r="C3256" s="46" t="inlineStr">
        <is>
          <t>김포지역</t>
        </is>
      </c>
      <c r="D3256" s="46" t="inlineStr">
        <is>
          <t>투맨</t>
        </is>
      </c>
      <c r="E3256" s="46" t="n">
        <v>290</v>
      </c>
      <c r="F3256" s="46" t="inlineStr">
        <is>
          <t>대능리</t>
        </is>
      </c>
      <c r="G3256" s="50" t="n">
        <v>0.3958333333333333</v>
      </c>
      <c r="H3256" s="51" t="n">
        <v>515130</v>
      </c>
      <c r="I3256" s="46" t="inlineStr">
        <is>
          <t>서수형</t>
        </is>
      </c>
      <c r="K3256" s="46" t="n">
        <v>3255</v>
      </c>
      <c r="L3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7">
      <c r="A3257" s="229" t="n">
        <v>46262</v>
      </c>
      <c r="B3257" s="46" t="inlineStr">
        <is>
          <t>정기검사</t>
        </is>
      </c>
      <c r="C3257" s="46" t="inlineStr">
        <is>
          <t>김포지역</t>
        </is>
      </c>
      <c r="D3257" s="46" t="inlineStr">
        <is>
          <t>남광정공</t>
        </is>
      </c>
      <c r="E3257" s="46" t="n">
        <v>500</v>
      </c>
      <c r="F3257" s="46" t="inlineStr">
        <is>
          <t>대명리</t>
        </is>
      </c>
      <c r="G3257" s="50" t="n">
        <v>0.5</v>
      </c>
      <c r="H3257" s="51" t="n">
        <v>737000</v>
      </c>
      <c r="I3257" s="46" t="inlineStr">
        <is>
          <t>정성관</t>
        </is>
      </c>
      <c r="K3257" s="46" t="n">
        <v>3256</v>
      </c>
      <c r="L3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8">
      <c r="A3258" s="229" t="n">
        <v>46262</v>
      </c>
      <c r="B3258" s="46" t="inlineStr">
        <is>
          <t>정기검사</t>
        </is>
      </c>
      <c r="C3258" s="46" t="inlineStr">
        <is>
          <t>김포지역</t>
        </is>
      </c>
      <c r="D3258" s="46" t="inlineStr">
        <is>
          <t>사우배수장</t>
        </is>
      </c>
      <c r="E3258" s="46" t="n">
        <v>800</v>
      </c>
      <c r="F3258" s="46" t="inlineStr">
        <is>
          <t>걸포동</t>
        </is>
      </c>
      <c r="G3258" s="50" t="n">
        <v>0.4166666666666667</v>
      </c>
      <c r="H3258" s="51" t="n">
        <v>838640</v>
      </c>
      <c r="I3258" s="46" t="inlineStr">
        <is>
          <t>송낙명</t>
        </is>
      </c>
      <c r="K3258" s="46" t="n">
        <v>3257</v>
      </c>
      <c r="L3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9">
      <c r="A3259" s="229" t="n">
        <v>46262</v>
      </c>
      <c r="B3259" s="46" t="inlineStr">
        <is>
          <t>정기검사</t>
        </is>
      </c>
      <c r="C3259" s="46" t="inlineStr">
        <is>
          <t>김포지역</t>
        </is>
      </c>
      <c r="D3259" s="46" t="inlineStr">
        <is>
          <t>한종일</t>
        </is>
      </c>
      <c r="E3259" s="46" t="n">
        <v>5</v>
      </c>
      <c r="F3259" s="46" t="inlineStr">
        <is>
          <t>대벽리</t>
        </is>
      </c>
      <c r="G3259" s="50" t="n"/>
      <c r="H3259" s="51" t="n"/>
      <c r="I3259" s="46" t="inlineStr">
        <is>
          <t>서수형</t>
        </is>
      </c>
      <c r="K3259" s="46" t="n">
        <v>3258</v>
      </c>
      <c r="L3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0">
      <c r="A3260" s="229" t="n">
        <v>46262</v>
      </c>
      <c r="B3260" s="46" t="inlineStr">
        <is>
          <t>정기검사</t>
        </is>
      </c>
      <c r="C3260" s="46" t="inlineStr">
        <is>
          <t>김포지역</t>
        </is>
      </c>
      <c r="D3260" s="46" t="inlineStr">
        <is>
          <t>골드라인</t>
        </is>
      </c>
      <c r="E3260" s="46" t="n">
        <v>30</v>
      </c>
      <c r="F3260" s="46" t="inlineStr">
        <is>
          <t>운양역</t>
        </is>
      </c>
      <c r="G3260" s="50" t="n"/>
      <c r="H3260" s="51" t="n">
        <v>259050</v>
      </c>
      <c r="I3260" s="46" t="inlineStr">
        <is>
          <t>한태희</t>
        </is>
      </c>
      <c r="K3260" s="46" t="n">
        <v>3259</v>
      </c>
      <c r="L3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1">
      <c r="A3261" s="229" t="n">
        <v>46262</v>
      </c>
      <c r="B3261" s="46" t="inlineStr">
        <is>
          <t>정기검사</t>
        </is>
      </c>
      <c r="C3261" s="46" t="inlineStr">
        <is>
          <t>김포지역</t>
        </is>
      </c>
      <c r="D3261" s="46" t="inlineStr">
        <is>
          <t>골드라인</t>
        </is>
      </c>
      <c r="E3261" s="46" t="n">
        <v>30</v>
      </c>
      <c r="F3261" s="46" t="inlineStr">
        <is>
          <t>마산동</t>
        </is>
      </c>
      <c r="G3261" s="50" t="n"/>
      <c r="H3261" s="51" t="n">
        <v>263340</v>
      </c>
      <c r="I3261" s="46" t="inlineStr">
        <is>
          <t>한태희</t>
        </is>
      </c>
      <c r="K3261" s="46" t="n">
        <v>3260</v>
      </c>
      <c r="L3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2">
      <c r="A3262" s="229" t="n">
        <v>46262</v>
      </c>
      <c r="B3262" s="46" t="inlineStr">
        <is>
          <t>정기검사</t>
        </is>
      </c>
      <c r="C3262" s="46" t="inlineStr">
        <is>
          <t>김포지역</t>
        </is>
      </c>
      <c r="D3262" s="46" t="inlineStr">
        <is>
          <t>골드라인</t>
        </is>
      </c>
      <c r="E3262" s="46" t="n">
        <v>40</v>
      </c>
      <c r="F3262" s="46" t="inlineStr">
        <is>
          <t>구래역</t>
        </is>
      </c>
      <c r="G3262" s="50" t="n"/>
      <c r="H3262" s="51" t="n">
        <v>263340</v>
      </c>
      <c r="I3262" s="46" t="inlineStr">
        <is>
          <t>한태희</t>
        </is>
      </c>
      <c r="K3262" s="46" t="n">
        <v>3261</v>
      </c>
      <c r="L3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3">
      <c r="A3263" s="229" t="n">
        <v>46262</v>
      </c>
      <c r="B3263" s="46" t="inlineStr">
        <is>
          <t>정기검사</t>
        </is>
      </c>
      <c r="C3263" s="46" t="inlineStr">
        <is>
          <t>김포지역</t>
        </is>
      </c>
      <c r="D3263" s="46" t="inlineStr">
        <is>
          <t>골드라인</t>
        </is>
      </c>
      <c r="E3263" s="46" t="n">
        <v>30</v>
      </c>
      <c r="F3263" s="46" t="inlineStr">
        <is>
          <t>장기역</t>
        </is>
      </c>
      <c r="G3263" s="50" t="n"/>
      <c r="H3263" s="51" t="n">
        <v>259050</v>
      </c>
      <c r="I3263" s="46" t="inlineStr">
        <is>
          <t>한태희</t>
        </is>
      </c>
      <c r="K3263" s="46" t="n">
        <v>3262</v>
      </c>
      <c r="L3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4">
      <c r="A3264" s="229" t="n">
        <v>46262</v>
      </c>
      <c r="B3264" s="46" t="inlineStr">
        <is>
          <t>정기검사</t>
        </is>
      </c>
      <c r="C3264" s="46" t="inlineStr">
        <is>
          <t>김포지역</t>
        </is>
      </c>
      <c r="D3264" s="46" t="inlineStr">
        <is>
          <t>유니온트리</t>
        </is>
      </c>
      <c r="E3264" s="46" t="n">
        <v>100</v>
      </c>
      <c r="F3264" s="46" t="inlineStr">
        <is>
          <t>고촌</t>
        </is>
      </c>
      <c r="G3264" s="50" t="n"/>
      <c r="H3264" s="51" t="n">
        <v>189420</v>
      </c>
      <c r="I3264" s="46" t="inlineStr">
        <is>
          <t>이종석</t>
        </is>
      </c>
      <c r="K3264" s="46" t="n">
        <v>3263</v>
      </c>
      <c r="L3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5">
      <c r="A3265" s="229" t="n">
        <v>46262</v>
      </c>
      <c r="B3265" s="46" t="inlineStr">
        <is>
          <t>사용전검사</t>
        </is>
      </c>
      <c r="C3265" s="46" t="inlineStr">
        <is>
          <t>부천지역</t>
        </is>
      </c>
      <c r="D3265" s="46" t="inlineStr">
        <is>
          <t>서진산업</t>
        </is>
      </c>
      <c r="E3265" s="46" t="inlineStr">
        <is>
          <t>변변</t>
        </is>
      </c>
      <c r="F3265" s="46" t="inlineStr">
        <is>
          <t>오정동</t>
        </is>
      </c>
      <c r="G3265" s="50" t="n"/>
      <c r="H3265" s="51" t="n"/>
      <c r="I3265" s="46" t="inlineStr">
        <is>
          <t>허록종</t>
        </is>
      </c>
      <c r="K3265" s="46" t="n">
        <v>3264</v>
      </c>
      <c r="L3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6">
      <c r="A3266" s="229" t="n">
        <v>46262</v>
      </c>
      <c r="B3266" s="46" t="inlineStr">
        <is>
          <t>메모</t>
        </is>
      </c>
      <c r="C3266" s="46" t="inlineStr">
        <is>
          <t>부천지역</t>
        </is>
      </c>
      <c r="D3266" s="46" t="inlineStr">
        <is>
          <t>허창수휴가</t>
        </is>
      </c>
      <c r="E3266" s="46" t="inlineStr">
        <is>
          <t>서수형-이종석</t>
        </is>
      </c>
      <c r="F3266" s="46" t="n"/>
      <c r="G3266" s="50" t="n"/>
      <c r="H3266" s="51" t="n"/>
      <c r="I3266" s="46" t="n"/>
      <c r="K3266" s="46" t="n">
        <v>3265</v>
      </c>
      <c r="L3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7">
      <c r="A3267" s="229" t="n">
        <v>46262</v>
      </c>
      <c r="B3267" s="46" t="inlineStr">
        <is>
          <t>메모</t>
        </is>
      </c>
      <c r="C3267" s="46" t="inlineStr">
        <is>
          <t>부천지역</t>
        </is>
      </c>
      <c r="D3267" s="46" t="inlineStr">
        <is>
          <t>변종국휴가</t>
        </is>
      </c>
      <c r="E3267" s="46" t="n"/>
      <c r="F3267" s="46" t="n"/>
      <c r="G3267" s="50" t="n"/>
      <c r="H3267" s="51" t="n"/>
      <c r="I3267" s="46" t="n"/>
      <c r="K3267" s="46" t="n">
        <v>3266</v>
      </c>
      <c r="L3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8">
      <c r="A3268" s="229" t="n">
        <v>46262</v>
      </c>
      <c r="B3268" s="46" t="inlineStr">
        <is>
          <t>메모</t>
        </is>
      </c>
      <c r="C3268" s="46" t="inlineStr">
        <is>
          <t>부천지역</t>
        </is>
      </c>
      <c r="D3268" s="46" t="inlineStr">
        <is>
          <t>이덕기휴가</t>
        </is>
      </c>
      <c r="E3268" s="46" t="inlineStr">
        <is>
          <t>김영권-옹승완</t>
        </is>
      </c>
      <c r="F3268" s="46" t="n"/>
      <c r="G3268" s="50" t="n"/>
      <c r="H3268" s="51" t="n"/>
      <c r="I3268" s="46" t="n"/>
      <c r="K3268" s="46" t="n">
        <v>3267</v>
      </c>
      <c r="L3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9">
      <c r="A3269" s="229" t="n">
        <v>46262</v>
      </c>
      <c r="B3269" s="46" t="inlineStr">
        <is>
          <t>메모</t>
        </is>
      </c>
      <c r="C3269" s="46" t="inlineStr">
        <is>
          <t>부천지역</t>
        </is>
      </c>
      <c r="D3269" s="46" t="inlineStr">
        <is>
          <t>민재홍 휴가</t>
        </is>
      </c>
      <c r="E3269" s="46" t="n"/>
      <c r="F3269" s="46" t="n"/>
      <c r="G3269" s="50" t="n"/>
      <c r="H3269" s="51" t="n"/>
      <c r="I3269" s="46" t="n"/>
      <c r="K3269" s="46" t="n">
        <v>3268</v>
      </c>
      <c r="L3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0">
      <c r="A3270" s="229" t="n">
        <v>46262</v>
      </c>
      <c r="B3270" s="46" t="inlineStr">
        <is>
          <t>사용전검사</t>
        </is>
      </c>
      <c r="C3270" s="46" t="inlineStr">
        <is>
          <t>김포지역</t>
        </is>
      </c>
      <c r="D3270" s="46" t="inlineStr">
        <is>
          <t>대진태양광</t>
        </is>
      </c>
      <c r="E3270" s="46" t="n">
        <v>70</v>
      </c>
      <c r="F3270" s="46" t="inlineStr">
        <is>
          <t>대벽리</t>
        </is>
      </c>
      <c r="G3270" s="50" t="n"/>
      <c r="H3270" s="51" t="n"/>
      <c r="I3270" s="46" t="inlineStr">
        <is>
          <t>이종석</t>
        </is>
      </c>
      <c r="K3270" s="46" t="n">
        <v>3269</v>
      </c>
      <c r="L3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1">
      <c r="A3271" s="229" t="n">
        <v>46262</v>
      </c>
      <c r="B3271" s="46" t="inlineStr">
        <is>
          <t>사용전검사</t>
        </is>
      </c>
      <c r="C3271" s="46" t="inlineStr">
        <is>
          <t>김포지역</t>
        </is>
      </c>
      <c r="D3271" s="46" t="inlineStr">
        <is>
          <t>현정엔에스</t>
        </is>
      </c>
      <c r="E3271" s="46" t="n">
        <v>72</v>
      </c>
      <c r="F3271" s="46" t="inlineStr">
        <is>
          <t>대명리</t>
        </is>
      </c>
      <c r="G3271" s="50" t="n"/>
      <c r="H3271" s="51" t="n"/>
      <c r="I3271" s="46" t="inlineStr">
        <is>
          <t>당효진</t>
        </is>
      </c>
      <c r="K3271" s="46" t="n">
        <v>3270</v>
      </c>
      <c r="L3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2">
      <c r="A3272" s="229" t="n">
        <v>46262</v>
      </c>
      <c r="B3272" s="46" t="inlineStr">
        <is>
          <t>사용전검사</t>
        </is>
      </c>
      <c r="C3272" s="46" t="inlineStr">
        <is>
          <t>김포지역</t>
        </is>
      </c>
      <c r="D3272" s="46" t="inlineStr">
        <is>
          <t>송마3</t>
        </is>
      </c>
      <c r="E3272" s="46" t="n">
        <v>89</v>
      </c>
      <c r="F3272" s="46" t="inlineStr">
        <is>
          <t>송마리</t>
        </is>
      </c>
      <c r="G3272" s="50" t="n">
        <v>0</v>
      </c>
      <c r="H3272" s="51" t="n"/>
      <c r="I3272" s="46" t="inlineStr">
        <is>
          <t>옹승완</t>
        </is>
      </c>
      <c r="K3272" s="46" t="n">
        <v>3271</v>
      </c>
      <c r="L3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3">
      <c r="A3273" s="229" t="n">
        <v>46262</v>
      </c>
      <c r="B3273" s="46" t="inlineStr">
        <is>
          <t>사용전검사</t>
        </is>
      </c>
      <c r="C3273" s="46" t="inlineStr">
        <is>
          <t>김포지역</t>
        </is>
      </c>
      <c r="D3273" s="46" t="inlineStr">
        <is>
          <t>송마3</t>
        </is>
      </c>
      <c r="E3273" s="46" t="n">
        <v>89</v>
      </c>
      <c r="F3273" s="46" t="inlineStr">
        <is>
          <t>송마리</t>
        </is>
      </c>
      <c r="G3273" s="50" t="n">
        <v>0</v>
      </c>
      <c r="H3273" s="51" t="n"/>
      <c r="I3273" s="46" t="inlineStr">
        <is>
          <t>옹승완</t>
        </is>
      </c>
      <c r="K3273" s="46" t="n">
        <v>3272</v>
      </c>
      <c r="L3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4">
      <c r="A3274" s="229" t="n">
        <v>46262</v>
      </c>
      <c r="B3274" s="46" t="inlineStr">
        <is>
          <t>사용전검사</t>
        </is>
      </c>
      <c r="C3274" s="46" t="inlineStr">
        <is>
          <t>김포지역</t>
        </is>
      </c>
      <c r="D3274" s="46" t="inlineStr">
        <is>
          <t>덕승1호</t>
        </is>
      </c>
      <c r="E3274" s="46" t="n">
        <v>86</v>
      </c>
      <c r="F3274" s="46" t="inlineStr">
        <is>
          <t>학운리</t>
        </is>
      </c>
      <c r="G3274" s="50" t="n"/>
      <c r="H3274" s="51" t="n"/>
      <c r="I3274" s="46" t="inlineStr">
        <is>
          <t>정신배</t>
        </is>
      </c>
      <c r="K3274" s="46" t="n">
        <v>3273</v>
      </c>
      <c r="L3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5">
      <c r="A3275" s="229" t="n">
        <v>46262</v>
      </c>
      <c r="B3275" s="46" t="inlineStr">
        <is>
          <t>사용전검사</t>
        </is>
      </c>
      <c r="C3275" s="46" t="inlineStr">
        <is>
          <t>김포지역</t>
        </is>
      </c>
      <c r="D3275" s="46" t="inlineStr">
        <is>
          <t>덕승2호</t>
        </is>
      </c>
      <c r="E3275" s="46" t="n">
        <v>87</v>
      </c>
      <c r="F3275" s="46" t="inlineStr">
        <is>
          <t>학운리</t>
        </is>
      </c>
      <c r="G3275" s="50" t="n"/>
      <c r="H3275" s="51" t="n"/>
      <c r="I3275" s="46" t="inlineStr">
        <is>
          <t>정신배</t>
        </is>
      </c>
      <c r="K3275" s="46" t="n">
        <v>3274</v>
      </c>
      <c r="L3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6" ht="25.2" customHeight="1" s="22">
      <c r="A3276" s="229" t="n">
        <v>46262</v>
      </c>
      <c r="B3276" s="46" t="inlineStr">
        <is>
          <t>사용전검사</t>
        </is>
      </c>
      <c r="C3276" s="46" t="inlineStr">
        <is>
          <t>김포지역</t>
        </is>
      </c>
      <c r="D3276" s="46" t="inlineStr">
        <is>
          <t>덕승3호</t>
        </is>
      </c>
      <c r="E3276" s="46" t="n">
        <v>88</v>
      </c>
      <c r="F3276" s="46" t="inlineStr">
        <is>
          <t>학운리</t>
        </is>
      </c>
      <c r="G3276" s="50" t="n"/>
      <c r="H3276" s="51" t="n"/>
      <c r="I3276" s="46" t="inlineStr">
        <is>
          <t>정신배</t>
        </is>
      </c>
      <c r="K3276" s="46" t="n">
        <v>3275</v>
      </c>
      <c r="L3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7" ht="25.2" customHeight="1" s="22">
      <c r="A3277" s="229" t="n">
        <v>46263</v>
      </c>
      <c r="B3277" s="46" t="inlineStr">
        <is>
          <t>정기검사</t>
        </is>
      </c>
      <c r="C3277" s="46" t="inlineStr">
        <is>
          <t>부천지역</t>
        </is>
      </c>
      <c r="D3277" s="46" t="inlineStr">
        <is>
          <t>부천아트센터</t>
        </is>
      </c>
      <c r="E3277" s="46" t="inlineStr">
        <is>
          <t>3800/800</t>
        </is>
      </c>
      <c r="F3277" s="46" t="inlineStr">
        <is>
          <t>중동</t>
        </is>
      </c>
      <c r="G3277" s="50" t="n"/>
      <c r="H3277" s="51" t="n">
        <v>2533960</v>
      </c>
      <c r="I3277" s="46" t="inlineStr">
        <is>
          <t>허창수</t>
        </is>
      </c>
      <c r="K3277" s="46" t="n">
        <v>3276</v>
      </c>
      <c r="L3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8">
      <c r="A3278" s="229" t="n">
        <v>46263</v>
      </c>
      <c r="B3278" s="46" t="inlineStr">
        <is>
          <t>정기검사</t>
        </is>
      </c>
      <c r="C3278" s="46" t="inlineStr">
        <is>
          <t>부천지역</t>
        </is>
      </c>
      <c r="D3278" s="46" t="inlineStr">
        <is>
          <t>부천아트센터</t>
        </is>
      </c>
      <c r="E3278" s="46" t="inlineStr">
        <is>
          <t>ess</t>
        </is>
      </c>
      <c r="F3278" s="46" t="inlineStr">
        <is>
          <t>중동</t>
        </is>
      </c>
      <c r="G3278" s="50" t="n"/>
      <c r="H3278" s="51" t="n">
        <v>362010</v>
      </c>
      <c r="I3278" s="46" t="inlineStr">
        <is>
          <t>허창수</t>
        </is>
      </c>
      <c r="K3278" s="46" t="n">
        <v>3277</v>
      </c>
      <c r="L3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9">
      <c r="A3279" s="229" t="n">
        <v>46263</v>
      </c>
      <c r="B3279" s="46" t="inlineStr">
        <is>
          <t>정기검사</t>
        </is>
      </c>
      <c r="C3279" s="46" t="inlineStr">
        <is>
          <t>김포지역</t>
        </is>
      </c>
      <c r="D3279" s="46" t="inlineStr">
        <is>
          <t>에스엠상선경인터미널</t>
        </is>
      </c>
      <c r="E3279" s="46" t="n">
        <v>4500</v>
      </c>
      <c r="F3279" s="46" t="inlineStr">
        <is>
          <t>고촌</t>
        </is>
      </c>
      <c r="G3279" s="50" t="n">
        <v>0.4583333333333333</v>
      </c>
      <c r="H3279" s="51" t="n">
        <v>6199710</v>
      </c>
      <c r="I3279" s="46" t="inlineStr">
        <is>
          <t>정신배</t>
        </is>
      </c>
      <c r="K3279" s="46" t="n">
        <v>3278</v>
      </c>
      <c r="L3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0">
      <c r="A3280" s="229" t="n">
        <v>46263</v>
      </c>
      <c r="B3280" s="46" t="inlineStr">
        <is>
          <t>정기검사</t>
        </is>
      </c>
      <c r="C3280" s="46" t="inlineStr">
        <is>
          <t>김포지역</t>
        </is>
      </c>
      <c r="D3280" s="46" t="inlineStr">
        <is>
          <t>에스엠상선경인터미널</t>
        </is>
      </c>
      <c r="E3280" s="46" t="n">
        <v>159</v>
      </c>
      <c r="F3280" s="46" t="inlineStr">
        <is>
          <t>고촌</t>
        </is>
      </c>
      <c r="G3280" s="50" t="n">
        <v>0.5</v>
      </c>
      <c r="H3280" s="51" t="n">
        <v>238700</v>
      </c>
      <c r="I3280" s="46" t="inlineStr">
        <is>
          <t>정신배</t>
        </is>
      </c>
      <c r="K3280" s="46" t="n">
        <v>3279</v>
      </c>
      <c r="L3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1">
      <c r="A3281" s="229" t="n">
        <v>46263</v>
      </c>
      <c r="B3281" s="46" t="inlineStr">
        <is>
          <t>정기검사</t>
        </is>
      </c>
      <c r="C3281" s="46" t="inlineStr">
        <is>
          <t>김포지역</t>
        </is>
      </c>
      <c r="D3281" s="46" t="inlineStr">
        <is>
          <t>지오프라자</t>
        </is>
      </c>
      <c r="E3281" s="46" t="inlineStr">
        <is>
          <t>900/155</t>
        </is>
      </c>
      <c r="F3281" s="46" t="inlineStr">
        <is>
          <t>구래동</t>
        </is>
      </c>
      <c r="G3281" s="50" t="n">
        <v>0.3125</v>
      </c>
      <c r="H3281" s="51" t="n">
        <v>1371480</v>
      </c>
      <c r="I3281" s="46" t="inlineStr">
        <is>
          <t>이종석</t>
        </is>
      </c>
      <c r="K3281" s="46" t="n">
        <v>3280</v>
      </c>
      <c r="L3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2">
      <c r="A3282" s="229" t="n">
        <v>46263</v>
      </c>
      <c r="B3282" s="46" t="inlineStr">
        <is>
          <t>정기검사</t>
        </is>
      </c>
      <c r="C3282" s="46" t="inlineStr">
        <is>
          <t>김포지역</t>
        </is>
      </c>
      <c r="D3282" s="46" t="inlineStr">
        <is>
          <t>신유베라트</t>
        </is>
      </c>
      <c r="E3282" s="46" t="inlineStr">
        <is>
          <t>950/273</t>
        </is>
      </c>
      <c r="F3282" s="46" t="inlineStr">
        <is>
          <t>유현리</t>
        </is>
      </c>
      <c r="G3282" s="50" t="n">
        <v>0.375</v>
      </c>
      <c r="H3282" s="51" t="n">
        <v>1438910</v>
      </c>
      <c r="I3282" s="46" t="inlineStr">
        <is>
          <t>정신배</t>
        </is>
      </c>
      <c r="K3282" s="46" t="n">
        <v>3281</v>
      </c>
      <c r="L3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3">
      <c r="A3283" s="229" t="n">
        <v>46263</v>
      </c>
      <c r="B3283" s="46" t="inlineStr">
        <is>
          <t>메모</t>
        </is>
      </c>
      <c r="C3283" s="46" t="inlineStr">
        <is>
          <t>부천지역</t>
        </is>
      </c>
      <c r="D3283" s="46" t="inlineStr">
        <is>
          <t>한태희휴가</t>
        </is>
      </c>
      <c r="E3283" s="46" t="n"/>
      <c r="F3283" s="46" t="n"/>
      <c r="G3283" s="50" t="n"/>
      <c r="H3283" s="51" t="n"/>
      <c r="I3283" s="46" t="n"/>
      <c r="K3283" s="46" t="n">
        <v>3282</v>
      </c>
      <c r="L3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4">
      <c r="A3284" s="229" t="n">
        <v>46263</v>
      </c>
      <c r="B3284" s="46" t="inlineStr">
        <is>
          <t>메모</t>
        </is>
      </c>
      <c r="C3284" s="46" t="inlineStr">
        <is>
          <t>부천지역</t>
        </is>
      </c>
      <c r="D3284" s="46" t="inlineStr">
        <is>
          <t>허창수휴가</t>
        </is>
      </c>
      <c r="E3284" s="46" t="n"/>
      <c r="F3284" s="46" t="n"/>
      <c r="G3284" s="50" t="n"/>
      <c r="H3284" s="51" t="n"/>
      <c r="I3284" s="46" t="n"/>
      <c r="K3284" s="46" t="n">
        <v>3283</v>
      </c>
      <c r="L3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5">
      <c r="A3285" s="229" t="n">
        <v>46263</v>
      </c>
      <c r="B3285" s="46" t="inlineStr">
        <is>
          <t>메모</t>
        </is>
      </c>
      <c r="C3285" s="46" t="inlineStr">
        <is>
          <t>부천지역</t>
        </is>
      </c>
      <c r="D3285" s="46" t="inlineStr">
        <is>
          <t>이덕기휴가</t>
        </is>
      </c>
      <c r="E3285" s="46" t="n"/>
      <c r="F3285" s="46" t="n"/>
      <c r="G3285" s="50" t="n"/>
      <c r="H3285" s="51" t="n"/>
      <c r="I3285" s="46" t="n"/>
      <c r="K3285" s="46" t="n">
        <v>3284</v>
      </c>
      <c r="L3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6">
      <c r="A3286" s="229" t="n">
        <v>46263</v>
      </c>
      <c r="B3286" s="46" t="inlineStr">
        <is>
          <t>메모</t>
        </is>
      </c>
      <c r="C3286" s="46" t="inlineStr">
        <is>
          <t>부천지역</t>
        </is>
      </c>
      <c r="D3286" s="46" t="inlineStr">
        <is>
          <t>변종국휴가</t>
        </is>
      </c>
      <c r="E3286" s="46" t="n"/>
      <c r="F3286" s="46" t="n"/>
      <c r="G3286" s="50" t="n"/>
      <c r="H3286" s="51" t="n"/>
      <c r="I3286" s="46" t="n"/>
      <c r="K3286" s="46" t="n">
        <v>3285</v>
      </c>
      <c r="L3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7">
      <c r="A3287" s="229" t="n">
        <v>46263</v>
      </c>
      <c r="B3287" s="46" t="inlineStr">
        <is>
          <t>메모</t>
        </is>
      </c>
      <c r="C3287" s="46" t="inlineStr">
        <is>
          <t>부천지역</t>
        </is>
      </c>
      <c r="D3287" s="46" t="inlineStr">
        <is>
          <t>민재홍휴가</t>
        </is>
      </c>
      <c r="E3287" s="46" t="n"/>
      <c r="F3287" s="46" t="n"/>
      <c r="G3287" s="50" t="n"/>
      <c r="H3287" s="51" t="n"/>
      <c r="I3287" s="46" t="n"/>
      <c r="K3287" s="46" t="n">
        <v>3286</v>
      </c>
      <c r="L3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8">
      <c r="A3288" s="229" t="n">
        <v>46263</v>
      </c>
      <c r="B3288" s="46" t="inlineStr">
        <is>
          <t>사용전검사</t>
        </is>
      </c>
      <c r="C3288" s="46" t="inlineStr">
        <is>
          <t>김포지역</t>
        </is>
      </c>
      <c r="D3288" s="46" t="inlineStr">
        <is>
          <t>한산엘테크</t>
        </is>
      </c>
      <c r="E3288" s="46" t="n">
        <v>650</v>
      </c>
      <c r="F3288" s="46" t="inlineStr">
        <is>
          <t>원산리</t>
        </is>
      </c>
      <c r="G3288" s="50" t="n"/>
      <c r="H3288" s="51" t="n"/>
      <c r="I3288" s="46" t="inlineStr">
        <is>
          <t>옹승완</t>
        </is>
      </c>
      <c r="K3288" s="46" t="n">
        <v>3287</v>
      </c>
      <c r="L3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9">
      <c r="A3289" s="229" t="n">
        <v>46264</v>
      </c>
      <c r="B3289" s="46" t="inlineStr">
        <is>
          <t>정기검사</t>
        </is>
      </c>
      <c r="C3289" s="46" t="inlineStr">
        <is>
          <t>부천지역</t>
        </is>
      </c>
      <c r="D3289" s="46" t="inlineStr">
        <is>
          <t>소사국민체육센터</t>
        </is>
      </c>
      <c r="E3289" s="46" t="inlineStr">
        <is>
          <t>850/75</t>
        </is>
      </c>
      <c r="F3289" s="46" t="inlineStr">
        <is>
          <t>소사동</t>
        </is>
      </c>
      <c r="G3289" s="50" t="n">
        <v>0.4166666666666667</v>
      </c>
      <c r="H3289" s="51" t="n">
        <v>1315930</v>
      </c>
      <c r="I3289" s="46" t="inlineStr">
        <is>
          <t>서수형</t>
        </is>
      </c>
      <c r="K3289" s="46" t="n">
        <v>3288</v>
      </c>
      <c r="L3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0">
      <c r="A3290" s="229" t="n">
        <v>46264</v>
      </c>
      <c r="B3290" s="46" t="inlineStr">
        <is>
          <t>정기검사</t>
        </is>
      </c>
      <c r="C3290" s="46" t="inlineStr">
        <is>
          <t>부천지역</t>
        </is>
      </c>
      <c r="D3290" s="46" t="inlineStr">
        <is>
          <t>알루텍</t>
        </is>
      </c>
      <c r="E3290" s="46" t="n">
        <v>450</v>
      </c>
      <c r="F3290" s="46" t="inlineStr">
        <is>
          <t>도당동</t>
        </is>
      </c>
      <c r="G3290" s="50" t="n">
        <v>0.5416666666666666</v>
      </c>
      <c r="H3290" s="51" t="n">
        <v>720060</v>
      </c>
      <c r="I3290" s="46" t="inlineStr">
        <is>
          <t>민재홍</t>
        </is>
      </c>
      <c r="K3290" s="46" t="n">
        <v>3289</v>
      </c>
      <c r="L3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1">
      <c r="A3291" s="229" t="n">
        <v>46264</v>
      </c>
      <c r="B3291" s="46" t="inlineStr">
        <is>
          <t>메모</t>
        </is>
      </c>
      <c r="C3291" s="46" t="inlineStr">
        <is>
          <t>부천지역</t>
        </is>
      </c>
      <c r="D3291" s="46" t="inlineStr">
        <is>
          <t>허창수휴가</t>
        </is>
      </c>
      <c r="E3291" s="46" t="n"/>
      <c r="F3291" s="46" t="n"/>
      <c r="G3291" s="50" t="n"/>
      <c r="H3291" s="51" t="n"/>
      <c r="I3291" s="46" t="n"/>
      <c r="K3291" s="46" t="n">
        <v>3290</v>
      </c>
      <c r="L3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2">
      <c r="A3292" s="229" t="n">
        <v>46264</v>
      </c>
      <c r="B3292" s="46" t="inlineStr">
        <is>
          <t>메모</t>
        </is>
      </c>
      <c r="C3292" s="46" t="inlineStr">
        <is>
          <t>부천지역</t>
        </is>
      </c>
      <c r="D3292" s="46" t="inlineStr">
        <is>
          <t>한태희 휴가</t>
        </is>
      </c>
      <c r="E3292" s="46" t="n"/>
      <c r="F3292" s="46" t="n"/>
      <c r="G3292" s="50" t="n"/>
      <c r="H3292" s="51" t="n"/>
      <c r="I3292" s="46" t="n"/>
      <c r="K3292" s="46" t="n">
        <v>3291</v>
      </c>
      <c r="L3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3">
      <c r="A3293" s="229" t="n">
        <v>46264</v>
      </c>
      <c r="B3293" s="46" t="inlineStr">
        <is>
          <t>메모</t>
        </is>
      </c>
      <c r="C3293" s="46" t="inlineStr">
        <is>
          <t>부천지역</t>
        </is>
      </c>
      <c r="D3293" s="46" t="inlineStr">
        <is>
          <t>변종국휴가</t>
        </is>
      </c>
      <c r="E3293" s="46" t="n"/>
      <c r="F3293" s="46" t="n"/>
      <c r="G3293" s="50" t="n"/>
      <c r="H3293" s="51" t="n"/>
      <c r="I3293" s="46" t="n"/>
      <c r="K3293" s="46" t="n">
        <v>3292</v>
      </c>
      <c r="L3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4">
      <c r="A3294" s="229" t="n">
        <v>46264</v>
      </c>
      <c r="B3294" s="46" t="inlineStr">
        <is>
          <t>메모</t>
        </is>
      </c>
      <c r="C3294" s="46" t="inlineStr">
        <is>
          <t>부천지역</t>
        </is>
      </c>
      <c r="D3294" s="46" t="inlineStr">
        <is>
          <t>이덕기휴가</t>
        </is>
      </c>
      <c r="E3294" s="46" t="n"/>
      <c r="F3294" s="46" t="n"/>
      <c r="G3294" s="50" t="n"/>
      <c r="H3294" s="51" t="n"/>
      <c r="I3294" s="46" t="n"/>
      <c r="K3294" s="46" t="n">
        <v>3293</v>
      </c>
      <c r="L3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5">
      <c r="A3295" s="229" t="n">
        <v>46264</v>
      </c>
      <c r="B3295" s="46" t="inlineStr">
        <is>
          <t>메모</t>
        </is>
      </c>
      <c r="C3295" s="46" t="inlineStr">
        <is>
          <t>부천지역</t>
        </is>
      </c>
      <c r="D3295" s="46" t="inlineStr">
        <is>
          <t>민재홍휴가</t>
        </is>
      </c>
      <c r="E3295" s="46" t="n"/>
      <c r="F3295" s="46" t="n"/>
      <c r="G3295" s="50" t="n"/>
      <c r="H3295" s="51" t="n"/>
      <c r="I3295" s="46" t="n"/>
      <c r="K3295" s="46" t="n">
        <v>3294</v>
      </c>
      <c r="L3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6">
      <c r="A3296" s="229" t="n">
        <v>46264</v>
      </c>
      <c r="B3296" s="46" t="inlineStr">
        <is>
          <t>메모</t>
        </is>
      </c>
      <c r="C3296" s="46" t="inlineStr">
        <is>
          <t>부천지역</t>
        </is>
      </c>
      <c r="D3296" s="46" t="inlineStr">
        <is>
          <t>서수형휴가</t>
        </is>
      </c>
      <c r="E3296" s="46" t="n"/>
      <c r="F3296" s="46" t="n"/>
      <c r="G3296" s="50" t="n"/>
      <c r="H3296" s="51" t="n"/>
      <c r="I3296" s="46" t="n"/>
      <c r="K3296" s="46" t="n">
        <v>3295</v>
      </c>
      <c r="L3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7">
      <c r="A3297" s="229" t="n">
        <v>46265</v>
      </c>
      <c r="B3297" s="46" t="inlineStr">
        <is>
          <t>정기검사</t>
        </is>
      </c>
      <c r="C3297" s="46" t="inlineStr">
        <is>
          <t>부천지역</t>
        </is>
      </c>
      <c r="D3297" s="46" t="inlineStr">
        <is>
          <t>비이엠</t>
        </is>
      </c>
      <c r="E3297" s="46" t="n">
        <v>990</v>
      </c>
      <c r="F3297" s="46" t="inlineStr">
        <is>
          <t>대장동</t>
        </is>
      </c>
      <c r="G3297" s="50" t="n">
        <v>0.3958333333333333</v>
      </c>
      <c r="H3297" s="51" t="n">
        <v>902990</v>
      </c>
      <c r="I3297" s="46" t="inlineStr">
        <is>
          <t>서수형</t>
        </is>
      </c>
      <c r="K3297" s="46" t="n">
        <v>3296</v>
      </c>
      <c r="L3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8">
      <c r="A3298" s="229" t="n">
        <v>46265</v>
      </c>
      <c r="B3298" s="46" t="inlineStr">
        <is>
          <t>정기검사</t>
        </is>
      </c>
      <c r="C3298" s="46" t="inlineStr">
        <is>
          <t>부천지역</t>
        </is>
      </c>
      <c r="D3298" s="46" t="inlineStr">
        <is>
          <t>비이엠</t>
        </is>
      </c>
      <c r="E3298" s="46" t="n">
        <v>991</v>
      </c>
      <c r="F3298" s="46" t="inlineStr">
        <is>
          <t>대장동</t>
        </is>
      </c>
      <c r="G3298" s="50" t="n">
        <v>0.3958333333333333</v>
      </c>
      <c r="H3298" s="51" t="n">
        <v>902990</v>
      </c>
      <c r="I3298" s="46" t="inlineStr">
        <is>
          <t>허창수</t>
        </is>
      </c>
      <c r="K3298" s="46" t="n">
        <v>3297</v>
      </c>
      <c r="L3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9">
      <c r="A3299" s="229" t="n">
        <v>46265</v>
      </c>
      <c r="B3299" s="46" t="inlineStr">
        <is>
          <t>정기검사</t>
        </is>
      </c>
      <c r="C3299" s="46" t="inlineStr">
        <is>
          <t>부천지역</t>
        </is>
      </c>
      <c r="D3299" s="46" t="inlineStr">
        <is>
          <t>비이엠</t>
        </is>
      </c>
      <c r="E3299" s="46" t="n">
        <v>992</v>
      </c>
      <c r="F3299" s="46" t="inlineStr">
        <is>
          <t>대장동</t>
        </is>
      </c>
      <c r="G3299" s="50" t="n">
        <v>0.4375</v>
      </c>
      <c r="H3299" s="51" t="n">
        <v>902991</v>
      </c>
      <c r="I3299" s="46" t="inlineStr">
        <is>
          <t>허창수</t>
        </is>
      </c>
      <c r="K3299" s="46" t="n">
        <v>3298</v>
      </c>
      <c r="L3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0">
      <c r="A3300" s="229" t="n">
        <v>46265</v>
      </c>
      <c r="B3300" s="46" t="inlineStr">
        <is>
          <t>정기검사</t>
        </is>
      </c>
      <c r="C3300" s="46" t="inlineStr">
        <is>
          <t>부천지역</t>
        </is>
      </c>
      <c r="D3300" s="46" t="inlineStr">
        <is>
          <t>우리조명상사</t>
        </is>
      </c>
      <c r="E3300" s="46" t="n">
        <v>290</v>
      </c>
      <c r="F3300" s="46" t="inlineStr">
        <is>
          <t>도당동</t>
        </is>
      </c>
      <c r="G3300" s="50" t="n">
        <v>0.5</v>
      </c>
      <c r="H3300" s="51" t="n">
        <v>515130</v>
      </c>
      <c r="I3300" s="46" t="inlineStr">
        <is>
          <t>송낙명</t>
        </is>
      </c>
      <c r="K3300" s="46" t="n">
        <v>3299</v>
      </c>
      <c r="L3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1">
      <c r="A3301" s="229" t="n">
        <v>46265</v>
      </c>
      <c r="B3301" s="46" t="inlineStr">
        <is>
          <t>정기검사</t>
        </is>
      </c>
      <c r="C3301" s="46" t="inlineStr">
        <is>
          <t>부천지역</t>
        </is>
      </c>
      <c r="D3301" s="46" t="inlineStr">
        <is>
          <t>중동</t>
        </is>
      </c>
      <c r="E3301" s="46" t="n">
        <v>5</v>
      </c>
      <c r="F3301" s="46" t="inlineStr">
        <is>
          <t>중동</t>
        </is>
      </c>
      <c r="G3301" s="50" t="n">
        <v>0.4791666666666667</v>
      </c>
      <c r="H3301" s="51" t="n">
        <v>89870</v>
      </c>
      <c r="I3301" s="46" t="inlineStr">
        <is>
          <t>한태희</t>
        </is>
      </c>
      <c r="K3301" s="46" t="n">
        <v>3300</v>
      </c>
      <c r="L3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2">
      <c r="A3302" s="229" t="n">
        <v>46265</v>
      </c>
      <c r="B3302" s="46" t="inlineStr">
        <is>
          <t>정기검사</t>
        </is>
      </c>
      <c r="C3302" s="46" t="inlineStr">
        <is>
          <t>부천지역</t>
        </is>
      </c>
      <c r="D3302" s="46" t="inlineStr">
        <is>
          <t>포스타호텔</t>
        </is>
      </c>
      <c r="E3302" s="46" t="n">
        <v>300</v>
      </c>
      <c r="F3302" s="46" t="inlineStr">
        <is>
          <t>오정동</t>
        </is>
      </c>
      <c r="G3302" s="50" t="n">
        <v>0.4791666666666667</v>
      </c>
      <c r="H3302" s="51" t="n">
        <v>521730</v>
      </c>
      <c r="I3302" s="46" t="inlineStr">
        <is>
          <t>서수형</t>
        </is>
      </c>
      <c r="K3302" s="46" t="n">
        <v>3301</v>
      </c>
      <c r="L3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3">
      <c r="A3303" s="229" t="n">
        <v>46265</v>
      </c>
      <c r="B3303" s="46" t="inlineStr">
        <is>
          <t>정기검사</t>
        </is>
      </c>
      <c r="C3303" s="46" t="inlineStr">
        <is>
          <t>김포지역</t>
        </is>
      </c>
      <c r="D3303" s="46" t="inlineStr">
        <is>
          <t>아트센터</t>
        </is>
      </c>
      <c r="E3303" s="46" t="n">
        <v>150</v>
      </c>
      <c r="F3303" s="46" t="inlineStr">
        <is>
          <t>운양동</t>
        </is>
      </c>
      <c r="G3303" s="50" t="n">
        <v>0.3958333333333333</v>
      </c>
      <c r="H3303" s="51" t="n">
        <v>399300</v>
      </c>
      <c r="I3303" s="46" t="inlineStr">
        <is>
          <t>이종석</t>
        </is>
      </c>
      <c r="K3303" s="46" t="n">
        <v>3302</v>
      </c>
      <c r="L3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4">
      <c r="A3304" s="229" t="n">
        <v>46265</v>
      </c>
      <c r="B3304" s="46" t="inlineStr">
        <is>
          <t>정기검사</t>
        </is>
      </c>
      <c r="C3304" s="46" t="inlineStr">
        <is>
          <t>김포지역</t>
        </is>
      </c>
      <c r="D3304" s="46" t="inlineStr">
        <is>
          <t>아코텍</t>
        </is>
      </c>
      <c r="E3304" s="46" t="n">
        <v>290</v>
      </c>
      <c r="F3304" s="46" t="inlineStr">
        <is>
          <t>가현리</t>
        </is>
      </c>
      <c r="G3304" s="50" t="n">
        <v>0.4375</v>
      </c>
      <c r="H3304" s="51" t="n">
        <v>515130</v>
      </c>
      <c r="I3304" s="46" t="inlineStr">
        <is>
          <t>허록종</t>
        </is>
      </c>
      <c r="K3304" s="46" t="n">
        <v>3303</v>
      </c>
      <c r="L3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5">
      <c r="A3305" s="229" t="n">
        <v>46265</v>
      </c>
      <c r="B3305" s="46" t="inlineStr">
        <is>
          <t>정기검사</t>
        </is>
      </c>
      <c r="C3305" s="46" t="inlineStr">
        <is>
          <t>김포지역</t>
        </is>
      </c>
      <c r="D3305" s="46" t="inlineStr">
        <is>
          <t>육군9166</t>
        </is>
      </c>
      <c r="E3305" s="46" t="n">
        <v>990</v>
      </c>
      <c r="F3305" s="46" t="inlineStr">
        <is>
          <t>서암리</t>
        </is>
      </c>
      <c r="G3305" s="50" t="n">
        <v>0.4166666666666667</v>
      </c>
      <c r="H3305" s="51" t="n">
        <v>902990</v>
      </c>
      <c r="I3305" s="46" t="inlineStr">
        <is>
          <t>김영권</t>
        </is>
      </c>
      <c r="K3305" s="46" t="n">
        <v>3304</v>
      </c>
      <c r="L3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6">
      <c r="A3306" s="229" t="n">
        <v>46265</v>
      </c>
      <c r="B3306" s="46" t="inlineStr">
        <is>
          <t>정기검사</t>
        </is>
      </c>
      <c r="C3306" s="46" t="inlineStr">
        <is>
          <t>김포지역</t>
        </is>
      </c>
      <c r="D3306" s="46" t="inlineStr">
        <is>
          <t>이브이시스</t>
        </is>
      </c>
      <c r="E3306" s="46" t="inlineStr">
        <is>
          <t>전기차</t>
        </is>
      </c>
      <c r="F3306" s="46" t="inlineStr">
        <is>
          <t>걸포동</t>
        </is>
      </c>
      <c r="G3306" s="50" t="n">
        <v>0.3958333333333333</v>
      </c>
      <c r="H3306" s="51" t="n">
        <v>98120</v>
      </c>
      <c r="I3306" s="46" t="inlineStr">
        <is>
          <t>민재홍</t>
        </is>
      </c>
      <c r="K3306" s="46" t="n">
        <v>3305</v>
      </c>
      <c r="L3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7">
      <c r="A3307" s="229" t="n">
        <v>46265</v>
      </c>
      <c r="B3307" s="46" t="inlineStr">
        <is>
          <t>사용전검사</t>
        </is>
      </c>
      <c r="C3307" s="46" t="inlineStr">
        <is>
          <t>부천지역</t>
        </is>
      </c>
      <c r="D3307" s="46" t="inlineStr">
        <is>
          <t>뉴타운</t>
        </is>
      </c>
      <c r="E3307" s="46" t="inlineStr">
        <is>
          <t>변변</t>
        </is>
      </c>
      <c r="F3307" s="46" t="n"/>
      <c r="G3307" s="50" t="n">
        <v>0.75</v>
      </c>
      <c r="H3307" s="51" t="n"/>
      <c r="I3307" s="46" t="inlineStr">
        <is>
          <t>서수형</t>
        </is>
      </c>
      <c r="K3307" s="46" t="n">
        <v>3306</v>
      </c>
      <c r="L3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8">
      <c r="A3308" s="229" t="n">
        <v>46265</v>
      </c>
      <c r="B3308" s="46" t="inlineStr">
        <is>
          <t>사용전검사</t>
        </is>
      </c>
      <c r="C3308" s="46" t="inlineStr">
        <is>
          <t>부천지역</t>
        </is>
      </c>
      <c r="D3308" s="46" t="inlineStr">
        <is>
          <t>뉴타운</t>
        </is>
      </c>
      <c r="E3308" s="46" t="inlineStr">
        <is>
          <t>변변</t>
        </is>
      </c>
      <c r="F3308" s="46" t="n"/>
      <c r="G3308" s="50" t="n">
        <v>0.7916666666666666</v>
      </c>
      <c r="H3308" s="51" t="n"/>
      <c r="I3308" s="46" t="inlineStr">
        <is>
          <t>서수형</t>
        </is>
      </c>
      <c r="K3308" s="46" t="n">
        <v>3307</v>
      </c>
      <c r="L3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9">
      <c r="A3309" s="229" t="n">
        <v>46265</v>
      </c>
      <c r="B3309" s="46" t="inlineStr">
        <is>
          <t>메모</t>
        </is>
      </c>
      <c r="C3309" s="46" t="inlineStr">
        <is>
          <t>부천지역</t>
        </is>
      </c>
      <c r="D3309" s="46" t="inlineStr">
        <is>
          <t>이덕기휴가</t>
        </is>
      </c>
      <c r="E3309" s="46" t="inlineStr">
        <is>
          <t>정성관</t>
        </is>
      </c>
      <c r="F3309" s="46" t="n"/>
      <c r="G3309" s="50" t="n"/>
      <c r="H3309" s="51" t="n"/>
      <c r="I3309" s="46" t="n"/>
      <c r="K3309" s="46" t="n">
        <v>3308</v>
      </c>
      <c r="L3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0">
      <c r="A3310" s="229" t="n">
        <v>46265</v>
      </c>
      <c r="B3310" s="46" t="inlineStr">
        <is>
          <t>메모</t>
        </is>
      </c>
      <c r="C3310" s="46" t="inlineStr">
        <is>
          <t>부천지역</t>
        </is>
      </c>
      <c r="D3310" s="46" t="inlineStr">
        <is>
          <t>정신배휴가</t>
        </is>
      </c>
      <c r="E3310" s="46" t="n"/>
      <c r="F3310" s="46" t="n"/>
      <c r="G3310" s="50" t="n"/>
      <c r="H3310" s="51" t="n"/>
      <c r="I3310" s="46" t="n"/>
      <c r="K3310" s="46" t="n">
        <v>3309</v>
      </c>
      <c r="L3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1">
      <c r="A3311" s="229" t="n">
        <v>46265</v>
      </c>
      <c r="B3311" s="46" t="inlineStr">
        <is>
          <t>메모</t>
        </is>
      </c>
      <c r="C3311" s="46" t="inlineStr">
        <is>
          <t>부천지역</t>
        </is>
      </c>
      <c r="D3311" s="46" t="inlineStr">
        <is>
          <t>변종국휴가</t>
        </is>
      </c>
      <c r="E3311" s="46" t="inlineStr">
        <is>
          <t>이종석-옹승완</t>
        </is>
      </c>
      <c r="F3311" s="46" t="n"/>
      <c r="G3311" s="50" t="n"/>
      <c r="H3311" s="51" t="n"/>
      <c r="I3311" s="46" t="n"/>
      <c r="K3311" s="46" t="n">
        <v>3310</v>
      </c>
      <c r="L3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2">
      <c r="A3312" s="229" t="n">
        <v>46265</v>
      </c>
      <c r="B3312" s="46" t="inlineStr">
        <is>
          <t>사용전검사</t>
        </is>
      </c>
      <c r="C3312" s="46" t="inlineStr">
        <is>
          <t>김포지역</t>
        </is>
      </c>
      <c r="D3312" s="46" t="inlineStr">
        <is>
          <t>영원테크</t>
        </is>
      </c>
      <c r="E3312" s="46" t="n">
        <v>149</v>
      </c>
      <c r="F3312" s="46" t="inlineStr">
        <is>
          <t>고정리</t>
        </is>
      </c>
      <c r="G3312" s="50" t="n"/>
      <c r="H3312" s="51" t="n"/>
      <c r="I3312" s="46" t="inlineStr">
        <is>
          <t>정성관</t>
        </is>
      </c>
      <c r="K3312" s="46" t="n">
        <v>3311</v>
      </c>
      <c r="L3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3">
      <c r="A3313" s="229" t="n">
        <v>46265</v>
      </c>
      <c r="B3313" s="46" t="inlineStr">
        <is>
          <t>사용전검사</t>
        </is>
      </c>
      <c r="C3313" s="46" t="inlineStr">
        <is>
          <t>김포지역</t>
        </is>
      </c>
      <c r="D3313" s="46" t="inlineStr">
        <is>
          <t>영원테크</t>
        </is>
      </c>
      <c r="E3313" s="46" t="n">
        <v>150</v>
      </c>
      <c r="F3313" s="46" t="inlineStr">
        <is>
          <t>고정리</t>
        </is>
      </c>
      <c r="G3313" s="50" t="n"/>
      <c r="H3313" s="51" t="n"/>
      <c r="I3313" s="46" t="inlineStr">
        <is>
          <t>정성관</t>
        </is>
      </c>
      <c r="K3313" s="46" t="n">
        <v>3312</v>
      </c>
      <c r="L3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4">
      <c r="A3314" s="229" t="n">
        <v>46265</v>
      </c>
      <c r="B3314" s="46" t="inlineStr">
        <is>
          <t>사용전검사</t>
        </is>
      </c>
      <c r="C3314" s="46" t="inlineStr">
        <is>
          <t>김포지역</t>
        </is>
      </c>
      <c r="D3314" s="46" t="inlineStr">
        <is>
          <t>우석에프앤비</t>
        </is>
      </c>
      <c r="E3314" s="46" t="n">
        <v>995</v>
      </c>
      <c r="F3314" s="46" t="inlineStr">
        <is>
          <t>풍무동</t>
        </is>
      </c>
      <c r="G3314" s="50" t="n"/>
      <c r="H3314" s="51" t="n"/>
      <c r="I3314" s="46" t="inlineStr">
        <is>
          <t>옹승완</t>
        </is>
      </c>
      <c r="K3314" s="46" t="n">
        <v>3313</v>
      </c>
      <c r="L3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5">
      <c r="A3315" s="229" t="n">
        <v>46265</v>
      </c>
      <c r="B3315" s="46" t="inlineStr">
        <is>
          <t>사용전검사</t>
        </is>
      </c>
      <c r="C3315" s="46" t="inlineStr">
        <is>
          <t>김포지역</t>
        </is>
      </c>
      <c r="D3315" s="46" t="inlineStr">
        <is>
          <t>태원</t>
        </is>
      </c>
      <c r="E3315" s="46" t="n">
        <v>42</v>
      </c>
      <c r="F3315" s="46" t="inlineStr">
        <is>
          <t>학운리</t>
        </is>
      </c>
      <c r="G3315" s="50" t="n"/>
      <c r="H3315" s="51" t="n"/>
      <c r="I3315" s="46" t="inlineStr">
        <is>
          <t>당효진</t>
        </is>
      </c>
      <c r="K3315" s="46" t="n">
        <v>3314</v>
      </c>
      <c r="L3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6">
      <c r="A3316" s="229" t="n">
        <v>46266</v>
      </c>
      <c r="B3316" s="46" t="inlineStr">
        <is>
          <t>정기검사</t>
        </is>
      </c>
      <c r="C3316" s="46" t="inlineStr">
        <is>
          <t>부천지역</t>
        </is>
      </c>
      <c r="D3316" s="46" t="inlineStr">
        <is>
          <t>씰솔루션21</t>
        </is>
      </c>
      <c r="E3316" s="46" t="n">
        <v>180</v>
      </c>
      <c r="F3316" s="46" t="inlineStr">
        <is>
          <t>원미동</t>
        </is>
      </c>
      <c r="G3316" s="50" t="n">
        <v>0.3958333333333333</v>
      </c>
      <c r="H3316" s="51" t="n">
        <v>443630</v>
      </c>
      <c r="I3316" s="46" t="inlineStr">
        <is>
          <t>한태희</t>
        </is>
      </c>
      <c r="K3316" s="46" t="n">
        <v>3315</v>
      </c>
      <c r="L3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7">
      <c r="A3317" s="229" t="n">
        <v>46266</v>
      </c>
      <c r="B3317" s="46" t="inlineStr">
        <is>
          <t>정기검사</t>
        </is>
      </c>
      <c r="C3317" s="46" t="inlineStr">
        <is>
          <t>부천지역</t>
        </is>
      </c>
      <c r="D3317" s="46" t="inlineStr">
        <is>
          <t>디엘건설</t>
        </is>
      </c>
      <c r="E3317" s="46" t="n">
        <v>750</v>
      </c>
      <c r="F3317" s="46" t="inlineStr">
        <is>
          <t>삼정동</t>
        </is>
      </c>
      <c r="G3317" s="50" t="n">
        <v>0.5</v>
      </c>
      <c r="H3317" s="51" t="n">
        <v>821700</v>
      </c>
      <c r="I3317" s="46" t="inlineStr">
        <is>
          <t>허창수</t>
        </is>
      </c>
      <c r="K3317" s="46" t="n">
        <v>3316</v>
      </c>
      <c r="L3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8">
      <c r="A3318" s="229" t="n">
        <v>46266</v>
      </c>
      <c r="B3318" s="46" t="inlineStr">
        <is>
          <t>정기검사</t>
        </is>
      </c>
      <c r="C3318" s="46" t="inlineStr">
        <is>
          <t>부천지역</t>
        </is>
      </c>
      <c r="D3318" s="46" t="inlineStr">
        <is>
          <t>대성자동차</t>
        </is>
      </c>
      <c r="E3318" s="46" t="n">
        <v>250</v>
      </c>
      <c r="F3318" s="46" t="inlineStr">
        <is>
          <t>내동</t>
        </is>
      </c>
      <c r="G3318" s="50" t="n">
        <v>0.4791666666666667</v>
      </c>
      <c r="H3318" s="51" t="n">
        <v>489170</v>
      </c>
      <c r="I3318" s="46" t="inlineStr">
        <is>
          <t>민재홍</t>
        </is>
      </c>
      <c r="K3318" s="46" t="n">
        <v>3317</v>
      </c>
      <c r="L3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9">
      <c r="A3319" s="229" t="n">
        <v>46266</v>
      </c>
      <c r="B3319" s="46" t="inlineStr">
        <is>
          <t>정기검사</t>
        </is>
      </c>
      <c r="C3319" s="46" t="inlineStr">
        <is>
          <t>부천지역</t>
        </is>
      </c>
      <c r="D3319" s="46" t="inlineStr">
        <is>
          <t>서해아파트</t>
        </is>
      </c>
      <c r="E3319" s="46" t="inlineStr">
        <is>
          <t>전기차</t>
        </is>
      </c>
      <c r="F3319" s="46" t="inlineStr">
        <is>
          <t>상동</t>
        </is>
      </c>
      <c r="G3319" s="50" t="n">
        <v>0.4166666666666667</v>
      </c>
      <c r="H3319" s="51" t="n"/>
      <c r="I3319" s="46" t="inlineStr">
        <is>
          <t>정성관</t>
        </is>
      </c>
      <c r="K3319" s="46" t="n">
        <v>3318</v>
      </c>
      <c r="L3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0">
      <c r="A3320" s="229" t="n">
        <v>46266</v>
      </c>
      <c r="B3320" s="46" t="inlineStr">
        <is>
          <t>정기검사</t>
        </is>
      </c>
      <c r="C3320" s="46" t="inlineStr">
        <is>
          <t>김포지역</t>
        </is>
      </c>
      <c r="D3320" s="46" t="inlineStr">
        <is>
          <t>상진</t>
        </is>
      </c>
      <c r="E3320" s="46" t="n">
        <v>990</v>
      </c>
      <c r="F3320" s="46" t="inlineStr">
        <is>
          <t>고양리</t>
        </is>
      </c>
      <c r="G3320" s="50" t="n">
        <v>0.4791666666666667</v>
      </c>
      <c r="H3320" s="51" t="n">
        <v>902990</v>
      </c>
      <c r="I3320" s="46" t="inlineStr">
        <is>
          <t>정신배</t>
        </is>
      </c>
      <c r="K3320" s="46" t="n">
        <v>3319</v>
      </c>
      <c r="L3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1">
      <c r="A3321" s="229" t="n">
        <v>46266</v>
      </c>
      <c r="B3321" s="46" t="inlineStr">
        <is>
          <t>정기검사</t>
        </is>
      </c>
      <c r="C3321" s="46" t="inlineStr">
        <is>
          <t>김포지역</t>
        </is>
      </c>
      <c r="D3321" s="46" t="inlineStr">
        <is>
          <t>비엠코리아</t>
        </is>
      </c>
      <c r="E3321" s="46" t="n">
        <v>500</v>
      </c>
      <c r="F3321" s="46" t="inlineStr">
        <is>
          <t>송마리</t>
        </is>
      </c>
      <c r="G3321" s="50" t="n">
        <v>0.4583333333333333</v>
      </c>
      <c r="H3321" s="51" t="n">
        <v>737000</v>
      </c>
      <c r="I3321" s="46" t="inlineStr">
        <is>
          <t>이종석</t>
        </is>
      </c>
      <c r="K3321" s="46" t="n">
        <v>3320</v>
      </c>
      <c r="L3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2">
      <c r="A3322" s="229" t="n">
        <v>46266</v>
      </c>
      <c r="B3322" s="46" t="inlineStr">
        <is>
          <t>정기검사</t>
        </is>
      </c>
      <c r="C3322" s="46" t="inlineStr">
        <is>
          <t>김포지역</t>
        </is>
      </c>
      <c r="D3322" s="46" t="inlineStr">
        <is>
          <t>제이트로닉스</t>
        </is>
      </c>
      <c r="E3322" s="46" t="inlineStr">
        <is>
          <t>1640/159</t>
        </is>
      </c>
      <c r="F3322" s="46" t="inlineStr">
        <is>
          <t>학운리</t>
        </is>
      </c>
      <c r="G3322" s="50" t="n">
        <v>0.4791666666666667</v>
      </c>
      <c r="H3322" s="51" t="n">
        <v>1183600</v>
      </c>
      <c r="I3322" s="46" t="inlineStr">
        <is>
          <t>옹승완</t>
        </is>
      </c>
      <c r="K3322" s="46" t="n">
        <v>3321</v>
      </c>
      <c r="L3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3">
      <c r="A3323" s="229" t="n">
        <v>46266</v>
      </c>
      <c r="B3323" s="46" t="inlineStr">
        <is>
          <t>정기검사</t>
        </is>
      </c>
      <c r="C3323" s="46" t="inlineStr">
        <is>
          <t>김포지역</t>
        </is>
      </c>
      <c r="D3323" s="46" t="inlineStr">
        <is>
          <t>신일</t>
        </is>
      </c>
      <c r="E3323" s="46" t="n">
        <v>290</v>
      </c>
      <c r="F3323" s="46" t="inlineStr">
        <is>
          <t>고양리</t>
        </is>
      </c>
      <c r="G3323" s="50" t="n">
        <v>0.6666666666666666</v>
      </c>
      <c r="H3323" s="51" t="n">
        <v>515130</v>
      </c>
      <c r="I3323" s="46" t="inlineStr">
        <is>
          <t>허록종</t>
        </is>
      </c>
      <c r="K3323" s="46" t="n">
        <v>3322</v>
      </c>
      <c r="L3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4">
      <c r="A3324" s="229" t="n">
        <v>46266</v>
      </c>
      <c r="B3324" s="46" t="inlineStr">
        <is>
          <t>정기검사</t>
        </is>
      </c>
      <c r="C3324" s="46" t="inlineStr">
        <is>
          <t>김포지역</t>
        </is>
      </c>
      <c r="D3324" s="46" t="inlineStr">
        <is>
          <t>롯데글로벌지스</t>
        </is>
      </c>
      <c r="E3324" s="46" t="n">
        <v>1600</v>
      </c>
      <c r="F3324" s="46" t="inlineStr">
        <is>
          <t>흥신리</t>
        </is>
      </c>
      <c r="G3324" s="50" t="n">
        <v>0.5625</v>
      </c>
      <c r="H3324" s="51" t="n">
        <v>994180</v>
      </c>
      <c r="I3324" s="46" t="inlineStr">
        <is>
          <t>정성관</t>
        </is>
      </c>
      <c r="K3324" s="46" t="n">
        <v>3323</v>
      </c>
      <c r="L3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5">
      <c r="A3325" s="229" t="n">
        <v>46266</v>
      </c>
      <c r="B3325" s="46" t="inlineStr">
        <is>
          <t>정기검사</t>
        </is>
      </c>
      <c r="C3325" s="46" t="inlineStr">
        <is>
          <t>김포지역</t>
        </is>
      </c>
      <c r="D3325" s="46" t="inlineStr">
        <is>
          <t>엘림교회</t>
        </is>
      </c>
      <c r="E3325" s="46" t="n">
        <v>13.5</v>
      </c>
      <c r="F3325" s="46" t="inlineStr">
        <is>
          <t>유현리</t>
        </is>
      </c>
      <c r="G3325" s="50" t="n">
        <v>0.3958333333333333</v>
      </c>
      <c r="H3325" s="51" t="n">
        <v>92510</v>
      </c>
      <c r="I3325" s="46" t="inlineStr">
        <is>
          <t>정신배</t>
        </is>
      </c>
      <c r="K3325" s="46" t="n">
        <v>3324</v>
      </c>
      <c r="L3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6">
      <c r="A3326" s="229" t="n">
        <v>46266</v>
      </c>
      <c r="B3326" s="46" t="inlineStr">
        <is>
          <t>정기검사</t>
        </is>
      </c>
      <c r="C3326" s="46" t="inlineStr">
        <is>
          <t>김포지역</t>
        </is>
      </c>
      <c r="D3326" s="46" t="inlineStr">
        <is>
          <t>대림산업</t>
        </is>
      </c>
      <c r="E3326" s="46" t="n">
        <v>290</v>
      </c>
      <c r="F3326" s="46" t="inlineStr">
        <is>
          <t>대명리</t>
        </is>
      </c>
      <c r="G3326" s="50" t="n">
        <v>0.2916666666666667</v>
      </c>
      <c r="H3326" s="51" t="n">
        <v>669790</v>
      </c>
      <c r="I3326" s="46" t="inlineStr">
        <is>
          <t>정성관</t>
        </is>
      </c>
      <c r="K3326" s="46" t="n">
        <v>3325</v>
      </c>
      <c r="L3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7">
      <c r="A3327" s="229" t="n">
        <v>46266</v>
      </c>
      <c r="B3327" s="46" t="inlineStr">
        <is>
          <t>사용전검사</t>
        </is>
      </c>
      <c r="C3327" s="46" t="inlineStr">
        <is>
          <t>부천지역</t>
        </is>
      </c>
      <c r="D3327" s="46" t="inlineStr">
        <is>
          <t>하나님의교회</t>
        </is>
      </c>
      <c r="E3327" s="46" t="n">
        <v>130</v>
      </c>
      <c r="F3327" s="46" t="inlineStr">
        <is>
          <t>작동</t>
        </is>
      </c>
      <c r="G3327" s="50" t="n"/>
      <c r="H3327" s="51" t="n"/>
      <c r="I3327" s="46" t="inlineStr">
        <is>
          <t>김영권</t>
        </is>
      </c>
      <c r="K3327" s="46" t="n">
        <v>3326</v>
      </c>
      <c r="L3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8">
      <c r="A3328" s="229" t="n">
        <v>46266</v>
      </c>
      <c r="B3328" s="46" t="inlineStr">
        <is>
          <t>사용전검사</t>
        </is>
      </c>
      <c r="C3328" s="46" t="inlineStr">
        <is>
          <t>부천지역</t>
        </is>
      </c>
      <c r="D3328" s="46" t="inlineStr">
        <is>
          <t>당구장</t>
        </is>
      </c>
      <c r="E3328" s="46" t="n">
        <v>30</v>
      </c>
      <c r="F3328" s="46" t="inlineStr">
        <is>
          <t>춘의동</t>
        </is>
      </c>
      <c r="G3328" s="50" t="n"/>
      <c r="H3328" s="51" t="n"/>
      <c r="I3328" s="46" t="inlineStr">
        <is>
          <t>서수형</t>
        </is>
      </c>
      <c r="K3328" s="46" t="n">
        <v>3327</v>
      </c>
      <c r="L3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9">
      <c r="A3329" s="229" t="n">
        <v>46266</v>
      </c>
      <c r="B3329" s="46" t="inlineStr">
        <is>
          <t>사용전검사</t>
        </is>
      </c>
      <c r="C3329" s="46" t="inlineStr">
        <is>
          <t>부천지역</t>
        </is>
      </c>
      <c r="D3329" s="46" t="inlineStr">
        <is>
          <t>이명재</t>
        </is>
      </c>
      <c r="E3329" s="46" t="n">
        <v>25</v>
      </c>
      <c r="F3329" s="46" t="inlineStr">
        <is>
          <t>송내동</t>
        </is>
      </c>
      <c r="G3329" s="50" t="n"/>
      <c r="H3329" s="51" t="n"/>
      <c r="I3329" s="46" t="inlineStr">
        <is>
          <t>송낙명</t>
        </is>
      </c>
      <c r="K3329" s="46" t="n">
        <v>3328</v>
      </c>
      <c r="L3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0">
      <c r="A3330" s="229" t="n">
        <v>46266</v>
      </c>
      <c r="B3330" s="46" t="inlineStr">
        <is>
          <t>사용전검사</t>
        </is>
      </c>
      <c r="C3330" s="46" t="inlineStr">
        <is>
          <t>부천지역</t>
        </is>
      </c>
      <c r="D3330" s="46" t="inlineStr">
        <is>
          <t>부천낭만포차</t>
        </is>
      </c>
      <c r="E3330" s="46" t="n">
        <v>20</v>
      </c>
      <c r="F3330" s="46" t="inlineStr">
        <is>
          <t>고강동</t>
        </is>
      </c>
      <c r="G3330" s="50" t="n"/>
      <c r="H3330" s="51" t="n"/>
      <c r="I3330" s="46" t="inlineStr">
        <is>
          <t>김영권</t>
        </is>
      </c>
      <c r="K3330" s="46" t="n">
        <v>3329</v>
      </c>
      <c r="L3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1">
      <c r="A3331" s="229" t="n">
        <v>46266</v>
      </c>
      <c r="B3331" s="46" t="inlineStr">
        <is>
          <t>사용전검사</t>
        </is>
      </c>
      <c r="C3331" s="46" t="inlineStr">
        <is>
          <t>부천지역</t>
        </is>
      </c>
      <c r="D3331" s="46" t="inlineStr">
        <is>
          <t>3차가로주택</t>
        </is>
      </c>
      <c r="E3331" s="46" t="n">
        <v>14.72</v>
      </c>
      <c r="F3331" s="46" t="n"/>
      <c r="G3331" s="50" t="n"/>
      <c r="H3331" s="51" t="n"/>
      <c r="I3331" s="46" t="inlineStr">
        <is>
          <t>옹승완</t>
        </is>
      </c>
      <c r="K3331" s="46" t="n">
        <v>3330</v>
      </c>
      <c r="L3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2">
      <c r="A3332" s="229" t="n">
        <v>46266</v>
      </c>
      <c r="B3332" s="46" t="inlineStr">
        <is>
          <t>사용전검사</t>
        </is>
      </c>
      <c r="C3332" s="46" t="inlineStr">
        <is>
          <t>김포지역</t>
        </is>
      </c>
      <c r="D3332" s="46" t="inlineStr">
        <is>
          <t>삼우1</t>
        </is>
      </c>
      <c r="E3332" s="46" t="n">
        <v>89</v>
      </c>
      <c r="F3332" s="46" t="inlineStr">
        <is>
          <t>가현리</t>
        </is>
      </c>
      <c r="G3332" s="50" t="n"/>
      <c r="H3332" s="51" t="n"/>
      <c r="I3332" s="46" t="inlineStr">
        <is>
          <t>당효진</t>
        </is>
      </c>
      <c r="K3332" s="46" t="n">
        <v>3331</v>
      </c>
      <c r="L3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3">
      <c r="A3333" s="229" t="n">
        <v>46266</v>
      </c>
      <c r="B3333" s="46" t="inlineStr">
        <is>
          <t>사용전검사</t>
        </is>
      </c>
      <c r="C3333" s="46" t="inlineStr">
        <is>
          <t>김포지역</t>
        </is>
      </c>
      <c r="D3333" s="46" t="inlineStr">
        <is>
          <t>삼우2</t>
        </is>
      </c>
      <c r="E3333" s="46" t="n">
        <v>90</v>
      </c>
      <c r="F3333" s="46" t="inlineStr">
        <is>
          <t>가현리</t>
        </is>
      </c>
      <c r="G3333" s="50" t="n"/>
      <c r="H3333" s="51" t="n"/>
      <c r="I3333" s="46" t="inlineStr">
        <is>
          <t>당효진</t>
        </is>
      </c>
      <c r="K3333" s="46" t="n">
        <v>3332</v>
      </c>
      <c r="L3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4">
      <c r="A3334" s="229" t="n">
        <v>46266</v>
      </c>
      <c r="B3334" s="46" t="inlineStr">
        <is>
          <t>사용전검사</t>
        </is>
      </c>
      <c r="C3334" s="46" t="inlineStr">
        <is>
          <t>김포지역</t>
        </is>
      </c>
      <c r="D3334" s="46" t="inlineStr">
        <is>
          <t>삼우3</t>
        </is>
      </c>
      <c r="E3334" s="46" t="n">
        <v>91</v>
      </c>
      <c r="F3334" s="46" t="inlineStr">
        <is>
          <t>가현리</t>
        </is>
      </c>
      <c r="G3334" s="50" t="n"/>
      <c r="H3334" s="51" t="n"/>
      <c r="I3334" s="46" t="inlineStr">
        <is>
          <t>당효진</t>
        </is>
      </c>
      <c r="K3334" s="46" t="n">
        <v>3333</v>
      </c>
      <c r="L3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5">
      <c r="A3335" s="229" t="n">
        <v>46266</v>
      </c>
      <c r="B3335" s="46" t="inlineStr">
        <is>
          <t>사용전검사</t>
        </is>
      </c>
      <c r="C3335" s="46" t="inlineStr">
        <is>
          <t>김포지역</t>
        </is>
      </c>
      <c r="D3335" s="46" t="inlineStr">
        <is>
          <t>함은영</t>
        </is>
      </c>
      <c r="E3335" s="46" t="n">
        <v>35</v>
      </c>
      <c r="F3335" s="46" t="inlineStr">
        <is>
          <t>풍무동</t>
        </is>
      </c>
      <c r="G3335" s="50" t="n"/>
      <c r="H3335" s="51" t="n"/>
      <c r="I3335" s="46" t="inlineStr">
        <is>
          <t>이덕기</t>
        </is>
      </c>
      <c r="K3335" s="46" t="n">
        <v>3334</v>
      </c>
      <c r="L3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6">
      <c r="A3336" s="229" t="n">
        <v>46266</v>
      </c>
      <c r="B3336" s="46" t="inlineStr">
        <is>
          <t>사용전검사</t>
        </is>
      </c>
      <c r="C3336" s="46" t="inlineStr">
        <is>
          <t>김포지역</t>
        </is>
      </c>
      <c r="D3336" s="46" t="inlineStr">
        <is>
          <t>청진</t>
        </is>
      </c>
      <c r="E3336" s="46" t="n">
        <v>290</v>
      </c>
      <c r="F3336" s="46" t="inlineStr">
        <is>
          <t>학운리</t>
        </is>
      </c>
      <c r="G3336" s="50" t="n"/>
      <c r="H3336" s="51" t="n"/>
      <c r="I3336" s="46" t="inlineStr">
        <is>
          <t>변종국</t>
        </is>
      </c>
      <c r="K3336" s="46" t="n">
        <v>3335</v>
      </c>
      <c r="L3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7">
      <c r="A3337" s="229" t="n">
        <v>46267</v>
      </c>
      <c r="B3337" s="46" t="inlineStr">
        <is>
          <t>정기검사</t>
        </is>
      </c>
      <c r="C3337" s="46" t="inlineStr">
        <is>
          <t>부천지역</t>
        </is>
      </c>
      <c r="D3337" s="46" t="inlineStr">
        <is>
          <t>한국자동화</t>
        </is>
      </c>
      <c r="E3337" s="46" t="n">
        <v>400</v>
      </c>
      <c r="F3337" s="46" t="inlineStr">
        <is>
          <t>도당동</t>
        </is>
      </c>
      <c r="G3337" s="50" t="n">
        <v>0.5416666666666666</v>
      </c>
      <c r="H3337" s="51" t="n">
        <v>703120</v>
      </c>
      <c r="I3337" s="46" t="inlineStr">
        <is>
          <t>이종석</t>
        </is>
      </c>
      <c r="K3337" s="46" t="n">
        <v>3336</v>
      </c>
      <c r="L3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8">
      <c r="A3338" s="229" t="n">
        <v>46267</v>
      </c>
      <c r="B3338" s="46" t="inlineStr">
        <is>
          <t>정기검사</t>
        </is>
      </c>
      <c r="C3338" s="46" t="inlineStr">
        <is>
          <t>부천지역</t>
        </is>
      </c>
      <c r="D3338" s="46" t="inlineStr">
        <is>
          <t>샤인비</t>
        </is>
      </c>
      <c r="E3338" s="46" t="n">
        <v>290</v>
      </c>
      <c r="F3338" s="46" t="inlineStr">
        <is>
          <t>원미동</t>
        </is>
      </c>
      <c r="G3338" s="50" t="n">
        <v>0.4166666666666667</v>
      </c>
      <c r="H3338" s="51" t="n">
        <v>515130</v>
      </c>
      <c r="I3338" s="46" t="inlineStr">
        <is>
          <t>옹승완</t>
        </is>
      </c>
      <c r="K3338" s="46" t="n">
        <v>3337</v>
      </c>
      <c r="L3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9">
      <c r="A3339" s="229" t="n">
        <v>46267</v>
      </c>
      <c r="B3339" s="46" t="inlineStr">
        <is>
          <t>정기검사</t>
        </is>
      </c>
      <c r="C3339" s="46" t="inlineStr">
        <is>
          <t>부천지역</t>
        </is>
      </c>
      <c r="D3339" s="46" t="inlineStr">
        <is>
          <t>성미정밀</t>
        </is>
      </c>
      <c r="E3339" s="46" t="n">
        <v>300</v>
      </c>
      <c r="F3339" s="46" t="inlineStr">
        <is>
          <t>오정동</t>
        </is>
      </c>
      <c r="G3339" s="50" t="n">
        <v>0.4791666666666667</v>
      </c>
      <c r="H3339" s="51" t="n">
        <v>521730</v>
      </c>
      <c r="I3339" s="46" t="inlineStr">
        <is>
          <t>이덕기</t>
        </is>
      </c>
      <c r="K3339" s="46" t="n">
        <v>3338</v>
      </c>
      <c r="L3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0">
      <c r="A3340" s="229" t="n">
        <v>46267</v>
      </c>
      <c r="B3340" s="46" t="inlineStr">
        <is>
          <t>정기검사</t>
        </is>
      </c>
      <c r="C3340" s="46" t="inlineStr">
        <is>
          <t>김포지역</t>
        </is>
      </c>
      <c r="D3340" s="46" t="inlineStr">
        <is>
          <t>대한비철금속</t>
        </is>
      </c>
      <c r="E3340" s="46" t="n">
        <v>295</v>
      </c>
      <c r="F3340" s="46" t="inlineStr">
        <is>
          <t>고양리</t>
        </is>
      </c>
      <c r="G3340" s="50" t="n">
        <v>0.5</v>
      </c>
      <c r="H3340" s="51" t="n">
        <v>767470</v>
      </c>
      <c r="I3340" s="46" t="inlineStr">
        <is>
          <t>서수형</t>
        </is>
      </c>
      <c r="K3340" s="46" t="n">
        <v>3339</v>
      </c>
      <c r="L3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1">
      <c r="A3341" s="229" t="n">
        <v>46267</v>
      </c>
      <c r="B3341" s="46" t="inlineStr">
        <is>
          <t>정기검사</t>
        </is>
      </c>
      <c r="C3341" s="46" t="inlineStr">
        <is>
          <t>김포지역</t>
        </is>
      </c>
      <c r="D3341" s="46" t="inlineStr">
        <is>
          <t>하늘태양광</t>
        </is>
      </c>
      <c r="E3341" s="46" t="n">
        <v>19</v>
      </c>
      <c r="F3341" s="46" t="inlineStr">
        <is>
          <t>시암리</t>
        </is>
      </c>
      <c r="G3341" s="50" t="n">
        <v>0.4583333333333333</v>
      </c>
      <c r="H3341" s="51" t="n">
        <v>94380</v>
      </c>
      <c r="I3341" s="46" t="inlineStr">
        <is>
          <t>허록종</t>
        </is>
      </c>
      <c r="K3341" s="46" t="n">
        <v>3340</v>
      </c>
      <c r="L3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2">
      <c r="A3342" s="229" t="n">
        <v>46267</v>
      </c>
      <c r="B3342" s="46" t="inlineStr">
        <is>
          <t>정기검사</t>
        </is>
      </c>
      <c r="C3342" s="46" t="inlineStr">
        <is>
          <t>김포지역</t>
        </is>
      </c>
      <c r="D3342" s="46" t="inlineStr">
        <is>
          <t>한화아파트</t>
        </is>
      </c>
      <c r="E3342" s="46" t="inlineStr">
        <is>
          <t>1500/364</t>
        </is>
      </c>
      <c r="F3342" s="46" t="inlineStr">
        <is>
          <t>고촌</t>
        </is>
      </c>
      <c r="G3342" s="50" t="n">
        <v>0.4166666666666667</v>
      </c>
      <c r="H3342" s="51" t="n">
        <v>1207470</v>
      </c>
      <c r="I3342" s="46" t="inlineStr">
        <is>
          <t>김영권</t>
        </is>
      </c>
      <c r="K3342" s="46" t="n">
        <v>3341</v>
      </c>
      <c r="L3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3">
      <c r="A3343" s="229" t="n">
        <v>46267</v>
      </c>
      <c r="B3343" s="46" t="inlineStr">
        <is>
          <t>정기검사</t>
        </is>
      </c>
      <c r="C3343" s="46" t="inlineStr">
        <is>
          <t>김포지역</t>
        </is>
      </c>
      <c r="D3343" s="46" t="inlineStr">
        <is>
          <t>서암주공</t>
        </is>
      </c>
      <c r="E3343" s="46" t="inlineStr">
        <is>
          <t>전기차</t>
        </is>
      </c>
      <c r="F3343" s="46" t="inlineStr">
        <is>
          <t>서암리</t>
        </is>
      </c>
      <c r="G3343" s="50" t="n">
        <v>0.4166666666666667</v>
      </c>
      <c r="H3343" s="51" t="n">
        <v>216700</v>
      </c>
      <c r="I3343" s="46" t="inlineStr">
        <is>
          <t>정신배</t>
        </is>
      </c>
      <c r="K3343" s="46" t="n">
        <v>3342</v>
      </c>
      <c r="L3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4">
      <c r="A3344" s="229" t="n">
        <v>46267</v>
      </c>
      <c r="B3344" s="46" t="inlineStr">
        <is>
          <t>정기검사</t>
        </is>
      </c>
      <c r="C3344" s="46" t="inlineStr">
        <is>
          <t>김포지역</t>
        </is>
      </c>
      <c r="D3344" s="46" t="inlineStr">
        <is>
          <t>서암주공</t>
        </is>
      </c>
      <c r="E3344" s="46" t="inlineStr">
        <is>
          <t>1450/450</t>
        </is>
      </c>
      <c r="F3344" s="46" t="inlineStr">
        <is>
          <t>서암리</t>
        </is>
      </c>
      <c r="G3344" s="50" t="n">
        <v>0.4166666666666667</v>
      </c>
      <c r="H3344" s="51" t="n">
        <v>1218690</v>
      </c>
      <c r="I3344" s="46" t="inlineStr">
        <is>
          <t>정신배</t>
        </is>
      </c>
      <c r="K3344" s="46" t="n">
        <v>3343</v>
      </c>
      <c r="L3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5">
      <c r="A3345" s="229" t="n">
        <v>46267</v>
      </c>
      <c r="B3345" s="46" t="inlineStr">
        <is>
          <t>정기검사</t>
        </is>
      </c>
      <c r="C3345" s="46" t="inlineStr">
        <is>
          <t>김포지역</t>
        </is>
      </c>
      <c r="D3345" s="46" t="inlineStr">
        <is>
          <t>합동종합운수</t>
        </is>
      </c>
      <c r="E3345" s="46" t="n">
        <v>20</v>
      </c>
      <c r="F3345" s="46" t="inlineStr">
        <is>
          <t>원산리</t>
        </is>
      </c>
      <c r="G3345" s="50" t="n">
        <v>0.5416666666666666</v>
      </c>
      <c r="H3345" s="51" t="n">
        <v>94600</v>
      </c>
      <c r="I3345" s="46" t="n"/>
      <c r="K3345" s="46" t="n">
        <v>3344</v>
      </c>
      <c r="L3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6">
      <c r="A3346" s="229" t="n">
        <v>46267</v>
      </c>
      <c r="B3346" s="46" t="inlineStr">
        <is>
          <t>사용전검사</t>
        </is>
      </c>
      <c r="C3346" s="46" t="inlineStr">
        <is>
          <t>부천지역</t>
        </is>
      </c>
      <c r="D3346" s="46" t="inlineStr">
        <is>
          <t>지에스리테일</t>
        </is>
      </c>
      <c r="E3346" s="46" t="n">
        <v>19</v>
      </c>
      <c r="F3346" s="46" t="inlineStr">
        <is>
          <t>원종동</t>
        </is>
      </c>
      <c r="G3346" s="50" t="n"/>
      <c r="H3346" s="51" t="n"/>
      <c r="I3346" s="46" t="inlineStr">
        <is>
          <t>변종국</t>
        </is>
      </c>
      <c r="K3346" s="46" t="n">
        <v>3345</v>
      </c>
      <c r="L3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7">
      <c r="A3347" s="229" t="n">
        <v>46267</v>
      </c>
      <c r="B3347" s="46" t="inlineStr">
        <is>
          <t>메모</t>
        </is>
      </c>
      <c r="C3347" s="46" t="inlineStr">
        <is>
          <t>부천지역</t>
        </is>
      </c>
      <c r="D3347" s="46" t="inlineStr">
        <is>
          <t>송낙명휴가</t>
        </is>
      </c>
      <c r="E3347" s="46" t="n"/>
      <c r="F3347" s="46" t="n"/>
      <c r="G3347" s="50" t="n"/>
      <c r="H3347" s="51" t="n"/>
      <c r="I3347" s="46" t="n"/>
      <c r="K3347" s="46" t="n">
        <v>3346</v>
      </c>
      <c r="L3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8">
      <c r="A3348" s="229" t="n">
        <v>46267</v>
      </c>
      <c r="B3348" s="46" t="inlineStr">
        <is>
          <t>사용전검사</t>
        </is>
      </c>
      <c r="C3348" s="46" t="inlineStr">
        <is>
          <t>김포지역</t>
        </is>
      </c>
      <c r="D3348" s="46" t="inlineStr">
        <is>
          <t>윤순이</t>
        </is>
      </c>
      <c r="E3348" s="46" t="n">
        <v>30</v>
      </c>
      <c r="F3348" s="46" t="inlineStr">
        <is>
          <t>석탄리</t>
        </is>
      </c>
      <c r="G3348" s="50" t="n"/>
      <c r="H3348" s="51" t="n"/>
      <c r="I3348" s="46" t="inlineStr">
        <is>
          <t>당효진</t>
        </is>
      </c>
      <c r="K3348" s="46" t="n">
        <v>3347</v>
      </c>
      <c r="L3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9">
      <c r="A3349" s="229" t="n">
        <v>46267</v>
      </c>
      <c r="B3349" s="46" t="inlineStr">
        <is>
          <t>사용전검사</t>
        </is>
      </c>
      <c r="C3349" s="46" t="inlineStr">
        <is>
          <t>김포지역</t>
        </is>
      </c>
      <c r="D3349" s="46" t="inlineStr">
        <is>
          <t>현우</t>
        </is>
      </c>
      <c r="E3349" s="46" t="n">
        <v>352</v>
      </c>
      <c r="F3349" s="46" t="inlineStr">
        <is>
          <t>후평리</t>
        </is>
      </c>
      <c r="G3349" s="50" t="n"/>
      <c r="H3349" s="51" t="n"/>
      <c r="I3349" s="46" t="inlineStr">
        <is>
          <t>당효진</t>
        </is>
      </c>
      <c r="K3349" s="46" t="n">
        <v>3348</v>
      </c>
      <c r="L3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0">
      <c r="A3350" s="229" t="n">
        <v>46267</v>
      </c>
      <c r="B3350" s="46" t="inlineStr">
        <is>
          <t>사용전검사</t>
        </is>
      </c>
      <c r="C3350" s="46" t="inlineStr">
        <is>
          <t>김포지역</t>
        </is>
      </c>
      <c r="D3350" s="46" t="inlineStr">
        <is>
          <t>민지3</t>
        </is>
      </c>
      <c r="E3350" s="46" t="n">
        <v>61</v>
      </c>
      <c r="F3350" s="46" t="inlineStr">
        <is>
          <t>학운리</t>
        </is>
      </c>
      <c r="G3350" s="50" t="n"/>
      <c r="H3350" s="51" t="n"/>
      <c r="I3350" s="46" t="inlineStr">
        <is>
          <t>허창수</t>
        </is>
      </c>
      <c r="K3350" s="46" t="n">
        <v>3349</v>
      </c>
      <c r="L3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1">
      <c r="A3351" s="229" t="n">
        <v>46267</v>
      </c>
      <c r="B3351" s="46" t="inlineStr">
        <is>
          <t>사용전검사</t>
        </is>
      </c>
      <c r="C3351" s="46" t="inlineStr">
        <is>
          <t>김포지역</t>
        </is>
      </c>
      <c r="D3351" s="46" t="inlineStr">
        <is>
          <t>해식2</t>
        </is>
      </c>
      <c r="E3351" s="46" t="n">
        <v>61</v>
      </c>
      <c r="F3351" s="46" t="inlineStr">
        <is>
          <t>학운리</t>
        </is>
      </c>
      <c r="G3351" s="50" t="n"/>
      <c r="H3351" s="51" t="n"/>
      <c r="I3351" s="46" t="inlineStr">
        <is>
          <t>허창수</t>
        </is>
      </c>
      <c r="K3351" s="46" t="n">
        <v>3350</v>
      </c>
      <c r="L3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2">
      <c r="A3352" s="229" t="n">
        <v>46267</v>
      </c>
      <c r="B3352" s="46" t="inlineStr">
        <is>
          <t>사용전검사</t>
        </is>
      </c>
      <c r="C3352" s="46" t="inlineStr">
        <is>
          <t>김포지역</t>
        </is>
      </c>
      <c r="D3352" s="46" t="inlineStr">
        <is>
          <t>두성1호</t>
        </is>
      </c>
      <c r="E3352" s="46" t="n">
        <v>61</v>
      </c>
      <c r="F3352" s="46" t="inlineStr">
        <is>
          <t>학운리</t>
        </is>
      </c>
      <c r="G3352" s="50" t="n"/>
      <c r="H3352" s="51" t="n"/>
      <c r="I3352" s="46" t="inlineStr">
        <is>
          <t>허창수</t>
        </is>
      </c>
      <c r="K3352" s="46" t="n">
        <v>3351</v>
      </c>
      <c r="L3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3">
      <c r="A3353" s="229" t="n">
        <v>46268</v>
      </c>
      <c r="B3353" s="46" t="inlineStr">
        <is>
          <t>정기검사</t>
        </is>
      </c>
      <c r="C3353" s="46" t="inlineStr">
        <is>
          <t>부천지역</t>
        </is>
      </c>
      <c r="D3353" s="46" t="inlineStr">
        <is>
          <t>에스에스빌딩</t>
        </is>
      </c>
      <c r="E3353" s="46" t="n">
        <v>300</v>
      </c>
      <c r="F3353" s="46" t="inlineStr">
        <is>
          <t>소사동</t>
        </is>
      </c>
      <c r="G3353" s="50" t="n">
        <v>0.3958333333333333</v>
      </c>
      <c r="H3353" s="51" t="n">
        <v>521730</v>
      </c>
      <c r="I3353" s="46" t="inlineStr">
        <is>
          <t>허록종</t>
        </is>
      </c>
      <c r="K3353" s="46" t="n">
        <v>3352</v>
      </c>
      <c r="L3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4">
      <c r="A3354" s="229" t="n">
        <v>46268</v>
      </c>
      <c r="B3354" s="46" t="inlineStr">
        <is>
          <t>정기검사</t>
        </is>
      </c>
      <c r="C3354" s="46" t="inlineStr">
        <is>
          <t>부천지역</t>
        </is>
      </c>
      <c r="D3354" s="46" t="inlineStr">
        <is>
          <t>관우프라자</t>
        </is>
      </c>
      <c r="E3354" s="46" t="n">
        <v>300</v>
      </c>
      <c r="F3354" s="46" t="inlineStr">
        <is>
          <t>심곡동</t>
        </is>
      </c>
      <c r="G3354" s="50" t="n">
        <v>0.3958333333333333</v>
      </c>
      <c r="H3354" s="51" t="n">
        <v>521730</v>
      </c>
      <c r="I3354" s="46" t="inlineStr">
        <is>
          <t>한태희</t>
        </is>
      </c>
      <c r="K3354" s="46" t="n">
        <v>3353</v>
      </c>
      <c r="L3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5">
      <c r="A3355" s="229" t="n">
        <v>46268</v>
      </c>
      <c r="B3355" s="46" t="inlineStr">
        <is>
          <t>정기검사</t>
        </is>
      </c>
      <c r="C3355" s="46" t="inlineStr">
        <is>
          <t>부천지역</t>
        </is>
      </c>
      <c r="D3355" s="46" t="inlineStr">
        <is>
          <t>금호금속</t>
        </is>
      </c>
      <c r="E3355" s="46" t="n">
        <v>500</v>
      </c>
      <c r="F3355" s="46" t="inlineStr">
        <is>
          <t>도당동</t>
        </is>
      </c>
      <c r="G3355" s="50" t="n">
        <v>0.5416666666666666</v>
      </c>
      <c r="H3355" s="51" t="n">
        <v>737000</v>
      </c>
      <c r="I3355" s="46" t="inlineStr">
        <is>
          <t>송낙명</t>
        </is>
      </c>
      <c r="K3355" s="46" t="n">
        <v>3354</v>
      </c>
      <c r="L3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6">
      <c r="A3356" s="229" t="n">
        <v>46268</v>
      </c>
      <c r="B3356" s="46" t="inlineStr">
        <is>
          <t>정기검사</t>
        </is>
      </c>
      <c r="C3356" s="46" t="inlineStr">
        <is>
          <t>부천지역</t>
        </is>
      </c>
      <c r="D3356" s="46" t="inlineStr">
        <is>
          <t>복사초</t>
        </is>
      </c>
      <c r="E3356" s="46" t="n">
        <v>300</v>
      </c>
      <c r="F3356" s="46" t="inlineStr">
        <is>
          <t>소사동</t>
        </is>
      </c>
      <c r="G3356" s="50" t="n">
        <v>0.4166666666666667</v>
      </c>
      <c r="H3356" s="51" t="n">
        <v>521730</v>
      </c>
      <c r="I3356" s="46" t="inlineStr">
        <is>
          <t>당효진</t>
        </is>
      </c>
      <c r="K3356" s="46" t="n">
        <v>3355</v>
      </c>
      <c r="L3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7">
      <c r="A3357" s="229" t="n">
        <v>46268</v>
      </c>
      <c r="B3357" s="46" t="inlineStr">
        <is>
          <t>정기검사</t>
        </is>
      </c>
      <c r="C3357" s="46" t="inlineStr">
        <is>
          <t>부천지역</t>
        </is>
      </c>
      <c r="D3357" s="46" t="inlineStr">
        <is>
          <t>심곡본1동행정복지</t>
        </is>
      </c>
      <c r="E3357" s="46" t="n">
        <v>145</v>
      </c>
      <c r="F3357" s="46" t="n"/>
      <c r="G3357" s="50" t="n"/>
      <c r="H3357" s="51" t="n"/>
      <c r="I3357" s="46" t="inlineStr">
        <is>
          <t>이덕기</t>
        </is>
      </c>
      <c r="K3357" s="46" t="n">
        <v>3356</v>
      </c>
      <c r="L3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8">
      <c r="A3358" s="229" t="n">
        <v>46268</v>
      </c>
      <c r="B3358" s="46" t="inlineStr">
        <is>
          <t>정기검사</t>
        </is>
      </c>
      <c r="C3358" s="46" t="inlineStr">
        <is>
          <t>김포지역</t>
        </is>
      </c>
      <c r="D3358" s="46" t="inlineStr">
        <is>
          <t>이마트</t>
        </is>
      </c>
      <c r="E3358" s="46" t="inlineStr">
        <is>
          <t>전기차</t>
        </is>
      </c>
      <c r="F3358" s="46" t="inlineStr">
        <is>
          <t>장기동</t>
        </is>
      </c>
      <c r="G3358" s="50" t="n">
        <v>0.4166666666666667</v>
      </c>
      <c r="H3358" s="51" t="n">
        <v>338800</v>
      </c>
      <c r="I3358" s="46" t="inlineStr">
        <is>
          <t>민재홍</t>
        </is>
      </c>
      <c r="K3358" s="46" t="n">
        <v>3357</v>
      </c>
      <c r="L3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9">
      <c r="A3359" s="229" t="n">
        <v>46268</v>
      </c>
      <c r="B3359" s="46" t="inlineStr">
        <is>
          <t>정기검사</t>
        </is>
      </c>
      <c r="C3359" s="46" t="inlineStr">
        <is>
          <t>김포지역</t>
        </is>
      </c>
      <c r="D3359" s="46" t="inlineStr">
        <is>
          <t>마송지하차도</t>
        </is>
      </c>
      <c r="E3359" s="46" t="n">
        <v>300</v>
      </c>
      <c r="F3359" s="46" t="inlineStr">
        <is>
          <t>군하리</t>
        </is>
      </c>
      <c r="G3359" s="50" t="n">
        <v>0.4166666666666667</v>
      </c>
      <c r="H3359" s="51" t="n">
        <v>577280</v>
      </c>
      <c r="I3359" s="46" t="inlineStr">
        <is>
          <t>허창수</t>
        </is>
      </c>
      <c r="K3359" s="46" t="n">
        <v>3358</v>
      </c>
      <c r="L3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0">
      <c r="A3360" s="229" t="n">
        <v>46268</v>
      </c>
      <c r="B3360" s="46" t="inlineStr">
        <is>
          <t>정기검사</t>
        </is>
      </c>
      <c r="C3360" s="46" t="inlineStr">
        <is>
          <t>김포지역</t>
        </is>
      </c>
      <c r="D3360" s="46" t="inlineStr">
        <is>
          <t>김포유기공방</t>
        </is>
      </c>
      <c r="E3360" s="46" t="n">
        <v>290</v>
      </c>
      <c r="F3360" s="46" t="inlineStr">
        <is>
          <t>상마리</t>
        </is>
      </c>
      <c r="G3360" s="50" t="n">
        <v>0.4791666666666667</v>
      </c>
      <c r="H3360" s="51" t="n">
        <v>515130</v>
      </c>
      <c r="I3360" s="46" t="inlineStr">
        <is>
          <t>정신배</t>
        </is>
      </c>
      <c r="K3360" s="46" t="n">
        <v>3359</v>
      </c>
      <c r="L3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1">
      <c r="A3361" s="229" t="n">
        <v>46268</v>
      </c>
      <c r="B3361" s="46" t="inlineStr">
        <is>
          <t>정기검사</t>
        </is>
      </c>
      <c r="C3361" s="46" t="inlineStr">
        <is>
          <t>김포지역</t>
        </is>
      </c>
      <c r="D3361" s="46" t="inlineStr">
        <is>
          <t>김포골드파크</t>
        </is>
      </c>
      <c r="E3361" s="46" t="n">
        <v>330</v>
      </c>
      <c r="F3361" s="46" t="inlineStr">
        <is>
          <t>도사리</t>
        </is>
      </c>
      <c r="G3361" s="50" t="n">
        <v>0.3958333333333333</v>
      </c>
      <c r="H3361" s="51" t="n">
        <v>679360</v>
      </c>
      <c r="I3361" s="46" t="inlineStr">
        <is>
          <t>김영권</t>
        </is>
      </c>
      <c r="K3361" s="46" t="n">
        <v>3360</v>
      </c>
      <c r="L3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2">
      <c r="A3362" s="229" t="n">
        <v>46268</v>
      </c>
      <c r="B3362" s="46" t="inlineStr">
        <is>
          <t>정기검사</t>
        </is>
      </c>
      <c r="C3362" s="46" t="inlineStr">
        <is>
          <t>김포지역</t>
        </is>
      </c>
      <c r="D3362" s="46" t="inlineStr">
        <is>
          <t>21세기</t>
        </is>
      </c>
      <c r="E3362" s="46" t="n">
        <v>400</v>
      </c>
      <c r="F3362" s="46" t="inlineStr">
        <is>
          <t>학운리</t>
        </is>
      </c>
      <c r="G3362" s="50" t="n">
        <v>0.4791666666666667</v>
      </c>
      <c r="H3362" s="51" t="n">
        <v>703120</v>
      </c>
      <c r="I3362" s="46" t="inlineStr">
        <is>
          <t>이덕기</t>
        </is>
      </c>
      <c r="K3362" s="46" t="n">
        <v>3361</v>
      </c>
      <c r="L3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3">
      <c r="A3363" s="229" t="n">
        <v>46268</v>
      </c>
      <c r="B3363" s="46" t="inlineStr">
        <is>
          <t>정기검사</t>
        </is>
      </c>
      <c r="C3363" s="46" t="inlineStr">
        <is>
          <t>김포지역</t>
        </is>
      </c>
      <c r="D3363" s="46" t="inlineStr">
        <is>
          <t>한가람lh</t>
        </is>
      </c>
      <c r="E3363" s="46" t="inlineStr">
        <is>
          <t>전기차</t>
        </is>
      </c>
      <c r="F3363" s="46" t="inlineStr">
        <is>
          <t>구래동</t>
        </is>
      </c>
      <c r="G3363" s="50" t="n">
        <v>0.4166666666666667</v>
      </c>
      <c r="H3363" s="51" t="n">
        <v>89650</v>
      </c>
      <c r="I3363" s="46" t="inlineStr">
        <is>
          <t>변종국</t>
        </is>
      </c>
      <c r="K3363" s="46" t="n">
        <v>3362</v>
      </c>
      <c r="L3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4">
      <c r="A3364" s="229" t="n">
        <v>46268</v>
      </c>
      <c r="B3364" s="46" t="inlineStr">
        <is>
          <t>정기검사</t>
        </is>
      </c>
      <c r="C3364" s="46" t="inlineStr">
        <is>
          <t>김포지역</t>
        </is>
      </c>
      <c r="D3364" s="46" t="inlineStr">
        <is>
          <t>한가람lh</t>
        </is>
      </c>
      <c r="E3364" s="46" t="inlineStr">
        <is>
          <t>전기차</t>
        </is>
      </c>
      <c r="F3364" s="46" t="inlineStr">
        <is>
          <t>구래동</t>
        </is>
      </c>
      <c r="G3364" s="50" t="n">
        <v>0.4166666666666667</v>
      </c>
      <c r="H3364" s="51" t="n">
        <v>411510</v>
      </c>
      <c r="I3364" s="46" t="inlineStr">
        <is>
          <t>변종국</t>
        </is>
      </c>
      <c r="K3364" s="46" t="n">
        <v>3363</v>
      </c>
      <c r="L3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5">
      <c r="A3365" s="229" t="n">
        <v>46268</v>
      </c>
      <c r="B3365" s="46" t="inlineStr">
        <is>
          <t>정기검사</t>
        </is>
      </c>
      <c r="C3365" s="46" t="inlineStr">
        <is>
          <t>김포지역</t>
        </is>
      </c>
      <c r="D3365" s="46" t="inlineStr">
        <is>
          <t>한가람lh</t>
        </is>
      </c>
      <c r="E3365" s="46" t="inlineStr">
        <is>
          <t>2650/800</t>
        </is>
      </c>
      <c r="F3365" s="46" t="inlineStr">
        <is>
          <t>구래동</t>
        </is>
      </c>
      <c r="G3365" s="50" t="n">
        <v>0.4166666666666667</v>
      </c>
      <c r="H3365" s="51" t="n">
        <v>1471030</v>
      </c>
      <c r="I3365" s="46" t="inlineStr">
        <is>
          <t>이종석</t>
        </is>
      </c>
      <c r="K3365" s="46" t="n">
        <v>3364</v>
      </c>
      <c r="L3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6">
      <c r="A3366" s="229" t="n">
        <v>46268</v>
      </c>
      <c r="B3366" s="46" t="inlineStr">
        <is>
          <t>정기검사</t>
        </is>
      </c>
      <c r="C3366" s="46" t="inlineStr">
        <is>
          <t>김포지역</t>
        </is>
      </c>
      <c r="D3366" s="46" t="inlineStr">
        <is>
          <t>김흥룡</t>
        </is>
      </c>
      <c r="E3366" s="46" t="n">
        <v>47</v>
      </c>
      <c r="F3366" s="46" t="inlineStr">
        <is>
          <t>율생리</t>
        </is>
      </c>
      <c r="G3366" s="50" t="n">
        <v>0.6041666666666666</v>
      </c>
      <c r="H3366" s="51" t="n">
        <v>200310</v>
      </c>
      <c r="I3366" s="46" t="inlineStr">
        <is>
          <t>정성관</t>
        </is>
      </c>
      <c r="K3366" s="46" t="n">
        <v>3365</v>
      </c>
      <c r="L3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7">
      <c r="A3367" s="229" t="n">
        <v>46268</v>
      </c>
      <c r="B3367" s="46" t="inlineStr">
        <is>
          <t>사용전검사</t>
        </is>
      </c>
      <c r="C3367" s="46" t="inlineStr">
        <is>
          <t>부천지역</t>
        </is>
      </c>
      <c r="D3367" s="46" t="inlineStr">
        <is>
          <t>상록학교</t>
        </is>
      </c>
      <c r="E3367" s="46" t="n">
        <v>51</v>
      </c>
      <c r="F3367" s="46" t="inlineStr">
        <is>
          <t>춘의동</t>
        </is>
      </c>
      <c r="G3367" s="50" t="n"/>
      <c r="H3367" s="51" t="n"/>
      <c r="I3367" s="46" t="inlineStr">
        <is>
          <t>당효진</t>
        </is>
      </c>
      <c r="K3367" s="46" t="n">
        <v>3366</v>
      </c>
      <c r="L3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8">
      <c r="A3368" s="229" t="n">
        <v>46268</v>
      </c>
      <c r="B3368" s="46" t="inlineStr">
        <is>
          <t>사용전검사</t>
        </is>
      </c>
      <c r="C3368" s="46" t="inlineStr">
        <is>
          <t>김포지역</t>
        </is>
      </c>
      <c r="D3368" s="46" t="inlineStr">
        <is>
          <t>메가</t>
        </is>
      </c>
      <c r="E3368" s="46" t="n">
        <v>30</v>
      </c>
      <c r="F3368" s="46" t="inlineStr">
        <is>
          <t>북변동</t>
        </is>
      </c>
      <c r="G3368" s="50" t="n"/>
      <c r="H3368" s="51" t="n"/>
      <c r="I3368" s="46" t="inlineStr">
        <is>
          <t>서수형</t>
        </is>
      </c>
      <c r="K3368" s="46" t="n">
        <v>3367</v>
      </c>
      <c r="L3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9">
      <c r="A3369" s="229" t="n">
        <v>46268</v>
      </c>
      <c r="B3369" s="46" t="inlineStr">
        <is>
          <t>사용전검사</t>
        </is>
      </c>
      <c r="C3369" s="46" t="inlineStr">
        <is>
          <t>김포지역</t>
        </is>
      </c>
      <c r="D3369" s="46" t="inlineStr">
        <is>
          <t>경일</t>
        </is>
      </c>
      <c r="E3369" s="46" t="n">
        <v>423</v>
      </c>
      <c r="F3369" s="46" t="inlineStr">
        <is>
          <t>약암리</t>
        </is>
      </c>
      <c r="G3369" s="50" t="n"/>
      <c r="H3369" s="51" t="n"/>
      <c r="I3369" s="46" t="inlineStr">
        <is>
          <t>옹승완</t>
        </is>
      </c>
      <c r="K3369" s="46" t="n">
        <v>3368</v>
      </c>
      <c r="L3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0">
      <c r="A3370" s="229" t="n">
        <v>46269</v>
      </c>
      <c r="B3370" s="46" t="inlineStr">
        <is>
          <t>정기검사</t>
        </is>
      </c>
      <c r="C3370" s="46" t="inlineStr">
        <is>
          <t>부천지역</t>
        </is>
      </c>
      <c r="D3370" s="46" t="inlineStr">
        <is>
          <t>대웅</t>
        </is>
      </c>
      <c r="E3370" s="46" t="inlineStr">
        <is>
          <t>975/105</t>
        </is>
      </c>
      <c r="F3370" s="46" t="inlineStr">
        <is>
          <t>내동</t>
        </is>
      </c>
      <c r="G3370" s="50" t="n">
        <v>0.2708333333333333</v>
      </c>
      <c r="H3370" s="51" t="n">
        <v>1385230</v>
      </c>
      <c r="I3370" s="46" t="inlineStr">
        <is>
          <t>변종국</t>
        </is>
      </c>
      <c r="K3370" s="46" t="n">
        <v>3369</v>
      </c>
      <c r="L3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1">
      <c r="A3371" s="229" t="n">
        <v>46269</v>
      </c>
      <c r="B3371" s="46" t="inlineStr">
        <is>
          <t>정기검사</t>
        </is>
      </c>
      <c r="C3371" s="46" t="inlineStr">
        <is>
          <t>부천지역</t>
        </is>
      </c>
      <c r="D3371" s="46" t="inlineStr">
        <is>
          <t>대호</t>
        </is>
      </c>
      <c r="E3371" s="46" t="n">
        <v>250</v>
      </c>
      <c r="F3371" s="46" t="inlineStr">
        <is>
          <t>중동</t>
        </is>
      </c>
      <c r="G3371" s="50" t="n">
        <v>0.3958333333333333</v>
      </c>
      <c r="H3371" s="51" t="n">
        <v>489170</v>
      </c>
      <c r="I3371" s="46" t="inlineStr">
        <is>
          <t>이종석</t>
        </is>
      </c>
      <c r="K3371" s="46" t="n">
        <v>3370</v>
      </c>
      <c r="L3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2">
      <c r="A3372" s="229" t="n">
        <v>46269</v>
      </c>
      <c r="B3372" s="46" t="inlineStr">
        <is>
          <t>정기검사</t>
        </is>
      </c>
      <c r="C3372" s="46" t="inlineStr">
        <is>
          <t>부천지역</t>
        </is>
      </c>
      <c r="D3372" s="46" t="inlineStr">
        <is>
          <t>나눔테크</t>
        </is>
      </c>
      <c r="E3372" s="46" t="n">
        <v>360</v>
      </c>
      <c r="F3372" s="46" t="inlineStr">
        <is>
          <t>삼정동</t>
        </is>
      </c>
      <c r="G3372" s="50" t="n">
        <v>0.4791666666666667</v>
      </c>
      <c r="H3372" s="51" t="n">
        <v>689480</v>
      </c>
      <c r="I3372" s="46" t="inlineStr">
        <is>
          <t>정신배</t>
        </is>
      </c>
      <c r="K3372" s="46" t="n">
        <v>3371</v>
      </c>
      <c r="L3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3">
      <c r="A3373" s="229" t="n">
        <v>46269</v>
      </c>
      <c r="B3373" s="46" t="inlineStr">
        <is>
          <t>정기검사</t>
        </is>
      </c>
      <c r="C3373" s="46" t="inlineStr">
        <is>
          <t>부천지역</t>
        </is>
      </c>
      <c r="D3373" s="46" t="inlineStr">
        <is>
          <t>피제이에스</t>
        </is>
      </c>
      <c r="E3373" s="46" t="inlineStr">
        <is>
          <t>350/68</t>
        </is>
      </c>
      <c r="F3373" s="46" t="inlineStr">
        <is>
          <t>원종동</t>
        </is>
      </c>
      <c r="G3373" s="50" t="n">
        <v>0.4166666666666667</v>
      </c>
      <c r="H3373" s="51" t="n">
        <v>842820</v>
      </c>
      <c r="I3373" s="46" t="inlineStr">
        <is>
          <t>한태희</t>
        </is>
      </c>
      <c r="K3373" s="46" t="n">
        <v>3372</v>
      </c>
      <c r="L3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4">
      <c r="A3374" s="229" t="n">
        <v>46269</v>
      </c>
      <c r="B3374" s="46" t="inlineStr">
        <is>
          <t>정기검사</t>
        </is>
      </c>
      <c r="C3374" s="46" t="inlineStr">
        <is>
          <t>김포지역</t>
        </is>
      </c>
      <c r="D3374" s="46" t="inlineStr">
        <is>
          <t>한신아파트</t>
        </is>
      </c>
      <c r="E3374" s="46" t="inlineStr">
        <is>
          <t>900/273</t>
        </is>
      </c>
      <c r="F3374" s="46" t="inlineStr">
        <is>
          <t>사우동</t>
        </is>
      </c>
      <c r="G3374" s="50" t="n">
        <v>0.5416666666666666</v>
      </c>
      <c r="H3374" s="51" t="n">
        <v>1089880</v>
      </c>
      <c r="I3374" s="46" t="inlineStr">
        <is>
          <t>서수형</t>
        </is>
      </c>
      <c r="K3374" s="46" t="n">
        <v>3373</v>
      </c>
      <c r="L3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5">
      <c r="A3375" s="229" t="n">
        <v>46269</v>
      </c>
      <c r="B3375" s="46" t="inlineStr">
        <is>
          <t>정기검사</t>
        </is>
      </c>
      <c r="C3375" s="46" t="inlineStr">
        <is>
          <t>김포지역</t>
        </is>
      </c>
      <c r="D3375" s="46" t="inlineStr">
        <is>
          <t>우방아이유</t>
        </is>
      </c>
      <c r="E3375" s="46" t="inlineStr">
        <is>
          <t>3000/545</t>
        </is>
      </c>
      <c r="F3375" s="46" t="inlineStr">
        <is>
          <t>고촌</t>
        </is>
      </c>
      <c r="G3375" s="50" t="n">
        <v>0.4583333333333333</v>
      </c>
      <c r="H3375" s="51" t="n">
        <v>1474550</v>
      </c>
      <c r="I3375" s="46" t="inlineStr">
        <is>
          <t>허록종</t>
        </is>
      </c>
      <c r="K3375" s="46" t="n">
        <v>3374</v>
      </c>
      <c r="L3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6">
      <c r="A3376" s="229" t="n">
        <v>46269</v>
      </c>
      <c r="B3376" s="46" t="inlineStr">
        <is>
          <t>정기검사</t>
        </is>
      </c>
      <c r="C3376" s="46" t="inlineStr">
        <is>
          <t>김포지역</t>
        </is>
      </c>
      <c r="D3376" s="46" t="inlineStr">
        <is>
          <t>우방아이유</t>
        </is>
      </c>
      <c r="E3376" s="46" t="inlineStr">
        <is>
          <t>전기차</t>
        </is>
      </c>
      <c r="F3376" s="46" t="n"/>
      <c r="G3376" s="50" t="n"/>
      <c r="H3376" s="51" t="n">
        <v>148940</v>
      </c>
      <c r="I3376" s="46" t="inlineStr">
        <is>
          <t>허록종</t>
        </is>
      </c>
      <c r="K3376" s="46" t="n">
        <v>3375</v>
      </c>
      <c r="L3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7">
      <c r="A3377" s="229" t="n">
        <v>46269</v>
      </c>
      <c r="B3377" s="46" t="inlineStr">
        <is>
          <t>정기검사</t>
        </is>
      </c>
      <c r="C3377" s="46" t="inlineStr">
        <is>
          <t>김포지역</t>
        </is>
      </c>
      <c r="D3377" s="46" t="inlineStr">
        <is>
          <t>디와이피엔에프</t>
        </is>
      </c>
      <c r="E3377" s="46" t="n">
        <v>990</v>
      </c>
      <c r="F3377" s="46" t="inlineStr">
        <is>
          <t>갈산리</t>
        </is>
      </c>
      <c r="G3377" s="50" t="n">
        <v>0.4583333333333333</v>
      </c>
      <c r="H3377" s="51" t="n">
        <v>902990</v>
      </c>
      <c r="I3377" s="46" t="inlineStr">
        <is>
          <t>김영권</t>
        </is>
      </c>
      <c r="K3377" s="46" t="n">
        <v>3376</v>
      </c>
      <c r="L3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8">
      <c r="A3378" s="229" t="n">
        <v>46269</v>
      </c>
      <c r="B3378" s="46" t="inlineStr">
        <is>
          <t>정기검사</t>
        </is>
      </c>
      <c r="C3378" s="46" t="inlineStr">
        <is>
          <t>김포지역</t>
        </is>
      </c>
      <c r="D3378" s="46" t="inlineStr">
        <is>
          <t>유진에너텍</t>
        </is>
      </c>
      <c r="E3378" s="46" t="n">
        <v>290</v>
      </c>
      <c r="F3378" s="46" t="inlineStr">
        <is>
          <t>양택리</t>
        </is>
      </c>
      <c r="G3378" s="50" t="n">
        <v>0.2916666666666667</v>
      </c>
      <c r="H3378" s="51" t="n">
        <v>669790</v>
      </c>
      <c r="I3378" s="46" t="inlineStr">
        <is>
          <t>민재홍</t>
        </is>
      </c>
      <c r="K3378" s="46" t="n">
        <v>3377</v>
      </c>
      <c r="L3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9">
      <c r="A3379" s="229" t="n">
        <v>46269</v>
      </c>
      <c r="B3379" s="46" t="inlineStr">
        <is>
          <t>사용전검사</t>
        </is>
      </c>
      <c r="C3379" s="46" t="inlineStr">
        <is>
          <t>부천지역</t>
        </is>
      </c>
      <c r="D3379" s="46" t="inlineStr">
        <is>
          <t>신포총각강정</t>
        </is>
      </c>
      <c r="E3379" s="46" t="n">
        <v>12</v>
      </c>
      <c r="F3379" s="46" t="inlineStr">
        <is>
          <t>상동</t>
        </is>
      </c>
      <c r="G3379" s="50" t="n"/>
      <c r="H3379" s="51" t="n"/>
      <c r="I3379" s="46" t="inlineStr">
        <is>
          <t>변종국</t>
        </is>
      </c>
      <c r="K3379" s="46" t="n">
        <v>3378</v>
      </c>
      <c r="L3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0">
      <c r="A3380" s="229" t="n">
        <v>46269</v>
      </c>
      <c r="B3380" s="46" t="inlineStr">
        <is>
          <t>사용전검사</t>
        </is>
      </c>
      <c r="C3380" s="46" t="inlineStr">
        <is>
          <t>부천지역</t>
        </is>
      </c>
      <c r="D3380" s="46" t="inlineStr">
        <is>
          <t>원미고</t>
        </is>
      </c>
      <c r="E3380" s="46" t="n">
        <v>51</v>
      </c>
      <c r="F3380" s="46" t="inlineStr">
        <is>
          <t>중동</t>
        </is>
      </c>
      <c r="G3380" s="50" t="n"/>
      <c r="H3380" s="51" t="n"/>
      <c r="I3380" s="46" t="inlineStr">
        <is>
          <t>한태희</t>
        </is>
      </c>
      <c r="K3380" s="46" t="n">
        <v>3379</v>
      </c>
      <c r="L3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1">
      <c r="A3381" s="229" t="n">
        <v>46269</v>
      </c>
      <c r="B3381" s="46" t="inlineStr">
        <is>
          <t>메모</t>
        </is>
      </c>
      <c r="C3381" s="46" t="inlineStr">
        <is>
          <t>부천지역</t>
        </is>
      </c>
      <c r="D3381" s="46" t="inlineStr">
        <is>
          <t>정성관휴가</t>
        </is>
      </c>
      <c r="E3381" s="46" t="inlineStr">
        <is>
          <t>정신배-한태희</t>
        </is>
      </c>
      <c r="F3381" s="46" t="n"/>
      <c r="G3381" s="50" t="n"/>
      <c r="H3381" s="51" t="n"/>
      <c r="I3381" s="46" t="n"/>
      <c r="K3381" s="46" t="n">
        <v>3380</v>
      </c>
      <c r="L3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2">
      <c r="A3382" s="229" t="n">
        <v>46269</v>
      </c>
      <c r="B3382" s="46" t="inlineStr">
        <is>
          <t>메모</t>
        </is>
      </c>
      <c r="C3382" s="46" t="inlineStr">
        <is>
          <t>부천지역</t>
        </is>
      </c>
      <c r="D3382" s="46" t="inlineStr">
        <is>
          <t>송낙명휴가</t>
        </is>
      </c>
      <c r="E3382" s="46" t="n"/>
      <c r="F3382" s="46" t="n"/>
      <c r="G3382" s="50" t="n"/>
      <c r="H3382" s="51" t="n"/>
      <c r="I3382" s="46" t="n"/>
      <c r="K3382" s="46" t="n">
        <v>3381</v>
      </c>
      <c r="L3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3">
      <c r="A3383" s="229" t="n">
        <v>46269</v>
      </c>
      <c r="B3383" s="46" t="inlineStr">
        <is>
          <t>사용전검사</t>
        </is>
      </c>
      <c r="C3383" s="46" t="inlineStr">
        <is>
          <t>김포지역</t>
        </is>
      </c>
      <c r="D3383" s="46" t="inlineStr">
        <is>
          <t>정문이엔이</t>
        </is>
      </c>
      <c r="E3383" s="46" t="n">
        <v>141</v>
      </c>
      <c r="F3383" s="46" t="inlineStr">
        <is>
          <t>석정리</t>
        </is>
      </c>
      <c r="G3383" s="50" t="n"/>
      <c r="H3383" s="51" t="n"/>
      <c r="I3383" s="46" t="inlineStr">
        <is>
          <t>옹승완</t>
        </is>
      </c>
      <c r="K3383" s="46" t="n">
        <v>3382</v>
      </c>
      <c r="L3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4">
      <c r="A3384" s="229" t="n">
        <v>46269</v>
      </c>
      <c r="B3384" s="46" t="inlineStr">
        <is>
          <t>사용전검사</t>
        </is>
      </c>
      <c r="C3384" s="46" t="inlineStr">
        <is>
          <t>김포지역</t>
        </is>
      </c>
      <c r="D3384" s="46" t="inlineStr">
        <is>
          <t>대성우목장</t>
        </is>
      </c>
      <c r="E3384" s="46" t="n">
        <v>410</v>
      </c>
      <c r="F3384" s="46" t="inlineStr">
        <is>
          <t>고양리</t>
        </is>
      </c>
      <c r="G3384" s="50" t="n"/>
      <c r="H3384" s="51" t="n"/>
      <c r="I3384" s="46" t="inlineStr">
        <is>
          <t>이덕기</t>
        </is>
      </c>
      <c r="K3384" s="46" t="n">
        <v>3383</v>
      </c>
      <c r="L3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5">
      <c r="A3385" s="229" t="n">
        <v>46270</v>
      </c>
      <c r="B3385" s="46" t="inlineStr">
        <is>
          <t>정기검사</t>
        </is>
      </c>
      <c r="C3385" s="46" t="inlineStr">
        <is>
          <t>부천지역</t>
        </is>
      </c>
      <c r="D3385" s="46" t="inlineStr">
        <is>
          <t>송내테크노벨리</t>
        </is>
      </c>
      <c r="E3385" s="46" t="inlineStr">
        <is>
          <t>950/250</t>
        </is>
      </c>
      <c r="F3385" s="46" t="inlineStr">
        <is>
          <t>송내동</t>
        </is>
      </c>
      <c r="G3385" s="50" t="n">
        <v>0.6875</v>
      </c>
      <c r="H3385" s="51" t="n">
        <v>1430000</v>
      </c>
      <c r="I3385" s="46" t="inlineStr">
        <is>
          <t>정신배</t>
        </is>
      </c>
      <c r="K3385" s="46" t="n">
        <v>3384</v>
      </c>
      <c r="L3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6">
      <c r="A3386" s="229" t="n">
        <v>46270</v>
      </c>
      <c r="B3386" s="46" t="inlineStr">
        <is>
          <t>정기검사</t>
        </is>
      </c>
      <c r="C3386" s="46" t="inlineStr">
        <is>
          <t>부천지역</t>
        </is>
      </c>
      <c r="D3386" s="46" t="inlineStr">
        <is>
          <t>우일정밀</t>
        </is>
      </c>
      <c r="E3386" s="46" t="n">
        <v>290</v>
      </c>
      <c r="F3386" s="46" t="inlineStr">
        <is>
          <t>내동</t>
        </is>
      </c>
      <c r="G3386" s="50" t="n">
        <v>0.4583333333333333</v>
      </c>
      <c r="H3386" s="51" t="n">
        <v>669790</v>
      </c>
      <c r="I3386" s="46" t="inlineStr">
        <is>
          <t>정성관</t>
        </is>
      </c>
      <c r="K3386" s="46" t="n">
        <v>3385</v>
      </c>
      <c r="L3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7">
      <c r="A3387" s="229" t="n">
        <v>46270</v>
      </c>
      <c r="B3387" s="46" t="inlineStr">
        <is>
          <t>정기검사</t>
        </is>
      </c>
      <c r="C3387" s="46" t="inlineStr">
        <is>
          <t>부천지역</t>
        </is>
      </c>
      <c r="D3387" s="46" t="inlineStr">
        <is>
          <t>코스모폴리탄</t>
        </is>
      </c>
      <c r="E3387" s="46" t="inlineStr">
        <is>
          <t>2500/750</t>
        </is>
      </c>
      <c r="F3387" s="46" t="inlineStr">
        <is>
          <t>상동</t>
        </is>
      </c>
      <c r="G3387" s="50" t="n">
        <v>0.25</v>
      </c>
      <c r="H3387" s="51" t="n">
        <v>1871650</v>
      </c>
      <c r="I3387" s="46" t="inlineStr">
        <is>
          <t>정성관</t>
        </is>
      </c>
      <c r="K3387" s="46" t="n">
        <v>3386</v>
      </c>
      <c r="L3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8">
      <c r="A3388" s="229" t="n">
        <v>46270</v>
      </c>
      <c r="B3388" s="46" t="inlineStr">
        <is>
          <t>정기검사</t>
        </is>
      </c>
      <c r="C3388" s="46" t="inlineStr">
        <is>
          <t>김포지역</t>
        </is>
      </c>
      <c r="D3388" s="46" t="inlineStr">
        <is>
          <t>디원시티지식산업</t>
        </is>
      </c>
      <c r="E3388" s="46" t="inlineStr">
        <is>
          <t>전기차</t>
        </is>
      </c>
      <c r="F3388" s="46" t="inlineStr">
        <is>
          <t>구래동</t>
        </is>
      </c>
      <c r="G3388" s="50" t="n">
        <v>0.375</v>
      </c>
      <c r="H3388" s="51" t="n">
        <v>182600</v>
      </c>
      <c r="I3388" s="46" t="inlineStr">
        <is>
          <t>허록종</t>
        </is>
      </c>
      <c r="K3388" s="46" t="n">
        <v>3387</v>
      </c>
      <c r="L3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9">
      <c r="A3389" s="229" t="n">
        <v>46270</v>
      </c>
      <c r="B3389" s="46" t="inlineStr">
        <is>
          <t>정기검사</t>
        </is>
      </c>
      <c r="C3389" s="46" t="inlineStr">
        <is>
          <t>김포지역</t>
        </is>
      </c>
      <c r="D3389" s="46" t="inlineStr">
        <is>
          <t>디원시티지식산업</t>
        </is>
      </c>
      <c r="E3389" s="46" t="inlineStr">
        <is>
          <t>6150/818</t>
        </is>
      </c>
      <c r="F3389" s="46" t="inlineStr">
        <is>
          <t>구래동</t>
        </is>
      </c>
      <c r="G3389" s="50" t="n">
        <v>0.375</v>
      </c>
      <c r="H3389" s="51" t="n">
        <v>2634280</v>
      </c>
      <c r="I3389" s="46" t="inlineStr">
        <is>
          <t>허록종</t>
        </is>
      </c>
      <c r="K3389" s="46" t="n">
        <v>3388</v>
      </c>
      <c r="L3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0">
      <c r="A3390" s="229" t="n">
        <v>46270</v>
      </c>
      <c r="B3390" s="46" t="inlineStr">
        <is>
          <t>정기검사</t>
        </is>
      </c>
      <c r="C3390" s="46" t="inlineStr">
        <is>
          <t>김포지역</t>
        </is>
      </c>
      <c r="D3390" s="46" t="inlineStr">
        <is>
          <t>한국자산</t>
        </is>
      </c>
      <c r="E3390" s="46" t="inlineStr">
        <is>
          <t>500/182</t>
        </is>
      </c>
      <c r="F3390" s="46" t="inlineStr">
        <is>
          <t>풍무동</t>
        </is>
      </c>
      <c r="G3390" s="50" t="n">
        <v>0.3333333333333333</v>
      </c>
      <c r="H3390" s="51" t="n">
        <v>1271710</v>
      </c>
      <c r="I3390" s="46" t="inlineStr">
        <is>
          <t>서수형</t>
        </is>
      </c>
      <c r="K3390" s="46" t="n">
        <v>3389</v>
      </c>
      <c r="L3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1">
      <c r="A3391" s="229" t="n">
        <v>46270</v>
      </c>
      <c r="B3391" s="46" t="inlineStr">
        <is>
          <t>정기검사</t>
        </is>
      </c>
      <c r="C3391" s="46" t="inlineStr">
        <is>
          <t>김포지역</t>
        </is>
      </c>
      <c r="D3391" s="46" t="inlineStr">
        <is>
          <t>한국자산</t>
        </is>
      </c>
      <c r="E3391" s="46" t="inlineStr">
        <is>
          <t>500/183</t>
        </is>
      </c>
      <c r="F3391" s="46" t="inlineStr">
        <is>
          <t>풍무동</t>
        </is>
      </c>
      <c r="G3391" s="50" t="n">
        <v>0.375</v>
      </c>
      <c r="H3391" s="51" t="n">
        <v>925760</v>
      </c>
      <c r="I3391" s="46" t="inlineStr">
        <is>
          <t>이종석</t>
        </is>
      </c>
      <c r="K3391" s="46" t="n">
        <v>3390</v>
      </c>
      <c r="L3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2">
      <c r="A3392" s="229" t="n">
        <v>46270</v>
      </c>
      <c r="B3392" s="46" t="inlineStr">
        <is>
          <t>정기검사</t>
        </is>
      </c>
      <c r="C3392" s="46" t="inlineStr">
        <is>
          <t>김포지역</t>
        </is>
      </c>
      <c r="D3392" s="46" t="inlineStr">
        <is>
          <t>김포노인종합복지관</t>
        </is>
      </c>
      <c r="E3392" s="46" t="inlineStr">
        <is>
          <t>500/113</t>
        </is>
      </c>
      <c r="F3392" s="46" t="inlineStr">
        <is>
          <t>사우동</t>
        </is>
      </c>
      <c r="G3392" s="50" t="n">
        <v>0.5416666666666666</v>
      </c>
      <c r="H3392" s="51" t="n">
        <v>1179090</v>
      </c>
      <c r="I3392" s="46" t="n"/>
      <c r="K3392" s="46" t="n">
        <v>3391</v>
      </c>
      <c r="L3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3">
      <c r="A3393" s="229" t="n">
        <v>46270</v>
      </c>
      <c r="B3393" s="46" t="inlineStr">
        <is>
          <t>메모</t>
        </is>
      </c>
      <c r="C3393" s="46" t="inlineStr">
        <is>
          <t>부천지역</t>
        </is>
      </c>
      <c r="D3393" s="46" t="inlineStr">
        <is>
          <t>서수형 휴가</t>
        </is>
      </c>
      <c r="E3393" s="46" t="n"/>
      <c r="F3393" s="46" t="n"/>
      <c r="G3393" s="50" t="n"/>
      <c r="H3393" s="51" t="n"/>
      <c r="I3393" s="46" t="n"/>
      <c r="K3393" s="46" t="n">
        <v>3392</v>
      </c>
      <c r="L3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4">
      <c r="A3394" s="229" t="n">
        <v>46270</v>
      </c>
      <c r="B3394" s="46" t="inlineStr">
        <is>
          <t>메모</t>
        </is>
      </c>
      <c r="C3394" s="46" t="inlineStr">
        <is>
          <t>부천지역</t>
        </is>
      </c>
      <c r="D3394" s="46" t="inlineStr">
        <is>
          <t>김영권휴가</t>
        </is>
      </c>
      <c r="E3394" s="46" t="n"/>
      <c r="F3394" s="46" t="n"/>
      <c r="G3394" s="50" t="n"/>
      <c r="H3394" s="51" t="n"/>
      <c r="I3394" s="46" t="n"/>
      <c r="K3394" s="46" t="n">
        <v>3393</v>
      </c>
      <c r="L3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5">
      <c r="A3395" s="229" t="n">
        <v>46270</v>
      </c>
      <c r="B3395" s="46" t="inlineStr">
        <is>
          <t>메모</t>
        </is>
      </c>
      <c r="C3395" s="46" t="inlineStr">
        <is>
          <t>부천지역</t>
        </is>
      </c>
      <c r="D3395" s="46" t="inlineStr">
        <is>
          <t>옹승완휴가</t>
        </is>
      </c>
      <c r="E3395" s="46" t="n"/>
      <c r="F3395" s="46" t="n"/>
      <c r="G3395" s="50" t="n"/>
      <c r="H3395" s="51" t="n"/>
      <c r="I3395" s="46" t="n"/>
      <c r="K3395" s="46" t="n">
        <v>3394</v>
      </c>
      <c r="L3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6">
      <c r="A3396" s="229" t="n">
        <v>46270</v>
      </c>
      <c r="B3396" s="46" t="inlineStr">
        <is>
          <t>사용전검사</t>
        </is>
      </c>
      <c r="C3396" s="46" t="inlineStr">
        <is>
          <t>김포지역</t>
        </is>
      </c>
      <c r="D3396" s="46" t="inlineStr">
        <is>
          <t>한국포리머</t>
        </is>
      </c>
      <c r="E3396" s="46" t="n">
        <v>1500</v>
      </c>
      <c r="F3396" s="46" t="inlineStr">
        <is>
          <t>옹정리</t>
        </is>
      </c>
      <c r="G3396" s="50" t="n"/>
      <c r="H3396" s="51" t="n"/>
      <c r="I3396" s="46" t="inlineStr">
        <is>
          <t>한태희</t>
        </is>
      </c>
      <c r="K3396" s="46" t="n">
        <v>3395</v>
      </c>
      <c r="L3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7">
      <c r="A3397" s="229" t="n">
        <v>46270</v>
      </c>
      <c r="B3397" s="46" t="inlineStr">
        <is>
          <t>사용전검사</t>
        </is>
      </c>
      <c r="C3397" s="46" t="inlineStr">
        <is>
          <t>김포지역</t>
        </is>
      </c>
      <c r="D3397" s="46" t="inlineStr">
        <is>
          <t>상진섬유</t>
        </is>
      </c>
      <c r="E3397" s="46" t="n">
        <v>180</v>
      </c>
      <c r="F3397" s="46" t="inlineStr">
        <is>
          <t>송마리</t>
        </is>
      </c>
      <c r="G3397" s="50" t="n"/>
      <c r="H3397" s="51" t="n"/>
      <c r="I3397" s="46" t="inlineStr">
        <is>
          <t>송낙명</t>
        </is>
      </c>
      <c r="K3397" s="46" t="n">
        <v>3396</v>
      </c>
      <c r="L3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8">
      <c r="A3398" s="229" t="n">
        <v>46270</v>
      </c>
      <c r="B3398" s="46" t="inlineStr">
        <is>
          <t>사용전검사</t>
        </is>
      </c>
      <c r="C3398" s="46" t="inlineStr">
        <is>
          <t>김포지역</t>
        </is>
      </c>
      <c r="D3398" s="46" t="inlineStr">
        <is>
          <t>엔케이이엔지</t>
        </is>
      </c>
      <c r="E3398" s="46" t="n">
        <v>500</v>
      </c>
      <c r="F3398" s="46" t="inlineStr">
        <is>
          <t>가현리</t>
        </is>
      </c>
      <c r="G3398" s="50" t="n"/>
      <c r="H3398" s="51" t="n"/>
      <c r="I3398" s="46" t="inlineStr">
        <is>
          <t>당효진</t>
        </is>
      </c>
      <c r="K3398" s="46" t="n">
        <v>3397</v>
      </c>
      <c r="L3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9">
      <c r="A3399" s="229" t="n">
        <v>46270</v>
      </c>
      <c r="B3399" s="46" t="inlineStr">
        <is>
          <t>사용전검사</t>
        </is>
      </c>
      <c r="C3399" s="46" t="inlineStr">
        <is>
          <t>김포지역</t>
        </is>
      </c>
      <c r="D3399" s="46" t="inlineStr">
        <is>
          <t>김포다원1호</t>
        </is>
      </c>
      <c r="E3399" s="46" t="n">
        <v>86</v>
      </c>
      <c r="F3399" s="46" t="inlineStr">
        <is>
          <t>가현리</t>
        </is>
      </c>
      <c r="G3399" s="50" t="n"/>
      <c r="H3399" s="51" t="n"/>
      <c r="I3399" s="46" t="inlineStr">
        <is>
          <t>이덕기</t>
        </is>
      </c>
      <c r="K3399" s="46" t="n">
        <v>3398</v>
      </c>
      <c r="L3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0">
      <c r="A3400" s="229" t="n">
        <v>46270</v>
      </c>
      <c r="B3400" s="46" t="inlineStr">
        <is>
          <t>사용전검사</t>
        </is>
      </c>
      <c r="C3400" s="46" t="inlineStr">
        <is>
          <t>김포지역</t>
        </is>
      </c>
      <c r="D3400" s="46" t="inlineStr">
        <is>
          <t>한국피엘에이</t>
        </is>
      </c>
      <c r="E3400" s="46" t="n">
        <v>990</v>
      </c>
      <c r="F3400" s="46" t="inlineStr">
        <is>
          <t>대벽리</t>
        </is>
      </c>
      <c r="G3400" s="50" t="n"/>
      <c r="H3400" s="51" t="n"/>
      <c r="I3400" s="46" t="inlineStr">
        <is>
          <t>이종석</t>
        </is>
      </c>
      <c r="K3400" s="46" t="n">
        <v>3399</v>
      </c>
      <c r="L3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1">
      <c r="A3401" s="229" t="n">
        <v>46270</v>
      </c>
      <c r="B3401" s="46" t="inlineStr">
        <is>
          <t>사용전검사</t>
        </is>
      </c>
      <c r="C3401" s="46" t="inlineStr">
        <is>
          <t>김포지역</t>
        </is>
      </c>
      <c r="D3401" s="46" t="inlineStr">
        <is>
          <t>로뎀태양광</t>
        </is>
      </c>
      <c r="E3401" s="46" t="n">
        <v>172</v>
      </c>
      <c r="F3401" s="46" t="inlineStr">
        <is>
          <t>상마리</t>
        </is>
      </c>
      <c r="G3401" s="50" t="n"/>
      <c r="H3401" s="51" t="n"/>
      <c r="I3401" s="46" t="inlineStr">
        <is>
          <t>이덕기</t>
        </is>
      </c>
      <c r="K3401" s="46" t="n">
        <v>3400</v>
      </c>
      <c r="L3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2">
      <c r="A3402" s="229" t="n">
        <v>46271</v>
      </c>
      <c r="B3402" s="46" t="inlineStr">
        <is>
          <t>정기검사</t>
        </is>
      </c>
      <c r="C3402" s="46" t="inlineStr">
        <is>
          <t>부천지역</t>
        </is>
      </c>
      <c r="D3402" s="46" t="inlineStr">
        <is>
          <t>송내리더스텔</t>
        </is>
      </c>
      <c r="E3402" s="46" t="inlineStr">
        <is>
          <t>900/490</t>
        </is>
      </c>
      <c r="F3402" s="46" t="inlineStr">
        <is>
          <t>상동</t>
        </is>
      </c>
      <c r="G3402" s="50" t="n">
        <v>0.2708333333333333</v>
      </c>
      <c r="H3402" s="51" t="n">
        <v>1677940</v>
      </c>
      <c r="I3402" s="46" t="inlineStr">
        <is>
          <t>민재홍</t>
        </is>
      </c>
      <c r="K3402" s="46" t="n">
        <v>3401</v>
      </c>
      <c r="L3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3">
      <c r="A3403" s="229" t="n">
        <v>46271</v>
      </c>
      <c r="B3403" s="46" t="inlineStr">
        <is>
          <t>정기검사</t>
        </is>
      </c>
      <c r="C3403" s="46" t="inlineStr">
        <is>
          <t>부천지역</t>
        </is>
      </c>
      <c r="D3403" s="46" t="inlineStr">
        <is>
          <t>위스더빌상가</t>
        </is>
      </c>
      <c r="E3403" s="46" t="inlineStr">
        <is>
          <t>600/291</t>
        </is>
      </c>
      <c r="F3403" s="46" t="inlineStr">
        <is>
          <t>상동</t>
        </is>
      </c>
      <c r="G3403" s="50" t="n">
        <v>0.6458333333333334</v>
      </c>
      <c r="H3403" s="51" t="n">
        <v>1291620</v>
      </c>
      <c r="I3403" s="46" t="inlineStr">
        <is>
          <t>변종국</t>
        </is>
      </c>
      <c r="K3403" s="46" t="n">
        <v>3402</v>
      </c>
      <c r="L3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4">
      <c r="A3404" s="229" t="n">
        <v>46271</v>
      </c>
      <c r="B3404" s="46" t="inlineStr">
        <is>
          <t>사용전검사</t>
        </is>
      </c>
      <c r="C3404" s="46" t="inlineStr">
        <is>
          <t>부천지역</t>
        </is>
      </c>
      <c r="D3404" s="46" t="inlineStr">
        <is>
          <t>송내리더스텔</t>
        </is>
      </c>
      <c r="E3404" s="46" t="n">
        <v>900</v>
      </c>
      <c r="F3404" s="46" t="inlineStr">
        <is>
          <t>상동</t>
        </is>
      </c>
      <c r="G3404" s="50" t="n"/>
      <c r="H3404" s="51" t="n"/>
      <c r="I3404" s="46" t="inlineStr">
        <is>
          <t>민재홍</t>
        </is>
      </c>
      <c r="K3404" s="46" t="n">
        <v>3403</v>
      </c>
      <c r="L3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5">
      <c r="A3405" s="229" t="n">
        <v>46271</v>
      </c>
      <c r="B3405" s="46" t="inlineStr">
        <is>
          <t>메모</t>
        </is>
      </c>
      <c r="C3405" s="46" t="inlineStr">
        <is>
          <t>부천지역</t>
        </is>
      </c>
      <c r="D3405" s="46" t="inlineStr">
        <is>
          <t>김영권휴가</t>
        </is>
      </c>
      <c r="E3405" s="46" t="n"/>
      <c r="F3405" s="46" t="n"/>
      <c r="G3405" s="50" t="n"/>
      <c r="H3405" s="51" t="n"/>
      <c r="I3405" s="46" t="n"/>
      <c r="K3405" s="46" t="n">
        <v>3404</v>
      </c>
      <c r="L3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6">
      <c r="A3406" s="229" t="n">
        <v>46272</v>
      </c>
      <c r="B3406" s="46" t="inlineStr">
        <is>
          <t>정기검사</t>
        </is>
      </c>
      <c r="C3406" s="46" t="inlineStr">
        <is>
          <t>부천지역</t>
        </is>
      </c>
      <c r="D3406" s="46" t="inlineStr">
        <is>
          <t>건주프라자</t>
        </is>
      </c>
      <c r="E3406" s="46" t="n">
        <v>500</v>
      </c>
      <c r="F3406" s="46" t="inlineStr">
        <is>
          <t>원종동</t>
        </is>
      </c>
      <c r="G3406" s="50" t="n">
        <v>0.3958333333333333</v>
      </c>
      <c r="H3406" s="51" t="n">
        <v>737000</v>
      </c>
      <c r="I3406" s="46" t="inlineStr">
        <is>
          <t>허록종</t>
        </is>
      </c>
      <c r="K3406" s="46" t="n">
        <v>3405</v>
      </c>
      <c r="L3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7">
      <c r="A3407" s="229" t="n">
        <v>46272</v>
      </c>
      <c r="B3407" s="46" t="inlineStr">
        <is>
          <t>정기검사</t>
        </is>
      </c>
      <c r="C3407" s="46" t="inlineStr">
        <is>
          <t>부천지역</t>
        </is>
      </c>
      <c r="D3407" s="46" t="inlineStr">
        <is>
          <t>유진크린텍</t>
        </is>
      </c>
      <c r="E3407" s="46" t="n">
        <v>125</v>
      </c>
      <c r="F3407" s="46" t="inlineStr">
        <is>
          <t>춘의동</t>
        </is>
      </c>
      <c r="G3407" s="50" t="n">
        <v>0.5416666666666666</v>
      </c>
      <c r="H3407" s="51" t="n">
        <v>407880</v>
      </c>
      <c r="I3407" s="46" t="inlineStr">
        <is>
          <t>민재홍</t>
        </is>
      </c>
      <c r="K3407" s="46" t="n">
        <v>3406</v>
      </c>
      <c r="L3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8">
      <c r="A3408" s="229" t="n">
        <v>46272</v>
      </c>
      <c r="B3408" s="46" t="inlineStr">
        <is>
          <t>정기검사</t>
        </is>
      </c>
      <c r="C3408" s="46" t="inlineStr">
        <is>
          <t>부천지역</t>
        </is>
      </c>
      <c r="D3408" s="46" t="inlineStr">
        <is>
          <t>심곡태양광</t>
        </is>
      </c>
      <c r="E3408" s="46" t="n">
        <v>25</v>
      </c>
      <c r="F3408" s="46" t="inlineStr">
        <is>
          <t>내동</t>
        </is>
      </c>
      <c r="G3408" s="50" t="n">
        <v>0.4166666666666667</v>
      </c>
      <c r="H3408" s="51" t="n">
        <v>177540</v>
      </c>
      <c r="I3408" s="46" t="inlineStr">
        <is>
          <t>김영권</t>
        </is>
      </c>
      <c r="K3408" s="46" t="n">
        <v>3407</v>
      </c>
      <c r="L3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9">
      <c r="A3409" s="229" t="n">
        <v>46272</v>
      </c>
      <c r="B3409" s="46" t="inlineStr">
        <is>
          <t>정기검사</t>
        </is>
      </c>
      <c r="C3409" s="46" t="inlineStr">
        <is>
          <t>부천지역</t>
        </is>
      </c>
      <c r="D3409" s="46" t="inlineStr">
        <is>
          <t>금강프라자</t>
        </is>
      </c>
      <c r="E3409" s="46" t="inlineStr">
        <is>
          <t>300/69</t>
        </is>
      </c>
      <c r="F3409" s="46" t="inlineStr">
        <is>
          <t>중동</t>
        </is>
      </c>
      <c r="G3409" s="50" t="n">
        <v>0.3958333333333333</v>
      </c>
      <c r="H3409" s="51" t="n">
        <v>678700</v>
      </c>
      <c r="I3409" s="46" t="inlineStr">
        <is>
          <t>송낙명</t>
        </is>
      </c>
      <c r="K3409" s="46" t="n">
        <v>3408</v>
      </c>
      <c r="L3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0">
      <c r="A3410" s="229" t="n">
        <v>46272</v>
      </c>
      <c r="B3410" s="46" t="inlineStr">
        <is>
          <t>정기검사</t>
        </is>
      </c>
      <c r="C3410" s="46" t="inlineStr">
        <is>
          <t>부천지역</t>
        </is>
      </c>
      <c r="D3410" s="46" t="inlineStr">
        <is>
          <t>부천대</t>
        </is>
      </c>
      <c r="E3410" s="46" t="inlineStr">
        <is>
          <t>전기차</t>
        </is>
      </c>
      <c r="F3410" s="46" t="inlineStr">
        <is>
          <t>심곡동</t>
        </is>
      </c>
      <c r="G3410" s="50" t="n">
        <v>0.4583333333333333</v>
      </c>
      <c r="H3410" s="51" t="n">
        <v>81180</v>
      </c>
      <c r="I3410" s="46" t="inlineStr">
        <is>
          <t>민재홍</t>
        </is>
      </c>
      <c r="K3410" s="46" t="n">
        <v>3409</v>
      </c>
      <c r="L3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1">
      <c r="A3411" s="229" t="n">
        <v>46272</v>
      </c>
      <c r="B3411" s="46" t="inlineStr">
        <is>
          <t>정기검사</t>
        </is>
      </c>
      <c r="C3411" s="46" t="inlineStr">
        <is>
          <t>김포지역</t>
        </is>
      </c>
      <c r="D3411" s="46" t="inlineStr">
        <is>
          <t>선보하이테크</t>
        </is>
      </c>
      <c r="E3411" s="46" t="n">
        <v>550</v>
      </c>
      <c r="F3411" s="46" t="inlineStr">
        <is>
          <t>고정리</t>
        </is>
      </c>
      <c r="G3411" s="50" t="n">
        <v>0.4583333333333333</v>
      </c>
      <c r="H3411" s="51" t="n">
        <v>753940</v>
      </c>
      <c r="I3411" s="46" t="inlineStr">
        <is>
          <t>이종석</t>
        </is>
      </c>
      <c r="K3411" s="46" t="n">
        <v>3410</v>
      </c>
      <c r="L3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2">
      <c r="A3412" s="229" t="n">
        <v>46272</v>
      </c>
      <c r="B3412" s="46" t="inlineStr">
        <is>
          <t>정기검사</t>
        </is>
      </c>
      <c r="C3412" s="46" t="inlineStr">
        <is>
          <t>김포지역</t>
        </is>
      </c>
      <c r="D3412" s="46" t="inlineStr">
        <is>
          <t>청암테크</t>
        </is>
      </c>
      <c r="E3412" s="46" t="n">
        <v>290</v>
      </c>
      <c r="F3412" s="46" t="inlineStr">
        <is>
          <t>구래동</t>
        </is>
      </c>
      <c r="G3412" s="50" t="n">
        <v>0.4375</v>
      </c>
      <c r="H3412" s="51" t="n">
        <v>515130</v>
      </c>
      <c r="I3412" s="46" t="inlineStr">
        <is>
          <t>서수형</t>
        </is>
      </c>
      <c r="K3412" s="46" t="n">
        <v>3411</v>
      </c>
      <c r="L3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3">
      <c r="A3413" s="229" t="n">
        <v>46272</v>
      </c>
      <c r="B3413" s="46" t="inlineStr">
        <is>
          <t>사용전검사</t>
        </is>
      </c>
      <c r="C3413" s="46" t="inlineStr">
        <is>
          <t>부천지역</t>
        </is>
      </c>
      <c r="D3413" s="46" t="inlineStr">
        <is>
          <t>여월동광남부</t>
        </is>
      </c>
      <c r="E3413" s="46" t="n"/>
      <c r="F3413" s="46" t="n"/>
      <c r="G3413" s="50" t="n"/>
      <c r="H3413" s="51" t="n"/>
      <c r="I3413" s="46" t="inlineStr">
        <is>
          <t>변종국</t>
        </is>
      </c>
      <c r="K3413" s="46" t="n">
        <v>3412</v>
      </c>
      <c r="L3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4">
      <c r="A3414" s="229" t="n">
        <v>46272</v>
      </c>
      <c r="B3414" s="46" t="inlineStr">
        <is>
          <t>사용전검사</t>
        </is>
      </c>
      <c r="C3414" s="46" t="inlineStr">
        <is>
          <t>부천지역</t>
        </is>
      </c>
      <c r="D3414" s="46" t="inlineStr">
        <is>
          <t>인천교통공사</t>
        </is>
      </c>
      <c r="E3414" s="46" t="n">
        <v>15</v>
      </c>
      <c r="F3414" s="46" t="n"/>
      <c r="G3414" s="50" t="n"/>
      <c r="H3414" s="51" t="n"/>
      <c r="I3414" s="46" t="inlineStr">
        <is>
          <t>당효진</t>
        </is>
      </c>
      <c r="K3414" s="46" t="n">
        <v>3413</v>
      </c>
      <c r="L3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5">
      <c r="A3415" s="229" t="n">
        <v>46272</v>
      </c>
      <c r="B3415" s="46" t="inlineStr">
        <is>
          <t>메모</t>
        </is>
      </c>
      <c r="C3415" s="46" t="inlineStr">
        <is>
          <t>부천지역</t>
        </is>
      </c>
      <c r="D3415" s="46" t="inlineStr">
        <is>
          <t>한태희휴가</t>
        </is>
      </c>
      <c r="E3415" s="46" t="n"/>
      <c r="F3415" s="46" t="n"/>
      <c r="G3415" s="50" t="n"/>
      <c r="H3415" s="51" t="n"/>
      <c r="I3415" s="46" t="n"/>
      <c r="K3415" s="46" t="n">
        <v>3414</v>
      </c>
      <c r="L3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6">
      <c r="A3416" s="229" t="n">
        <v>46272</v>
      </c>
      <c r="B3416" s="46" t="inlineStr">
        <is>
          <t>사용전검사</t>
        </is>
      </c>
      <c r="C3416" s="46" t="inlineStr">
        <is>
          <t>김포지역</t>
        </is>
      </c>
      <c r="D3416" s="46" t="inlineStr">
        <is>
          <t>엠에스덴</t>
        </is>
      </c>
      <c r="E3416" s="46" t="n">
        <v>150</v>
      </c>
      <c r="F3416" s="46" t="inlineStr">
        <is>
          <t>풍무동</t>
        </is>
      </c>
      <c r="G3416" s="50" t="n"/>
      <c r="H3416" s="51" t="n"/>
      <c r="I3416" s="46" t="inlineStr">
        <is>
          <t>정신배</t>
        </is>
      </c>
      <c r="K3416" s="46" t="n">
        <v>3415</v>
      </c>
      <c r="L3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7">
      <c r="A3417" s="229" t="n">
        <v>46272</v>
      </c>
      <c r="B3417" s="46" t="inlineStr">
        <is>
          <t>사용전검사</t>
        </is>
      </c>
      <c r="C3417" s="46" t="inlineStr">
        <is>
          <t>김포지역</t>
        </is>
      </c>
      <c r="D3417" s="46" t="inlineStr">
        <is>
          <t>동산제과</t>
        </is>
      </c>
      <c r="E3417" s="46" t="n">
        <v>125</v>
      </c>
      <c r="F3417" s="46" t="inlineStr">
        <is>
          <t>원산리</t>
        </is>
      </c>
      <c r="G3417" s="50" t="n"/>
      <c r="H3417" s="51" t="n"/>
      <c r="I3417" s="46" t="inlineStr">
        <is>
          <t>변종국</t>
        </is>
      </c>
      <c r="K3417" s="46" t="n">
        <v>3416</v>
      </c>
      <c r="L3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8">
      <c r="A3418" s="229" t="n">
        <v>46272</v>
      </c>
      <c r="B3418" s="46" t="inlineStr">
        <is>
          <t>사용전검사</t>
        </is>
      </c>
      <c r="C3418" s="46" t="inlineStr">
        <is>
          <t>김포지역</t>
        </is>
      </c>
      <c r="D3418" s="46" t="inlineStr">
        <is>
          <t>한신기계</t>
        </is>
      </c>
      <c r="E3418" s="46" t="n">
        <v>202</v>
      </c>
      <c r="F3418" s="46" t="inlineStr">
        <is>
          <t>학운리</t>
        </is>
      </c>
      <c r="G3418" s="50" t="n"/>
      <c r="H3418" s="51" t="n"/>
      <c r="I3418" s="46" t="inlineStr">
        <is>
          <t>허창수</t>
        </is>
      </c>
      <c r="K3418" s="46" t="n">
        <v>3417</v>
      </c>
      <c r="L3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9">
      <c r="A3419" s="229" t="n">
        <v>46272</v>
      </c>
      <c r="B3419" s="46" t="inlineStr">
        <is>
          <t>사용전검사</t>
        </is>
      </c>
      <c r="C3419" s="46" t="inlineStr">
        <is>
          <t>김포지역</t>
        </is>
      </c>
      <c r="D3419" s="46" t="inlineStr">
        <is>
          <t>한누리</t>
        </is>
      </c>
      <c r="E3419" s="46" t="n">
        <v>105</v>
      </c>
      <c r="F3419" s="46" t="inlineStr">
        <is>
          <t>학운리</t>
        </is>
      </c>
      <c r="G3419" s="50" t="n"/>
      <c r="H3419" s="51" t="n"/>
      <c r="I3419" s="46" t="inlineStr">
        <is>
          <t>허창수</t>
        </is>
      </c>
      <c r="K3419" s="46" t="n">
        <v>3418</v>
      </c>
      <c r="L3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0">
      <c r="A3420" s="229" t="n">
        <v>46272</v>
      </c>
      <c r="B3420" s="46" t="inlineStr">
        <is>
          <t>사용전검사</t>
        </is>
      </c>
      <c r="C3420" s="46" t="inlineStr">
        <is>
          <t>김포지역</t>
        </is>
      </c>
      <c r="D3420" s="46" t="inlineStr">
        <is>
          <t>이노피</t>
        </is>
      </c>
      <c r="E3420" s="46" t="n">
        <v>200</v>
      </c>
      <c r="F3420" s="46" t="inlineStr">
        <is>
          <t>학운리</t>
        </is>
      </c>
      <c r="G3420" s="50" t="n"/>
      <c r="H3420" s="51" t="n"/>
      <c r="I3420" s="46" t="inlineStr">
        <is>
          <t>정신배</t>
        </is>
      </c>
      <c r="K3420" s="46" t="n">
        <v>3419</v>
      </c>
      <c r="L3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1">
      <c r="A3421" s="229" t="n">
        <v>46272</v>
      </c>
      <c r="B3421" s="46" t="inlineStr">
        <is>
          <t>사용전검사</t>
        </is>
      </c>
      <c r="C3421" s="46" t="inlineStr">
        <is>
          <t>김포지역</t>
        </is>
      </c>
      <c r="D3421" s="46" t="inlineStr">
        <is>
          <t>운양1호</t>
        </is>
      </c>
      <c r="E3421" s="46" t="n">
        <v>99</v>
      </c>
      <c r="F3421" s="46" t="inlineStr">
        <is>
          <t>구래동</t>
        </is>
      </c>
      <c r="G3421" s="50" t="n"/>
      <c r="H3421" s="51" t="n"/>
      <c r="I3421" s="46" t="inlineStr">
        <is>
          <t>이덕기</t>
        </is>
      </c>
      <c r="K3421" s="46" t="n">
        <v>3420</v>
      </c>
      <c r="L3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2">
      <c r="A3422" s="229" t="n">
        <v>46272</v>
      </c>
      <c r="B3422" s="46" t="inlineStr">
        <is>
          <t>사용전검사</t>
        </is>
      </c>
      <c r="C3422" s="46" t="inlineStr">
        <is>
          <t>김포지역</t>
        </is>
      </c>
      <c r="D3422" s="46" t="inlineStr">
        <is>
          <t>삼원인쇄</t>
        </is>
      </c>
      <c r="E3422" s="46" t="inlineStr">
        <is>
          <t>변변</t>
        </is>
      </c>
      <c r="F3422" s="46" t="inlineStr">
        <is>
          <t>흥신리</t>
        </is>
      </c>
      <c r="G3422" s="50" t="n"/>
      <c r="H3422" s="51" t="n"/>
      <c r="I3422" s="46" t="inlineStr">
        <is>
          <t>옹승완</t>
        </is>
      </c>
      <c r="K3422" s="46" t="n">
        <v>3421</v>
      </c>
      <c r="L3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3">
      <c r="A3423" s="229" t="n">
        <v>46273</v>
      </c>
      <c r="B3423" s="46" t="inlineStr">
        <is>
          <t>정기검사</t>
        </is>
      </c>
      <c r="C3423" s="46" t="inlineStr">
        <is>
          <t>부천지역</t>
        </is>
      </c>
      <c r="D3423" s="46" t="inlineStr">
        <is>
          <t>가온</t>
        </is>
      </c>
      <c r="E3423" s="46" t="n">
        <v>300</v>
      </c>
      <c r="F3423" s="46" t="inlineStr">
        <is>
          <t>오정동</t>
        </is>
      </c>
      <c r="G3423" s="50" t="n">
        <v>0.5416666666666666</v>
      </c>
      <c r="H3423" s="51" t="n">
        <v>521730</v>
      </c>
      <c r="I3423" s="46" t="inlineStr">
        <is>
          <t>정성관</t>
        </is>
      </c>
      <c r="K3423" s="46" t="n">
        <v>3422</v>
      </c>
      <c r="L3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4">
      <c r="A3424" s="229" t="n">
        <v>46273</v>
      </c>
      <c r="B3424" s="46" t="inlineStr">
        <is>
          <t>정기검사</t>
        </is>
      </c>
      <c r="C3424" s="46" t="inlineStr">
        <is>
          <t>부천지역</t>
        </is>
      </c>
      <c r="D3424" s="46" t="inlineStr">
        <is>
          <t>삼화아프테뷰</t>
        </is>
      </c>
      <c r="E3424" s="46" t="n">
        <v>175</v>
      </c>
      <c r="F3424" s="46" t="inlineStr">
        <is>
          <t>소사동</t>
        </is>
      </c>
      <c r="G3424" s="50" t="n">
        <v>0.4166666666666667</v>
      </c>
      <c r="H3424" s="51" t="n">
        <v>188320</v>
      </c>
      <c r="I3424" s="46" t="inlineStr">
        <is>
          <t>송낙명</t>
        </is>
      </c>
      <c r="K3424" s="46" t="n">
        <v>3423</v>
      </c>
      <c r="L3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5">
      <c r="A3425" s="229" t="n">
        <v>46273</v>
      </c>
      <c r="B3425" s="46" t="inlineStr">
        <is>
          <t>정기검사</t>
        </is>
      </c>
      <c r="C3425" s="46" t="inlineStr">
        <is>
          <t>부천지역</t>
        </is>
      </c>
      <c r="D3425" s="46" t="inlineStr">
        <is>
          <t>오정프라자</t>
        </is>
      </c>
      <c r="E3425" s="46" t="inlineStr">
        <is>
          <t>800/60</t>
        </is>
      </c>
      <c r="F3425" s="46" t="inlineStr">
        <is>
          <t>오정동</t>
        </is>
      </c>
      <c r="G3425" s="50" t="n">
        <v>0.3958333333333333</v>
      </c>
      <c r="H3425" s="51" t="n">
        <v>1022560</v>
      </c>
      <c r="I3425" s="46" t="inlineStr">
        <is>
          <t>변종국</t>
        </is>
      </c>
      <c r="K3425" s="46" t="n">
        <v>3424</v>
      </c>
      <c r="L3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6">
      <c r="A3426" s="229" t="n">
        <v>46273</v>
      </c>
      <c r="B3426" s="46" t="inlineStr">
        <is>
          <t>정기검사</t>
        </is>
      </c>
      <c r="C3426" s="46" t="inlineStr">
        <is>
          <t>부천지역</t>
        </is>
      </c>
      <c r="D3426" s="46" t="inlineStr">
        <is>
          <t>아폴리</t>
        </is>
      </c>
      <c r="E3426" s="46" t="n">
        <v>380</v>
      </c>
      <c r="F3426" s="46" t="inlineStr">
        <is>
          <t>내동</t>
        </is>
      </c>
      <c r="G3426" s="50" t="n">
        <v>0.6458333333333334</v>
      </c>
      <c r="H3426" s="51" t="n">
        <v>696300</v>
      </c>
      <c r="I3426" s="46" t="inlineStr">
        <is>
          <t>정신배</t>
        </is>
      </c>
      <c r="K3426" s="46" t="n">
        <v>3425</v>
      </c>
      <c r="L3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7">
      <c r="A3427" s="229" t="n">
        <v>46273</v>
      </c>
      <c r="B3427" s="46" t="inlineStr">
        <is>
          <t>정기검사</t>
        </is>
      </c>
      <c r="C3427" s="46" t="inlineStr">
        <is>
          <t>부천지역</t>
        </is>
      </c>
      <c r="D3427" s="46" t="inlineStr">
        <is>
          <t>부천자생병원</t>
        </is>
      </c>
      <c r="E3427" s="46" t="inlineStr">
        <is>
          <t>850/136</t>
        </is>
      </c>
      <c r="F3427" s="46" t="inlineStr">
        <is>
          <t>상동</t>
        </is>
      </c>
      <c r="G3427" s="50" t="n">
        <v>0.2708333333333333</v>
      </c>
      <c r="H3427" s="51" t="n">
        <v>1342440</v>
      </c>
      <c r="I3427" s="46" t="inlineStr">
        <is>
          <t>송낙명</t>
        </is>
      </c>
      <c r="K3427" s="46" t="n">
        <v>3426</v>
      </c>
      <c r="L3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8">
      <c r="A3428" s="229" t="n">
        <v>46273</v>
      </c>
      <c r="B3428" s="46" t="inlineStr">
        <is>
          <t>정기검사</t>
        </is>
      </c>
      <c r="C3428" s="46" t="inlineStr">
        <is>
          <t>부천지역</t>
        </is>
      </c>
      <c r="D3428" s="46" t="inlineStr">
        <is>
          <t>블랙스톨리조트</t>
        </is>
      </c>
      <c r="E3428" s="46" t="n">
        <v>980</v>
      </c>
      <c r="F3428" s="46" t="inlineStr">
        <is>
          <t>약대동</t>
        </is>
      </c>
      <c r="G3428" s="50" t="n">
        <v>0.4791666666666667</v>
      </c>
      <c r="H3428" s="51" t="n">
        <v>899580</v>
      </c>
      <c r="I3428" s="46" t="inlineStr">
        <is>
          <t>정신배</t>
        </is>
      </c>
      <c r="K3428" s="46" t="n">
        <v>3427</v>
      </c>
      <c r="L3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9">
      <c r="A3429" s="229" t="n">
        <v>46273</v>
      </c>
      <c r="B3429" s="46" t="inlineStr">
        <is>
          <t>정기검사</t>
        </is>
      </c>
      <c r="C3429" s="46" t="inlineStr">
        <is>
          <t>부천지역</t>
        </is>
      </c>
      <c r="D3429" s="46" t="inlineStr">
        <is>
          <t>반달선경</t>
        </is>
      </c>
      <c r="E3429" s="46" t="inlineStr">
        <is>
          <t>전기차</t>
        </is>
      </c>
      <c r="F3429" s="46" t="inlineStr">
        <is>
          <t>중동</t>
        </is>
      </c>
      <c r="G3429" s="50" t="n">
        <v>0.4166666666666667</v>
      </c>
      <c r="H3429" s="51" t="n">
        <v>106590</v>
      </c>
      <c r="I3429" s="46" t="inlineStr">
        <is>
          <t>변종국</t>
        </is>
      </c>
      <c r="K3429" s="46" t="n">
        <v>3428</v>
      </c>
      <c r="L3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0">
      <c r="A3430" s="229" t="n">
        <v>46273</v>
      </c>
      <c r="B3430" s="46" t="inlineStr">
        <is>
          <t>정기검사</t>
        </is>
      </c>
      <c r="C3430" s="46" t="inlineStr">
        <is>
          <t>부천지역</t>
        </is>
      </c>
      <c r="D3430" s="46" t="inlineStr">
        <is>
          <t>금강약초불가마</t>
        </is>
      </c>
      <c r="E3430" s="46" t="inlineStr">
        <is>
          <t>250/70</t>
        </is>
      </c>
      <c r="F3430" s="46" t="inlineStr">
        <is>
          <t>송내동</t>
        </is>
      </c>
      <c r="G3430" s="50" t="n">
        <v>0.4583333333333333</v>
      </c>
      <c r="H3430" s="51" t="n">
        <v>646470</v>
      </c>
      <c r="I3430" s="46" t="inlineStr">
        <is>
          <t>이종석</t>
        </is>
      </c>
      <c r="K3430" s="46" t="n">
        <v>3429</v>
      </c>
      <c r="L3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1">
      <c r="A3431" s="229" t="n">
        <v>46273</v>
      </c>
      <c r="B3431" s="46" t="inlineStr">
        <is>
          <t>정기검사</t>
        </is>
      </c>
      <c r="C3431" s="46" t="inlineStr">
        <is>
          <t>부천지역</t>
        </is>
      </c>
      <c r="D3431" s="46" t="inlineStr">
        <is>
          <t>파인스타5</t>
        </is>
      </c>
      <c r="E3431" s="46" t="n">
        <v>750</v>
      </c>
      <c r="F3431" s="46" t="inlineStr">
        <is>
          <t>걸포동</t>
        </is>
      </c>
      <c r="G3431" s="50" t="n">
        <v>0.2708333333333333</v>
      </c>
      <c r="H3431" s="51" t="n">
        <v>1068210</v>
      </c>
      <c r="I3431" s="46" t="inlineStr">
        <is>
          <t>이덕기</t>
        </is>
      </c>
      <c r="K3431" s="46" t="n">
        <v>3430</v>
      </c>
      <c r="L3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2">
      <c r="A3432" s="229" t="n">
        <v>46273</v>
      </c>
      <c r="B3432" s="46" t="inlineStr">
        <is>
          <t>정기검사</t>
        </is>
      </c>
      <c r="C3432" s="46" t="inlineStr">
        <is>
          <t>김포지역</t>
        </is>
      </c>
      <c r="D3432" s="46" t="inlineStr">
        <is>
          <t>신유베라</t>
        </is>
      </c>
      <c r="E3432" s="46" t="inlineStr">
        <is>
          <t>전기차</t>
        </is>
      </c>
      <c r="F3432" s="46" t="inlineStr">
        <is>
          <t>유현리</t>
        </is>
      </c>
      <c r="G3432" s="50" t="n">
        <v>0.4166666666666667</v>
      </c>
      <c r="H3432" s="51" t="n">
        <v>64240</v>
      </c>
      <c r="I3432" s="46" t="inlineStr">
        <is>
          <t>서수형</t>
        </is>
      </c>
      <c r="K3432" s="46" t="n">
        <v>3431</v>
      </c>
      <c r="L3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3">
      <c r="A3433" s="229" t="n">
        <v>46273</v>
      </c>
      <c r="B3433" s="46" t="inlineStr">
        <is>
          <t>정기검사</t>
        </is>
      </c>
      <c r="C3433" s="46" t="inlineStr">
        <is>
          <t>김포지역</t>
        </is>
      </c>
      <c r="D3433" s="46" t="inlineStr">
        <is>
          <t>보흥가구</t>
        </is>
      </c>
      <c r="E3433" s="46" t="n">
        <v>200</v>
      </c>
      <c r="F3433" s="46" t="inlineStr">
        <is>
          <t>누산리</t>
        </is>
      </c>
      <c r="G3433" s="50" t="n">
        <v>0.5</v>
      </c>
      <c r="H3433" s="51" t="n">
        <v>456720</v>
      </c>
      <c r="I3433" s="46" t="inlineStr">
        <is>
          <t>김영권</t>
        </is>
      </c>
      <c r="K3433" s="46" t="n">
        <v>3432</v>
      </c>
      <c r="L3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4">
      <c r="A3434" s="229" t="n">
        <v>46273</v>
      </c>
      <c r="B3434" s="46" t="inlineStr">
        <is>
          <t>정기검사</t>
        </is>
      </c>
      <c r="C3434" s="46" t="inlineStr">
        <is>
          <t>김포지역</t>
        </is>
      </c>
      <c r="D3434" s="46" t="inlineStr">
        <is>
          <t>KCC</t>
        </is>
      </c>
      <c r="E3434" s="46" t="inlineStr">
        <is>
          <t>3250/681</t>
        </is>
      </c>
      <c r="F3434" s="46" t="inlineStr">
        <is>
          <t>장기동</t>
        </is>
      </c>
      <c r="G3434" s="50" t="n">
        <v>0.4166666666666667</v>
      </c>
      <c r="H3434" s="51" t="n">
        <v>1536590</v>
      </c>
      <c r="I3434" s="46" t="inlineStr">
        <is>
          <t>옹승완</t>
        </is>
      </c>
      <c r="K3434" s="46" t="n">
        <v>3433</v>
      </c>
      <c r="L3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5">
      <c r="A3435" s="229" t="n">
        <v>46273</v>
      </c>
      <c r="B3435" s="46" t="inlineStr">
        <is>
          <t>정기검사</t>
        </is>
      </c>
      <c r="C3435" s="46" t="inlineStr">
        <is>
          <t>김포지역</t>
        </is>
      </c>
      <c r="D3435" s="46" t="inlineStr">
        <is>
          <t>KCC</t>
        </is>
      </c>
      <c r="E3435" s="46" t="inlineStr">
        <is>
          <t>전기차</t>
        </is>
      </c>
      <c r="F3435" s="46" t="inlineStr">
        <is>
          <t>장기동</t>
        </is>
      </c>
      <c r="G3435" s="50" t="n">
        <v>0.4166666666666667</v>
      </c>
      <c r="H3435" s="51" t="n">
        <v>271480</v>
      </c>
      <c r="I3435" s="46" t="inlineStr">
        <is>
          <t>옹승완</t>
        </is>
      </c>
      <c r="K3435" s="46" t="n">
        <v>3434</v>
      </c>
      <c r="L3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6">
      <c r="A3436" s="229" t="n">
        <v>46273</v>
      </c>
      <c r="B3436" s="46" t="inlineStr">
        <is>
          <t>정기검사</t>
        </is>
      </c>
      <c r="C3436" s="46" t="inlineStr">
        <is>
          <t>김포지역</t>
        </is>
      </c>
      <c r="D3436" s="46" t="inlineStr">
        <is>
          <t>거성태양광</t>
        </is>
      </c>
      <c r="E3436" s="46" t="n">
        <v>99</v>
      </c>
      <c r="F3436" s="46" t="inlineStr">
        <is>
          <t>동을산리</t>
        </is>
      </c>
      <c r="G3436" s="50" t="n"/>
      <c r="H3436" s="51" t="n">
        <v>254870</v>
      </c>
      <c r="I3436" s="46" t="inlineStr">
        <is>
          <t>서수형</t>
        </is>
      </c>
      <c r="K3436" s="46" t="n">
        <v>3435</v>
      </c>
      <c r="L3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7">
      <c r="A3437" s="229" t="n">
        <v>46273</v>
      </c>
      <c r="B3437" s="46" t="inlineStr">
        <is>
          <t>정기검사</t>
        </is>
      </c>
      <c r="C3437" s="46" t="inlineStr">
        <is>
          <t>김포지역</t>
        </is>
      </c>
      <c r="D3437" s="46" t="inlineStr">
        <is>
          <t>김포굿프라임</t>
        </is>
      </c>
      <c r="E3437" s="46" t="inlineStr">
        <is>
          <t>6650/409</t>
        </is>
      </c>
      <c r="F3437" s="46" t="inlineStr">
        <is>
          <t>운양동</t>
        </is>
      </c>
      <c r="G3437" s="50" t="n">
        <v>0.2708333333333333</v>
      </c>
      <c r="H3437" s="51" t="n">
        <v>2358840</v>
      </c>
      <c r="I3437" s="46" t="inlineStr">
        <is>
          <t>허록종</t>
        </is>
      </c>
      <c r="K3437" s="46" t="n">
        <v>3436</v>
      </c>
      <c r="L3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8">
      <c r="A3438" s="229" t="n">
        <v>46273</v>
      </c>
      <c r="B3438" s="46" t="inlineStr">
        <is>
          <t>정기검사</t>
        </is>
      </c>
      <c r="C3438" s="46" t="inlineStr">
        <is>
          <t>김포지역</t>
        </is>
      </c>
      <c r="D3438" s="46" t="inlineStr">
        <is>
          <t>유한하이테크</t>
        </is>
      </c>
      <c r="E3438" s="46" t="n">
        <v>500</v>
      </c>
      <c r="F3438" s="46" t="inlineStr">
        <is>
          <t>학운리</t>
        </is>
      </c>
      <c r="G3438" s="50" t="n">
        <v>0.4791666666666667</v>
      </c>
      <c r="H3438" s="51" t="n">
        <v>737000</v>
      </c>
      <c r="I3438" s="46" t="inlineStr">
        <is>
          <t>허창수</t>
        </is>
      </c>
      <c r="K3438" s="46" t="n">
        <v>3437</v>
      </c>
      <c r="L3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9">
      <c r="A3439" s="229" t="n">
        <v>46273</v>
      </c>
      <c r="B3439" s="46" t="inlineStr">
        <is>
          <t>정기검사</t>
        </is>
      </c>
      <c r="C3439" s="46" t="inlineStr">
        <is>
          <t>김포지역</t>
        </is>
      </c>
      <c r="D3439" s="46" t="inlineStr">
        <is>
          <t>이편한세상2차</t>
        </is>
      </c>
      <c r="E3439" s="46" t="inlineStr">
        <is>
          <t>2900/136</t>
        </is>
      </c>
      <c r="F3439" s="46" t="inlineStr">
        <is>
          <t>마산동</t>
        </is>
      </c>
      <c r="G3439" s="50" t="n">
        <v>0.4166666666666667</v>
      </c>
      <c r="H3439" s="51" t="n">
        <v>1630750</v>
      </c>
      <c r="I3439" s="46" t="inlineStr">
        <is>
          <t>민재홍</t>
        </is>
      </c>
      <c r="K3439" s="46" t="n">
        <v>3438</v>
      </c>
      <c r="L3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0">
      <c r="A3440" s="229" t="n">
        <v>46273</v>
      </c>
      <c r="B3440" s="46" t="inlineStr">
        <is>
          <t>정기검사</t>
        </is>
      </c>
      <c r="C3440" s="46" t="inlineStr">
        <is>
          <t>김포지역</t>
        </is>
      </c>
      <c r="D3440" s="46" t="inlineStr">
        <is>
          <t>이편한세상3차</t>
        </is>
      </c>
      <c r="E3440" s="46" t="inlineStr">
        <is>
          <t>전기차</t>
        </is>
      </c>
      <c r="F3440" s="46" t="inlineStr">
        <is>
          <t>마산동</t>
        </is>
      </c>
      <c r="G3440" s="50" t="n">
        <v>0.4166666666666667</v>
      </c>
      <c r="H3440" s="51" t="n">
        <v>284460</v>
      </c>
      <c r="I3440" s="46" t="inlineStr">
        <is>
          <t>민재홍</t>
        </is>
      </c>
      <c r="K3440" s="46" t="n">
        <v>3439</v>
      </c>
      <c r="L3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1">
      <c r="A3441" s="229" t="n">
        <v>46273</v>
      </c>
      <c r="B3441" s="46" t="inlineStr">
        <is>
          <t>정기검사</t>
        </is>
      </c>
      <c r="C3441" s="46" t="inlineStr">
        <is>
          <t>김포지역</t>
        </is>
      </c>
      <c r="D3441" s="46" t="inlineStr">
        <is>
          <t>고창kcc</t>
        </is>
      </c>
      <c r="E3441" s="46" t="inlineStr">
        <is>
          <t>전기차</t>
        </is>
      </c>
      <c r="F3441" s="46" t="inlineStr">
        <is>
          <t>장기동</t>
        </is>
      </c>
      <c r="G3441" s="50" t="n">
        <v>0.4166666666666667</v>
      </c>
      <c r="H3441" s="51" t="n">
        <v>132000</v>
      </c>
      <c r="I3441" s="46" t="inlineStr">
        <is>
          <t>옹승완</t>
        </is>
      </c>
      <c r="K3441" s="46" t="n">
        <v>3440</v>
      </c>
      <c r="L3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2">
      <c r="A3442" s="229" t="n">
        <v>46273</v>
      </c>
      <c r="B3442" s="46" t="inlineStr">
        <is>
          <t>메모</t>
        </is>
      </c>
      <c r="C3442" s="46" t="inlineStr">
        <is>
          <t>부천지역</t>
        </is>
      </c>
      <c r="D3442" s="46" t="inlineStr">
        <is>
          <t>한태희교육</t>
        </is>
      </c>
      <c r="E3442" s="46" t="n"/>
      <c r="F3442" s="46" t="n"/>
      <c r="G3442" s="50" t="n"/>
      <c r="H3442" s="51" t="n"/>
      <c r="I3442" s="46" t="n"/>
      <c r="K3442" s="46" t="n">
        <v>3441</v>
      </c>
      <c r="L3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3">
      <c r="A3443" s="229" t="n">
        <v>46274</v>
      </c>
      <c r="B3443" s="46" t="inlineStr">
        <is>
          <t>정기검사</t>
        </is>
      </c>
      <c r="C3443" s="46" t="inlineStr">
        <is>
          <t>부천지역</t>
        </is>
      </c>
      <c r="D3443" s="46" t="inlineStr">
        <is>
          <t>태용인쇄지기</t>
        </is>
      </c>
      <c r="E3443" s="46" t="n">
        <v>250</v>
      </c>
      <c r="F3443" s="46" t="inlineStr">
        <is>
          <t>내동</t>
        </is>
      </c>
      <c r="G3443" s="50" t="n">
        <v>0.4791666666666667</v>
      </c>
      <c r="H3443" s="51" t="n">
        <v>489170</v>
      </c>
      <c r="I3443" s="46" t="inlineStr">
        <is>
          <t>송낙명</t>
        </is>
      </c>
      <c r="K3443" s="46" t="n">
        <v>3442</v>
      </c>
      <c r="L3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4">
      <c r="A3444" s="229" t="n">
        <v>46274</v>
      </c>
      <c r="B3444" s="46" t="inlineStr">
        <is>
          <t>정기검사</t>
        </is>
      </c>
      <c r="C3444" s="46" t="inlineStr">
        <is>
          <t>부천지역</t>
        </is>
      </c>
      <c r="D3444" s="46" t="inlineStr">
        <is>
          <t>교육지원청</t>
        </is>
      </c>
      <c r="E3444" s="46" t="n">
        <v>69</v>
      </c>
      <c r="F3444" s="46" t="inlineStr">
        <is>
          <t>중동</t>
        </is>
      </c>
      <c r="G3444" s="50" t="n">
        <v>0.5625</v>
      </c>
      <c r="H3444" s="51" t="n">
        <v>156970</v>
      </c>
      <c r="I3444" s="46" t="inlineStr">
        <is>
          <t>송낙명</t>
        </is>
      </c>
      <c r="K3444" s="46" t="n">
        <v>3443</v>
      </c>
      <c r="L3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5">
      <c r="A3445" s="229" t="n">
        <v>46274</v>
      </c>
      <c r="B3445" s="46" t="inlineStr">
        <is>
          <t>정기검사</t>
        </is>
      </c>
      <c r="C3445" s="46" t="inlineStr">
        <is>
          <t>부천지역</t>
        </is>
      </c>
      <c r="D3445" s="46" t="inlineStr">
        <is>
          <t>현대엔지니어링</t>
        </is>
      </c>
      <c r="E3445" s="46" t="inlineStr">
        <is>
          <t>700/272</t>
        </is>
      </c>
      <c r="F3445" s="46" t="inlineStr">
        <is>
          <t>중동</t>
        </is>
      </c>
      <c r="G3445" s="50" t="n">
        <v>0.2916666666666667</v>
      </c>
      <c r="H3445" s="51" t="n">
        <v>1328360</v>
      </c>
      <c r="I3445" s="46" t="inlineStr">
        <is>
          <t>민재홍</t>
        </is>
      </c>
      <c r="K3445" s="46" t="n">
        <v>3444</v>
      </c>
      <c r="L3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6">
      <c r="A3446" s="229" t="n">
        <v>46274</v>
      </c>
      <c r="B3446" s="46" t="inlineStr">
        <is>
          <t>정기검사</t>
        </is>
      </c>
      <c r="C3446" s="46" t="inlineStr">
        <is>
          <t>김포지역</t>
        </is>
      </c>
      <c r="D3446" s="46" t="inlineStr">
        <is>
          <t>지에스피</t>
        </is>
      </c>
      <c r="E3446" s="46" t="n">
        <v>290</v>
      </c>
      <c r="F3446" s="46" t="inlineStr">
        <is>
          <t>대명리</t>
        </is>
      </c>
      <c r="G3446" s="50" t="n">
        <v>0.3958333333333333</v>
      </c>
      <c r="H3446" s="51" t="n">
        <v>515130</v>
      </c>
      <c r="I3446" s="46" t="inlineStr">
        <is>
          <t>이종석</t>
        </is>
      </c>
      <c r="K3446" s="46" t="n">
        <v>3445</v>
      </c>
      <c r="L3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7">
      <c r="A3447" s="229" t="n">
        <v>46274</v>
      </c>
      <c r="B3447" s="46" t="inlineStr">
        <is>
          <t>정기검사</t>
        </is>
      </c>
      <c r="C3447" s="46" t="inlineStr">
        <is>
          <t>김포지역</t>
        </is>
      </c>
      <c r="D3447" s="46" t="inlineStr">
        <is>
          <t>태산케미칼</t>
        </is>
      </c>
      <c r="E3447" s="46" t="n">
        <v>290</v>
      </c>
      <c r="F3447" s="46" t="inlineStr">
        <is>
          <t>옹정리</t>
        </is>
      </c>
      <c r="G3447" s="50" t="n">
        <v>0.5416666666666666</v>
      </c>
      <c r="H3447" s="51" t="n">
        <v>515130</v>
      </c>
      <c r="I3447" s="46" t="inlineStr">
        <is>
          <t>이덕기</t>
        </is>
      </c>
      <c r="K3447" s="46" t="n">
        <v>3446</v>
      </c>
      <c r="L3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8">
      <c r="A3448" s="229" t="n">
        <v>46274</v>
      </c>
      <c r="B3448" s="46" t="inlineStr">
        <is>
          <t>정기검사</t>
        </is>
      </c>
      <c r="C3448" s="46" t="inlineStr">
        <is>
          <t>김포지역</t>
        </is>
      </c>
      <c r="D3448" s="46" t="inlineStr">
        <is>
          <t>명기화학</t>
        </is>
      </c>
      <c r="E3448" s="46" t="n">
        <v>200</v>
      </c>
      <c r="F3448" s="46" t="inlineStr">
        <is>
          <t>동을산리</t>
        </is>
      </c>
      <c r="G3448" s="50" t="n">
        <v>0.3958333333333333</v>
      </c>
      <c r="H3448" s="51" t="n">
        <v>456720</v>
      </c>
      <c r="I3448" s="46" t="inlineStr">
        <is>
          <t>허록종</t>
        </is>
      </c>
      <c r="K3448" s="46" t="n">
        <v>3447</v>
      </c>
      <c r="L3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9">
      <c r="A3449" s="229" t="n">
        <v>46274</v>
      </c>
      <c r="B3449" s="46" t="inlineStr">
        <is>
          <t>정기검사</t>
        </is>
      </c>
      <c r="C3449" s="46" t="inlineStr">
        <is>
          <t>김포지역</t>
        </is>
      </c>
      <c r="D3449" s="46" t="inlineStr">
        <is>
          <t>메가플렉슨공업</t>
        </is>
      </c>
      <c r="E3449" s="46" t="n">
        <v>350</v>
      </c>
      <c r="F3449" s="46" t="inlineStr">
        <is>
          <t>풍무동</t>
        </is>
      </c>
      <c r="G3449" s="50" t="n">
        <v>0.4791666666666667</v>
      </c>
      <c r="H3449" s="51" t="n">
        <v>686180</v>
      </c>
      <c r="I3449" s="46" t="inlineStr">
        <is>
          <t>서수형</t>
        </is>
      </c>
      <c r="K3449" s="46" t="n">
        <v>3448</v>
      </c>
      <c r="L3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0">
      <c r="A3450" s="229" t="n">
        <v>46274</v>
      </c>
      <c r="B3450" s="46" t="inlineStr">
        <is>
          <t>정기검사</t>
        </is>
      </c>
      <c r="C3450" s="46" t="inlineStr">
        <is>
          <t>김포지역</t>
        </is>
      </c>
      <c r="D3450" s="46" t="inlineStr">
        <is>
          <t>넘버원코스메틱</t>
        </is>
      </c>
      <c r="E3450" s="46" t="n">
        <v>750</v>
      </c>
      <c r="F3450" s="46" t="inlineStr">
        <is>
          <t>흥신리</t>
        </is>
      </c>
      <c r="G3450" s="50" t="n">
        <v>0.5</v>
      </c>
      <c r="H3450" s="51" t="n">
        <v>821700</v>
      </c>
      <c r="I3450" s="46" t="inlineStr">
        <is>
          <t>당효진</t>
        </is>
      </c>
      <c r="K3450" s="46" t="n">
        <v>3449</v>
      </c>
      <c r="L3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1">
      <c r="A3451" s="229" t="n">
        <v>46274</v>
      </c>
      <c r="B3451" s="46" t="inlineStr">
        <is>
          <t>정기검사</t>
        </is>
      </c>
      <c r="C3451" s="46" t="inlineStr">
        <is>
          <t>김포지역</t>
        </is>
      </c>
      <c r="D3451" s="46" t="inlineStr">
        <is>
          <t>김포한강lh</t>
        </is>
      </c>
      <c r="E3451" s="46" t="inlineStr">
        <is>
          <t>1007/350</t>
        </is>
      </c>
      <c r="F3451" s="46" t="inlineStr">
        <is>
          <t>장기동</t>
        </is>
      </c>
      <c r="G3451" s="50" t="n">
        <v>0.3958333333333333</v>
      </c>
      <c r="H3451" s="51" t="n">
        <v>1293490</v>
      </c>
      <c r="I3451" s="46" t="inlineStr">
        <is>
          <t>정성관</t>
        </is>
      </c>
      <c r="K3451" s="46" t="n">
        <v>3450</v>
      </c>
      <c r="L3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2">
      <c r="A3452" s="229" t="n">
        <v>46274</v>
      </c>
      <c r="B3452" s="46" t="inlineStr">
        <is>
          <t>정기검사</t>
        </is>
      </c>
      <c r="C3452" s="46" t="inlineStr">
        <is>
          <t>김포지역</t>
        </is>
      </c>
      <c r="D3452" s="46" t="inlineStr">
        <is>
          <t>한일산업</t>
        </is>
      </c>
      <c r="E3452" s="46" t="n">
        <v>900</v>
      </c>
      <c r="F3452" s="46" t="inlineStr">
        <is>
          <t>대명리</t>
        </is>
      </c>
      <c r="G3452" s="50" t="n">
        <v>0.4583333333333333</v>
      </c>
      <c r="H3452" s="51" t="n">
        <v>872520</v>
      </c>
      <c r="I3452" s="46" t="inlineStr">
        <is>
          <t>변종국</t>
        </is>
      </c>
      <c r="K3452" s="46" t="n">
        <v>3451</v>
      </c>
      <c r="L3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3">
      <c r="A3453" s="229" t="n">
        <v>46274</v>
      </c>
      <c r="B3453" s="46" t="inlineStr">
        <is>
          <t>정기검사</t>
        </is>
      </c>
      <c r="C3453" s="46" t="inlineStr">
        <is>
          <t>김포지역</t>
        </is>
      </c>
      <c r="D3453" s="46" t="inlineStr">
        <is>
          <t>서림기업</t>
        </is>
      </c>
      <c r="E3453" s="46" t="n">
        <v>19</v>
      </c>
      <c r="F3453" s="46" t="inlineStr">
        <is>
          <t>석탄리</t>
        </is>
      </c>
      <c r="G3453" s="50" t="n">
        <v>0.6041666666666666</v>
      </c>
      <c r="H3453" s="51" t="n">
        <v>94490</v>
      </c>
      <c r="I3453" s="46" t="inlineStr">
        <is>
          <t>정신배</t>
        </is>
      </c>
      <c r="K3453" s="46" t="n">
        <v>3452</v>
      </c>
      <c r="L3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4">
      <c r="A3454" s="229" t="n">
        <v>46274</v>
      </c>
      <c r="B3454" s="46" t="inlineStr">
        <is>
          <t>사용전검사</t>
        </is>
      </c>
      <c r="C3454" s="46" t="inlineStr">
        <is>
          <t>부천지역</t>
        </is>
      </c>
      <c r="D3454" s="46" t="inlineStr">
        <is>
          <t>시티건설</t>
        </is>
      </c>
      <c r="E3454" s="46" t="n">
        <v>400</v>
      </c>
      <c r="F3454" s="46" t="inlineStr">
        <is>
          <t>여월동</t>
        </is>
      </c>
      <c r="G3454" s="50" t="n"/>
      <c r="H3454" s="51" t="n"/>
      <c r="I3454" s="46" t="inlineStr">
        <is>
          <t>김영권</t>
        </is>
      </c>
      <c r="K3454" s="46" t="n">
        <v>3453</v>
      </c>
      <c r="L3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5">
      <c r="A3455" s="229" t="n">
        <v>46274</v>
      </c>
      <c r="B3455" s="46" t="inlineStr">
        <is>
          <t>사용전검사</t>
        </is>
      </c>
      <c r="C3455" s="46" t="inlineStr">
        <is>
          <t>부천지역</t>
        </is>
      </c>
      <c r="D3455" s="46" t="inlineStr">
        <is>
          <t>시티건설</t>
        </is>
      </c>
      <c r="E3455" s="46" t="n">
        <v>500</v>
      </c>
      <c r="F3455" s="46" t="inlineStr">
        <is>
          <t>여월동</t>
        </is>
      </c>
      <c r="G3455" s="50" t="n"/>
      <c r="H3455" s="51" t="n"/>
      <c r="I3455" s="46" t="inlineStr">
        <is>
          <t>민재홍</t>
        </is>
      </c>
      <c r="K3455" s="46" t="n">
        <v>3454</v>
      </c>
      <c r="L3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6">
      <c r="A3456" s="229" t="n">
        <v>46274</v>
      </c>
      <c r="B3456" s="46" t="inlineStr">
        <is>
          <t>사용전검사</t>
        </is>
      </c>
      <c r="C3456" s="46" t="inlineStr">
        <is>
          <t>부천지역</t>
        </is>
      </c>
      <c r="D3456" s="46" t="inlineStr">
        <is>
          <t>씨에스프롭텍</t>
        </is>
      </c>
      <c r="E3456" s="46" t="n">
        <v>240</v>
      </c>
      <c r="F3456" s="46" t="inlineStr">
        <is>
          <t>원종동</t>
        </is>
      </c>
      <c r="G3456" s="50" t="n"/>
      <c r="H3456" s="51" t="n"/>
      <c r="I3456" s="46" t="inlineStr">
        <is>
          <t>김영권</t>
        </is>
      </c>
      <c r="K3456" s="46" t="n">
        <v>3455</v>
      </c>
      <c r="L3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7">
      <c r="A3457" s="229" t="n">
        <v>46274</v>
      </c>
      <c r="B3457" s="46" t="inlineStr">
        <is>
          <t>사용전검사</t>
        </is>
      </c>
      <c r="C3457" s="46" t="inlineStr">
        <is>
          <t>부천지역</t>
        </is>
      </c>
      <c r="D3457" s="46" t="inlineStr">
        <is>
          <t>배블리순대국</t>
        </is>
      </c>
      <c r="E3457" s="46" t="n">
        <v>10</v>
      </c>
      <c r="F3457" s="46" t="inlineStr">
        <is>
          <t>원미동</t>
        </is>
      </c>
      <c r="G3457" s="50" t="n"/>
      <c r="H3457" s="51" t="n"/>
      <c r="I3457" s="46" t="inlineStr">
        <is>
          <t>송낙명</t>
        </is>
      </c>
      <c r="K3457" s="46" t="n">
        <v>3456</v>
      </c>
      <c r="L3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8">
      <c r="A3458" s="229" t="n">
        <v>46274</v>
      </c>
      <c r="B3458" s="46" t="inlineStr">
        <is>
          <t>사용전검사</t>
        </is>
      </c>
      <c r="C3458" s="46" t="inlineStr">
        <is>
          <t>부천지역</t>
        </is>
      </c>
      <c r="D3458" s="46" t="inlineStr">
        <is>
          <t>강나연</t>
        </is>
      </c>
      <c r="E3458" s="46" t="n">
        <v>8</v>
      </c>
      <c r="F3458" s="46" t="inlineStr">
        <is>
          <t>고강동</t>
        </is>
      </c>
      <c r="G3458" s="50" t="n"/>
      <c r="H3458" s="51" t="n"/>
      <c r="I3458" s="46" t="inlineStr">
        <is>
          <t>송낙명</t>
        </is>
      </c>
      <c r="K3458" s="46" t="n">
        <v>3457</v>
      </c>
      <c r="L3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9">
      <c r="A3459" s="229" t="n">
        <v>46274</v>
      </c>
      <c r="B3459" s="46" t="inlineStr">
        <is>
          <t>메모</t>
        </is>
      </c>
      <c r="C3459" s="46" t="inlineStr">
        <is>
          <t>부천지역</t>
        </is>
      </c>
      <c r="D3459" s="46" t="inlineStr">
        <is>
          <t>한태희휴가</t>
        </is>
      </c>
      <c r="E3459" s="46" t="n"/>
      <c r="F3459" s="46" t="n"/>
      <c r="G3459" s="50" t="n"/>
      <c r="H3459" s="51" t="n"/>
      <c r="I3459" s="46" t="n"/>
      <c r="K3459" s="46" t="n">
        <v>3458</v>
      </c>
      <c r="L3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0">
      <c r="A3460" s="229" t="n">
        <v>46274</v>
      </c>
      <c r="B3460" s="46" t="inlineStr">
        <is>
          <t>사용전검사</t>
        </is>
      </c>
      <c r="C3460" s="46" t="inlineStr">
        <is>
          <t>김포지역</t>
        </is>
      </c>
      <c r="D3460" s="46" t="inlineStr">
        <is>
          <t>다미태양광</t>
        </is>
      </c>
      <c r="E3460" s="46" t="n">
        <v>128</v>
      </c>
      <c r="F3460" s="46" t="inlineStr">
        <is>
          <t>대능리</t>
        </is>
      </c>
      <c r="G3460" s="50" t="n"/>
      <c r="H3460" s="51" t="n"/>
      <c r="I3460" s="46" t="inlineStr">
        <is>
          <t>변종국</t>
        </is>
      </c>
      <c r="K3460" s="46" t="n">
        <v>3459</v>
      </c>
      <c r="L3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1">
      <c r="A3461" s="229" t="n">
        <v>46274</v>
      </c>
      <c r="B3461" s="46" t="inlineStr">
        <is>
          <t>사용전검사</t>
        </is>
      </c>
      <c r="C3461" s="46" t="inlineStr">
        <is>
          <t>김포지역</t>
        </is>
      </c>
      <c r="D3461" s="46" t="inlineStr">
        <is>
          <t>케어</t>
        </is>
      </c>
      <c r="E3461" s="46" t="n">
        <v>490</v>
      </c>
      <c r="F3461" s="46" t="inlineStr">
        <is>
          <t>학운리</t>
        </is>
      </c>
      <c r="G3461" s="50" t="n"/>
      <c r="H3461" s="51" t="n"/>
      <c r="I3461" s="46" t="inlineStr">
        <is>
          <t>허창수</t>
        </is>
      </c>
      <c r="K3461" s="46" t="n">
        <v>3460</v>
      </c>
      <c r="L3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2">
      <c r="A3462" s="229" t="n">
        <v>46274</v>
      </c>
      <c r="B3462" s="46" t="inlineStr">
        <is>
          <t>사용전검사</t>
        </is>
      </c>
      <c r="C3462" s="46" t="inlineStr">
        <is>
          <t>김포지역</t>
        </is>
      </c>
      <c r="D3462" s="46" t="inlineStr">
        <is>
          <t>인생아구찜</t>
        </is>
      </c>
      <c r="E3462" s="46" t="n">
        <v>8</v>
      </c>
      <c r="F3462" s="46" t="inlineStr">
        <is>
          <t>마산동</t>
        </is>
      </c>
      <c r="G3462" s="50" t="n"/>
      <c r="H3462" s="51" t="n"/>
      <c r="I3462" s="46" t="inlineStr">
        <is>
          <t>옹승완</t>
        </is>
      </c>
      <c r="K3462" s="46" t="n">
        <v>3461</v>
      </c>
      <c r="L3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3">
      <c r="A3463" s="229" t="n">
        <v>46275</v>
      </c>
      <c r="B3463" s="46" t="inlineStr">
        <is>
          <t>정기검사</t>
        </is>
      </c>
      <c r="C3463" s="46" t="inlineStr">
        <is>
          <t>부천지역</t>
        </is>
      </c>
      <c r="D3463" s="46" t="inlineStr">
        <is>
          <t>에스케이</t>
        </is>
      </c>
      <c r="E3463" s="46" t="inlineStr">
        <is>
          <t>전기차</t>
        </is>
      </c>
      <c r="F3463" s="46" t="inlineStr">
        <is>
          <t>송내동</t>
        </is>
      </c>
      <c r="G3463" s="50" t="n"/>
      <c r="H3463" s="51" t="n"/>
      <c r="I3463" s="46" t="inlineStr">
        <is>
          <t>정성관</t>
        </is>
      </c>
      <c r="K3463" s="46" t="n">
        <v>3462</v>
      </c>
      <c r="L3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4">
      <c r="A3464" s="229" t="n">
        <v>46275</v>
      </c>
      <c r="B3464" s="46" t="inlineStr">
        <is>
          <t>정기검사</t>
        </is>
      </c>
      <c r="C3464" s="46" t="inlineStr">
        <is>
          <t>부천지역</t>
        </is>
      </c>
      <c r="D3464" s="46" t="inlineStr">
        <is>
          <t>신흥빌딩</t>
        </is>
      </c>
      <c r="E3464" s="46" t="n">
        <v>200</v>
      </c>
      <c r="F3464" s="46" t="inlineStr">
        <is>
          <t>원미동</t>
        </is>
      </c>
      <c r="G3464" s="50" t="n"/>
      <c r="H3464" s="51" t="n">
        <v>456720</v>
      </c>
      <c r="I3464" s="46" t="inlineStr">
        <is>
          <t>이덕기</t>
        </is>
      </c>
      <c r="K3464" s="46" t="n">
        <v>3463</v>
      </c>
      <c r="L3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5">
      <c r="A3465" s="229" t="n">
        <v>46275</v>
      </c>
      <c r="B3465" s="46" t="inlineStr">
        <is>
          <t>정기검사</t>
        </is>
      </c>
      <c r="C3465" s="46" t="inlineStr">
        <is>
          <t>김포지역</t>
        </is>
      </c>
      <c r="D3465" s="46" t="inlineStr">
        <is>
          <t>비호팰리스</t>
        </is>
      </c>
      <c r="E3465" s="46" t="n">
        <v>500</v>
      </c>
      <c r="F3465" s="46" t="inlineStr">
        <is>
          <t>운양동</t>
        </is>
      </c>
      <c r="G3465" s="50" t="n">
        <v>0.3958333333333333</v>
      </c>
      <c r="H3465" s="51" t="n">
        <v>737000</v>
      </c>
      <c r="I3465" s="46" t="inlineStr">
        <is>
          <t>허록종</t>
        </is>
      </c>
      <c r="K3465" s="46" t="n">
        <v>3464</v>
      </c>
      <c r="L3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6">
      <c r="A3466" s="229" t="n">
        <v>46275</v>
      </c>
      <c r="B3466" s="46" t="inlineStr">
        <is>
          <t>정기검사</t>
        </is>
      </c>
      <c r="C3466" s="46" t="inlineStr">
        <is>
          <t>김포지역</t>
        </is>
      </c>
      <c r="D3466" s="46" t="inlineStr">
        <is>
          <t>한성엘앤티</t>
        </is>
      </c>
      <c r="E3466" s="46" t="n">
        <v>290</v>
      </c>
      <c r="F3466" s="46" t="inlineStr">
        <is>
          <t>갈산리</t>
        </is>
      </c>
      <c r="G3466" s="50" t="n">
        <v>0.5</v>
      </c>
      <c r="H3466" s="51" t="n">
        <v>515130</v>
      </c>
      <c r="I3466" s="46" t="inlineStr">
        <is>
          <t>김영권</t>
        </is>
      </c>
      <c r="K3466" s="46" t="n">
        <v>3465</v>
      </c>
      <c r="L3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7">
      <c r="A3467" s="229" t="n">
        <v>46275</v>
      </c>
      <c r="B3467" s="46" t="inlineStr">
        <is>
          <t>정기검사</t>
        </is>
      </c>
      <c r="C3467" s="46" t="inlineStr">
        <is>
          <t>김포지역</t>
        </is>
      </c>
      <c r="D3467" s="46" t="inlineStr">
        <is>
          <t>대건건철</t>
        </is>
      </c>
      <c r="E3467" s="46" t="n">
        <v>290</v>
      </c>
      <c r="F3467" s="46" t="inlineStr">
        <is>
          <t>귀전리</t>
        </is>
      </c>
      <c r="G3467" s="50" t="n">
        <v>0.5</v>
      </c>
      <c r="H3467" s="51" t="n">
        <v>515130</v>
      </c>
      <c r="I3467" s="46" t="inlineStr">
        <is>
          <t>이종석</t>
        </is>
      </c>
      <c r="K3467" s="46" t="n">
        <v>3466</v>
      </c>
      <c r="L3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8">
      <c r="A3468" s="229" t="n">
        <v>46275</v>
      </c>
      <c r="B3468" s="46" t="inlineStr">
        <is>
          <t>정기검사</t>
        </is>
      </c>
      <c r="C3468" s="46" t="inlineStr">
        <is>
          <t>김포지역</t>
        </is>
      </c>
      <c r="D3468" s="46" t="inlineStr">
        <is>
          <t>비강메탈</t>
        </is>
      </c>
      <c r="E3468" s="46" t="n">
        <v>300</v>
      </c>
      <c r="F3468" s="46" t="inlineStr">
        <is>
          <t>송마리</t>
        </is>
      </c>
      <c r="G3468" s="50" t="n">
        <v>0.5</v>
      </c>
      <c r="H3468" s="51" t="n">
        <v>521730</v>
      </c>
      <c r="I3468" s="46" t="inlineStr">
        <is>
          <t>당효진</t>
        </is>
      </c>
      <c r="K3468" s="46" t="n">
        <v>3467</v>
      </c>
      <c r="L3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9">
      <c r="A3469" s="229" t="n">
        <v>46275</v>
      </c>
      <c r="B3469" s="46" t="inlineStr">
        <is>
          <t>정기검사</t>
        </is>
      </c>
      <c r="C3469" s="46" t="inlineStr">
        <is>
          <t>김포지역</t>
        </is>
      </c>
      <c r="D3469" s="46" t="inlineStr">
        <is>
          <t>광덕엘리베이터</t>
        </is>
      </c>
      <c r="E3469" s="46" t="n">
        <v>94</v>
      </c>
      <c r="F3469" s="46" t="inlineStr">
        <is>
          <t>가현리</t>
        </is>
      </c>
      <c r="G3469" s="50" t="n">
        <v>0.4166666666666667</v>
      </c>
      <c r="H3469" s="51" t="n">
        <v>250030</v>
      </c>
      <c r="I3469" s="46" t="inlineStr">
        <is>
          <t>민재홍</t>
        </is>
      </c>
      <c r="K3469" s="46" t="n">
        <v>3468</v>
      </c>
      <c r="L3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0">
      <c r="A3470" s="229" t="n">
        <v>46275</v>
      </c>
      <c r="B3470" s="46" t="inlineStr">
        <is>
          <t>정기검사</t>
        </is>
      </c>
      <c r="C3470" s="46" t="inlineStr">
        <is>
          <t>김포지역</t>
        </is>
      </c>
      <c r="D3470" s="46" t="inlineStr">
        <is>
          <t>양촌행정복지</t>
        </is>
      </c>
      <c r="E3470" s="46" t="n">
        <v>500</v>
      </c>
      <c r="F3470" s="46" t="inlineStr">
        <is>
          <t>양곡리</t>
        </is>
      </c>
      <c r="G3470" s="50" t="n">
        <v>0.75</v>
      </c>
      <c r="H3470" s="51" t="n">
        <v>958100</v>
      </c>
      <c r="I3470" s="46" t="inlineStr">
        <is>
          <t>허창수</t>
        </is>
      </c>
      <c r="K3470" s="46" t="n">
        <v>3469</v>
      </c>
      <c r="L3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1">
      <c r="A3471" s="229" t="n">
        <v>46275</v>
      </c>
      <c r="B3471" s="46" t="inlineStr">
        <is>
          <t>정기검사</t>
        </is>
      </c>
      <c r="C3471" s="46" t="inlineStr">
        <is>
          <t>김포지역</t>
        </is>
      </c>
      <c r="D3471" s="46" t="inlineStr">
        <is>
          <t>양촌행정복지</t>
        </is>
      </c>
      <c r="E3471" s="46" t="inlineStr">
        <is>
          <t>전기차</t>
        </is>
      </c>
      <c r="F3471" s="46" t="inlineStr">
        <is>
          <t>양곡리</t>
        </is>
      </c>
      <c r="G3471" s="50" t="n">
        <v>0.5833333333333334</v>
      </c>
      <c r="H3471" s="51" t="n">
        <v>247940</v>
      </c>
      <c r="I3471" s="46" t="inlineStr">
        <is>
          <t>허창수</t>
        </is>
      </c>
      <c r="K3471" s="46" t="n">
        <v>3470</v>
      </c>
      <c r="L3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2">
      <c r="A3472" s="229" t="n">
        <v>46275</v>
      </c>
      <c r="B3472" s="46" t="inlineStr">
        <is>
          <t>정기검사</t>
        </is>
      </c>
      <c r="C3472" s="46" t="inlineStr">
        <is>
          <t>김포지역</t>
        </is>
      </c>
      <c r="D3472" s="46" t="inlineStr">
        <is>
          <t>양촌행정복지센타</t>
        </is>
      </c>
      <c r="E3472" s="46" t="inlineStr">
        <is>
          <t>전기차</t>
        </is>
      </c>
      <c r="F3472" s="46" t="inlineStr">
        <is>
          <t>양곡리</t>
        </is>
      </c>
      <c r="G3472" s="50" t="n"/>
      <c r="H3472" s="51" t="n">
        <v>247940</v>
      </c>
      <c r="I3472" s="46" t="inlineStr">
        <is>
          <t>허창수</t>
        </is>
      </c>
      <c r="K3472" s="46" t="n">
        <v>3471</v>
      </c>
      <c r="L3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3">
      <c r="A3473" s="229" t="n">
        <v>46275</v>
      </c>
      <c r="B3473" s="46" t="inlineStr">
        <is>
          <t>정기검사</t>
        </is>
      </c>
      <c r="C3473" s="46" t="inlineStr">
        <is>
          <t>김포지역</t>
        </is>
      </c>
      <c r="D3473" s="46" t="inlineStr">
        <is>
          <t>우성패키징</t>
        </is>
      </c>
      <c r="E3473" s="46" t="n">
        <v>290</v>
      </c>
      <c r="F3473" s="46" t="inlineStr">
        <is>
          <t>귀전리</t>
        </is>
      </c>
      <c r="G3473" s="50" t="n">
        <v>0.5833333333333334</v>
      </c>
      <c r="H3473" s="51" t="n">
        <v>515130</v>
      </c>
      <c r="I3473" s="46" t="inlineStr">
        <is>
          <t>서수형</t>
        </is>
      </c>
      <c r="K3473" s="46" t="n">
        <v>3472</v>
      </c>
      <c r="L3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4">
      <c r="A3474" s="229" t="n">
        <v>46275</v>
      </c>
      <c r="B3474" s="46" t="inlineStr">
        <is>
          <t>사용전검사</t>
        </is>
      </c>
      <c r="C3474" s="46" t="inlineStr">
        <is>
          <t>부천지역</t>
        </is>
      </c>
      <c r="D3474" s="46" t="inlineStr">
        <is>
          <t>세한빌딩</t>
        </is>
      </c>
      <c r="E3474" s="46" t="n">
        <v>700</v>
      </c>
      <c r="F3474" s="46" t="inlineStr">
        <is>
          <t>오정동</t>
        </is>
      </c>
      <c r="G3474" s="50" t="n"/>
      <c r="H3474" s="51" t="n"/>
      <c r="I3474" s="46" t="inlineStr">
        <is>
          <t>송낙명</t>
        </is>
      </c>
      <c r="K3474" s="46" t="n">
        <v>3473</v>
      </c>
      <c r="L3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5">
      <c r="A3475" s="229" t="n">
        <v>46275</v>
      </c>
      <c r="B3475" s="46" t="inlineStr">
        <is>
          <t>사용전검사</t>
        </is>
      </c>
      <c r="C3475" s="46" t="inlineStr">
        <is>
          <t>부천지역</t>
        </is>
      </c>
      <c r="D3475" s="46" t="inlineStr">
        <is>
          <t>진양아파트</t>
        </is>
      </c>
      <c r="E3475" s="46" t="inlineStr">
        <is>
          <t>750/400</t>
        </is>
      </c>
      <c r="F3475" s="46" t="inlineStr">
        <is>
          <t>소사본동</t>
        </is>
      </c>
      <c r="G3475" s="50" t="n"/>
      <c r="H3475" s="51" t="n"/>
      <c r="I3475" s="46" t="inlineStr">
        <is>
          <t>이덕기</t>
        </is>
      </c>
      <c r="K3475" s="46" t="n">
        <v>3474</v>
      </c>
      <c r="L3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6">
      <c r="A3476" s="229" t="n">
        <v>46275</v>
      </c>
      <c r="B3476" s="46" t="inlineStr">
        <is>
          <t>메모</t>
        </is>
      </c>
      <c r="C3476" s="46" t="inlineStr">
        <is>
          <t>부천지역</t>
        </is>
      </c>
      <c r="D3476" s="46" t="inlineStr">
        <is>
          <t>옹승완교육</t>
        </is>
      </c>
      <c r="E3476" s="46" t="inlineStr">
        <is>
          <t>송낙명-이덕기</t>
        </is>
      </c>
      <c r="F3476" s="46" t="n"/>
      <c r="G3476" s="50" t="n"/>
      <c r="H3476" s="51" t="n"/>
      <c r="I3476" s="46" t="n"/>
      <c r="K3476" s="46" t="n">
        <v>3475</v>
      </c>
      <c r="L3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7">
      <c r="A3477" s="229" t="n">
        <v>46275</v>
      </c>
      <c r="B3477" s="46" t="inlineStr">
        <is>
          <t>메모</t>
        </is>
      </c>
      <c r="C3477" s="46" t="inlineStr">
        <is>
          <t>부천지역</t>
        </is>
      </c>
      <c r="D3477" s="46" t="inlineStr">
        <is>
          <t>한태희휴가</t>
        </is>
      </c>
      <c r="E3477" s="46" t="n"/>
      <c r="F3477" s="46" t="n"/>
      <c r="G3477" s="50" t="n"/>
      <c r="H3477" s="51" t="n"/>
      <c r="I3477" s="46" t="n"/>
      <c r="K3477" s="46" t="n">
        <v>3476</v>
      </c>
      <c r="L3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8">
      <c r="A3478" s="229" t="n">
        <v>46275</v>
      </c>
      <c r="B3478" s="46" t="inlineStr">
        <is>
          <t>메모</t>
        </is>
      </c>
      <c r="C3478" s="46" t="inlineStr">
        <is>
          <t>부천지역</t>
        </is>
      </c>
      <c r="D3478" s="46" t="inlineStr">
        <is>
          <t>정신배휴가</t>
        </is>
      </c>
      <c r="E3478" s="46" t="n"/>
      <c r="F3478" s="46" t="n"/>
      <c r="G3478" s="50" t="n"/>
      <c r="H3478" s="51" t="n"/>
      <c r="I3478" s="46" t="n"/>
      <c r="K3478" s="46" t="n">
        <v>3477</v>
      </c>
      <c r="L3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9">
      <c r="A3479" s="229" t="n">
        <v>46275</v>
      </c>
      <c r="B3479" s="46" t="inlineStr">
        <is>
          <t>사용전검사</t>
        </is>
      </c>
      <c r="C3479" s="46" t="inlineStr">
        <is>
          <t>김포지역</t>
        </is>
      </c>
      <c r="D3479" s="46" t="inlineStr">
        <is>
          <t>bmk태양광</t>
        </is>
      </c>
      <c r="E3479" s="46" t="n">
        <v>337</v>
      </c>
      <c r="F3479" s="46" t="inlineStr">
        <is>
          <t>학운리</t>
        </is>
      </c>
      <c r="G3479" s="50" t="n"/>
      <c r="H3479" s="51" t="n"/>
      <c r="I3479" s="46" t="inlineStr">
        <is>
          <t>당효진</t>
        </is>
      </c>
      <c r="K3479" s="46" t="n">
        <v>3478</v>
      </c>
      <c r="L3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0">
      <c r="A3480" s="229" t="n">
        <v>46275</v>
      </c>
      <c r="B3480" s="46" t="inlineStr">
        <is>
          <t>사용전검사</t>
        </is>
      </c>
      <c r="C3480" s="46" t="inlineStr">
        <is>
          <t>김포지역</t>
        </is>
      </c>
      <c r="D3480" s="46" t="inlineStr">
        <is>
          <t>이규태</t>
        </is>
      </c>
      <c r="E3480" s="46" t="n">
        <v>19</v>
      </c>
      <c r="F3480" s="46" t="inlineStr">
        <is>
          <t>포래리</t>
        </is>
      </c>
      <c r="G3480" s="50" t="n"/>
      <c r="H3480" s="51" t="n"/>
      <c r="I3480" s="46" t="inlineStr">
        <is>
          <t>변종국</t>
        </is>
      </c>
      <c r="K3480" s="46" t="n">
        <v>3479</v>
      </c>
      <c r="L3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1">
      <c r="A3481" s="229" t="n">
        <v>46276</v>
      </c>
      <c r="B3481" s="46" t="inlineStr">
        <is>
          <t>정기검사</t>
        </is>
      </c>
      <c r="C3481" s="46" t="inlineStr">
        <is>
          <t>부천지역</t>
        </is>
      </c>
      <c r="D3481" s="46" t="inlineStr">
        <is>
          <t>동아아파트</t>
        </is>
      </c>
      <c r="E3481" s="46" t="inlineStr">
        <is>
          <t>950/350</t>
        </is>
      </c>
      <c r="F3481" s="46" t="inlineStr">
        <is>
          <t>중동</t>
        </is>
      </c>
      <c r="G3481" s="50" t="n">
        <v>0.4375</v>
      </c>
      <c r="H3481" s="51" t="n">
        <v>1114410</v>
      </c>
      <c r="I3481" s="46" t="inlineStr">
        <is>
          <t>송낙명</t>
        </is>
      </c>
      <c r="K3481" s="46" t="n">
        <v>3480</v>
      </c>
      <c r="L3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2">
      <c r="A3482" s="229" t="n">
        <v>46276</v>
      </c>
      <c r="B3482" s="46" t="inlineStr">
        <is>
          <t>정기검사</t>
        </is>
      </c>
      <c r="C3482" s="46" t="inlineStr">
        <is>
          <t>부천지역</t>
        </is>
      </c>
      <c r="D3482" s="46" t="inlineStr">
        <is>
          <t>브라운스톤원종아파트</t>
        </is>
      </c>
      <c r="E3482" s="46" t="n">
        <v>9.9</v>
      </c>
      <c r="F3482" s="46" t="inlineStr">
        <is>
          <t>원종동</t>
        </is>
      </c>
      <c r="G3482" s="50" t="n">
        <v>0.4583333333333333</v>
      </c>
      <c r="H3482" s="51" t="n">
        <v>91410</v>
      </c>
      <c r="I3482" s="46" t="inlineStr">
        <is>
          <t>변종국</t>
        </is>
      </c>
      <c r="K3482" s="46" t="n">
        <v>3481</v>
      </c>
      <c r="L3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3">
      <c r="A3483" s="229" t="n">
        <v>46276</v>
      </c>
      <c r="B3483" s="46" t="inlineStr">
        <is>
          <t>정기검사</t>
        </is>
      </c>
      <c r="C3483" s="46" t="inlineStr">
        <is>
          <t>부천지역</t>
        </is>
      </c>
      <c r="D3483" s="46" t="inlineStr">
        <is>
          <t>꿈마을동아아파트</t>
        </is>
      </c>
      <c r="E3483" s="46" t="inlineStr">
        <is>
          <t>전기차</t>
        </is>
      </c>
      <c r="F3483" s="46" t="inlineStr">
        <is>
          <t>중동</t>
        </is>
      </c>
      <c r="G3483" s="50" t="n">
        <v>0.4166666666666667</v>
      </c>
      <c r="H3483" s="51" t="n">
        <v>81180</v>
      </c>
      <c r="I3483" s="46" t="inlineStr">
        <is>
          <t>송낙명</t>
        </is>
      </c>
      <c r="K3483" s="46" t="n">
        <v>3482</v>
      </c>
      <c r="L3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4">
      <c r="A3484" s="229" t="n">
        <v>46276</v>
      </c>
      <c r="B3484" s="46" t="inlineStr">
        <is>
          <t>정기검사</t>
        </is>
      </c>
      <c r="C3484" s="46" t="inlineStr">
        <is>
          <t>부천지역</t>
        </is>
      </c>
      <c r="D3484" s="46" t="inlineStr">
        <is>
          <t>케이에스피</t>
        </is>
      </c>
      <c r="E3484" s="46" t="n">
        <v>950</v>
      </c>
      <c r="F3484" s="46" t="inlineStr">
        <is>
          <t>내동</t>
        </is>
      </c>
      <c r="G3484" s="50" t="n">
        <v>0.5416666666666666</v>
      </c>
      <c r="H3484" s="51" t="n">
        <v>889460</v>
      </c>
      <c r="I3484" s="46" t="inlineStr">
        <is>
          <t>한태희</t>
        </is>
      </c>
      <c r="K3484" s="46" t="n">
        <v>3483</v>
      </c>
      <c r="L3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5">
      <c r="A3485" s="229" t="n">
        <v>46276</v>
      </c>
      <c r="B3485" s="46" t="inlineStr">
        <is>
          <t>정기검사</t>
        </is>
      </c>
      <c r="C3485" s="46" t="inlineStr">
        <is>
          <t>부천지역</t>
        </is>
      </c>
      <c r="D3485" s="46" t="inlineStr">
        <is>
          <t>대진</t>
        </is>
      </c>
      <c r="E3485" s="46" t="n">
        <v>450</v>
      </c>
      <c r="F3485" s="46" t="inlineStr">
        <is>
          <t>내동</t>
        </is>
      </c>
      <c r="G3485" s="50" t="n">
        <v>0.5</v>
      </c>
      <c r="H3485" s="51" t="n">
        <v>720060</v>
      </c>
      <c r="I3485" s="46" t="inlineStr">
        <is>
          <t>한태희</t>
        </is>
      </c>
      <c r="K3485" s="46" t="n">
        <v>3484</v>
      </c>
      <c r="L3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6">
      <c r="A3486" s="229" t="n">
        <v>46276</v>
      </c>
      <c r="B3486" s="46" t="inlineStr">
        <is>
          <t>정기검사</t>
        </is>
      </c>
      <c r="C3486" s="46" t="inlineStr">
        <is>
          <t>부천지역</t>
        </is>
      </c>
      <c r="D3486" s="46" t="inlineStr">
        <is>
          <t>원미구청</t>
        </is>
      </c>
      <c r="E3486" s="46" t="inlineStr">
        <is>
          <t>450/236</t>
        </is>
      </c>
      <c r="F3486" s="46" t="inlineStr">
        <is>
          <t>상동</t>
        </is>
      </c>
      <c r="G3486" s="50" t="n">
        <v>0.5625</v>
      </c>
      <c r="H3486" s="51" t="n">
        <v>826420</v>
      </c>
      <c r="I3486" s="46" t="inlineStr">
        <is>
          <t>변종국</t>
        </is>
      </c>
      <c r="K3486" s="46" t="n">
        <v>3485</v>
      </c>
      <c r="L3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7">
      <c r="A3487" s="229" t="n">
        <v>46276</v>
      </c>
      <c r="B3487" s="46" t="inlineStr">
        <is>
          <t>정기검사</t>
        </is>
      </c>
      <c r="C3487" s="46" t="inlineStr">
        <is>
          <t>부천지역</t>
        </is>
      </c>
      <c r="D3487" s="46" t="inlineStr">
        <is>
          <t>크리스탈빌딩</t>
        </is>
      </c>
      <c r="E3487" s="46" t="n">
        <v>350</v>
      </c>
      <c r="F3487" s="46" t="inlineStr">
        <is>
          <t>중동</t>
        </is>
      </c>
      <c r="G3487" s="50" t="n">
        <v>0.2916666666666667</v>
      </c>
      <c r="H3487" s="51" t="n">
        <v>891990</v>
      </c>
      <c r="I3487" s="46" t="inlineStr">
        <is>
          <t>이종석</t>
        </is>
      </c>
      <c r="K3487" s="46" t="n">
        <v>3486</v>
      </c>
      <c r="L3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8">
      <c r="A3488" s="229" t="n">
        <v>46276</v>
      </c>
      <c r="B3488" s="46" t="inlineStr">
        <is>
          <t>정기검사</t>
        </is>
      </c>
      <c r="C3488" s="46" t="inlineStr">
        <is>
          <t>부천지역</t>
        </is>
      </c>
      <c r="D3488" s="46" t="inlineStr">
        <is>
          <t>gs파워</t>
        </is>
      </c>
      <c r="E3488" s="46" t="inlineStr">
        <is>
          <t>33000/</t>
        </is>
      </c>
      <c r="F3488" s="46" t="inlineStr">
        <is>
          <t>삼정동</t>
        </is>
      </c>
      <c r="G3488" s="50" t="n">
        <v>0.4375</v>
      </c>
      <c r="H3488" s="51" t="n">
        <v>3041500</v>
      </c>
      <c r="I3488" s="46" t="inlineStr">
        <is>
          <t>정성관</t>
        </is>
      </c>
      <c r="K3488" s="46" t="n">
        <v>3487</v>
      </c>
      <c r="L3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9">
      <c r="A3489" s="229" t="n">
        <v>46276</v>
      </c>
      <c r="B3489" s="46" t="inlineStr">
        <is>
          <t>정기검사</t>
        </is>
      </c>
      <c r="C3489" s="46" t="inlineStr">
        <is>
          <t>김포지역</t>
        </is>
      </c>
      <c r="D3489" s="46" t="inlineStr">
        <is>
          <t>중앙스틸</t>
        </is>
      </c>
      <c r="E3489" s="46" t="n">
        <v>290</v>
      </c>
      <c r="F3489" s="46" t="inlineStr">
        <is>
          <t>서암리</t>
        </is>
      </c>
      <c r="G3489" s="50" t="n">
        <v>0.3958333333333333</v>
      </c>
      <c r="H3489" s="51" t="n">
        <v>515130</v>
      </c>
      <c r="I3489" s="46" t="inlineStr">
        <is>
          <t>허창수</t>
        </is>
      </c>
      <c r="K3489" s="46" t="n">
        <v>3488</v>
      </c>
      <c r="L3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0">
      <c r="A3490" s="229" t="n">
        <v>46276</v>
      </c>
      <c r="B3490" s="46" t="inlineStr">
        <is>
          <t>정기검사</t>
        </is>
      </c>
      <c r="C3490" s="46" t="inlineStr">
        <is>
          <t>김포지역</t>
        </is>
      </c>
      <c r="D3490" s="46" t="inlineStr">
        <is>
          <t>스팩스페이스</t>
        </is>
      </c>
      <c r="E3490" s="46" t="n">
        <v>400</v>
      </c>
      <c r="F3490" s="46" t="inlineStr">
        <is>
          <t>상마리</t>
        </is>
      </c>
      <c r="G3490" s="50" t="n">
        <v>0.4791666666666667</v>
      </c>
      <c r="H3490" s="51" t="n">
        <v>703120</v>
      </c>
      <c r="I3490" s="46" t="inlineStr">
        <is>
          <t>당효진</t>
        </is>
      </c>
      <c r="K3490" s="46" t="n">
        <v>3489</v>
      </c>
      <c r="L3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1">
      <c r="A3491" s="229" t="n">
        <v>46276</v>
      </c>
      <c r="B3491" s="46" t="inlineStr">
        <is>
          <t>정기검사</t>
        </is>
      </c>
      <c r="C3491" s="46" t="inlineStr">
        <is>
          <t>김포지역</t>
        </is>
      </c>
      <c r="D3491" s="46" t="inlineStr">
        <is>
          <t>유림케미칼</t>
        </is>
      </c>
      <c r="E3491" s="46" t="n"/>
      <c r="F3491" s="46" t="inlineStr">
        <is>
          <t>고촌</t>
        </is>
      </c>
      <c r="G3491" s="50" t="n">
        <v>0.4375</v>
      </c>
      <c r="H3491" s="51" t="n">
        <v>456720</v>
      </c>
      <c r="I3491" s="46" t="inlineStr">
        <is>
          <t>김영권</t>
        </is>
      </c>
      <c r="K3491" s="46" t="n">
        <v>3490</v>
      </c>
      <c r="L3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2">
      <c r="A3492" s="229" t="n">
        <v>46276</v>
      </c>
      <c r="B3492" s="46" t="inlineStr">
        <is>
          <t>정기검사</t>
        </is>
      </c>
      <c r="C3492" s="46" t="inlineStr">
        <is>
          <t>김포지역</t>
        </is>
      </c>
      <c r="D3492" s="46" t="inlineStr">
        <is>
          <t>나우글로벌</t>
        </is>
      </c>
      <c r="E3492" s="46" t="n">
        <v>250</v>
      </c>
      <c r="F3492" s="46" t="inlineStr">
        <is>
          <t>옹정리</t>
        </is>
      </c>
      <c r="G3492" s="50" t="n">
        <v>0.5</v>
      </c>
      <c r="H3492" s="51" t="n">
        <v>489170</v>
      </c>
      <c r="I3492" s="46" t="inlineStr">
        <is>
          <t>옹승완</t>
        </is>
      </c>
      <c r="K3492" s="46" t="n">
        <v>3491</v>
      </c>
      <c r="L3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3">
      <c r="A3493" s="229" t="n">
        <v>46276</v>
      </c>
      <c r="B3493" s="46" t="inlineStr">
        <is>
          <t>정기검사</t>
        </is>
      </c>
      <c r="C3493" s="46" t="inlineStr">
        <is>
          <t>김포지역</t>
        </is>
      </c>
      <c r="D3493" s="46" t="inlineStr">
        <is>
          <t>공영기연</t>
        </is>
      </c>
      <c r="E3493" s="46" t="n">
        <v>700</v>
      </c>
      <c r="F3493" s="46" t="inlineStr">
        <is>
          <t>대벽리</t>
        </is>
      </c>
      <c r="G3493" s="50" t="n">
        <v>0.5</v>
      </c>
      <c r="H3493" s="51" t="n">
        <v>804760</v>
      </c>
      <c r="I3493" s="46" t="inlineStr">
        <is>
          <t>허록종</t>
        </is>
      </c>
      <c r="K3493" s="46" t="n">
        <v>3492</v>
      </c>
      <c r="L3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4">
      <c r="A3494" s="229" t="n">
        <v>46276</v>
      </c>
      <c r="B3494" s="46" t="inlineStr">
        <is>
          <t>정기검사</t>
        </is>
      </c>
      <c r="C3494" s="46" t="inlineStr">
        <is>
          <t>김포지역</t>
        </is>
      </c>
      <c r="D3494" s="46" t="inlineStr">
        <is>
          <t>예지원</t>
        </is>
      </c>
      <c r="E3494" s="46" t="inlineStr">
        <is>
          <t>300/145</t>
        </is>
      </c>
      <c r="F3494" s="46" t="inlineStr">
        <is>
          <t>용강리</t>
        </is>
      </c>
      <c r="G3494" s="50" t="n">
        <v>0.625</v>
      </c>
      <c r="H3494" s="51" t="n">
        <v>865700</v>
      </c>
      <c r="I3494" s="46" t="inlineStr">
        <is>
          <t>김영권</t>
        </is>
      </c>
      <c r="K3494" s="46" t="n">
        <v>3493</v>
      </c>
      <c r="L3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5">
      <c r="A3495" s="229" t="n">
        <v>46276</v>
      </c>
      <c r="B3495" s="46" t="inlineStr">
        <is>
          <t>정기검사</t>
        </is>
      </c>
      <c r="C3495" s="46" t="inlineStr">
        <is>
          <t>김포지역</t>
        </is>
      </c>
      <c r="D3495" s="46" t="inlineStr">
        <is>
          <t>대건케미컬</t>
        </is>
      </c>
      <c r="E3495" s="46" t="n">
        <v>550</v>
      </c>
      <c r="F3495" s="46" t="inlineStr">
        <is>
          <t>고양리</t>
        </is>
      </c>
      <c r="G3495" s="50" t="n">
        <v>0.3958333333333333</v>
      </c>
      <c r="H3495" s="51" t="n">
        <v>753940</v>
      </c>
      <c r="I3495" s="46" t="inlineStr">
        <is>
          <t>이덕기</t>
        </is>
      </c>
      <c r="K3495" s="46" t="n">
        <v>3494</v>
      </c>
      <c r="L3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6">
      <c r="A3496" s="229" t="n">
        <v>46276</v>
      </c>
      <c r="B3496" s="46" t="inlineStr">
        <is>
          <t>정기검사</t>
        </is>
      </c>
      <c r="C3496" s="46" t="inlineStr">
        <is>
          <t>김포지역</t>
        </is>
      </c>
      <c r="D3496" s="46" t="inlineStr">
        <is>
          <t>올팩코리아</t>
        </is>
      </c>
      <c r="E3496" s="46" t="n">
        <v>200</v>
      </c>
      <c r="F3496" s="46" t="inlineStr">
        <is>
          <t>원산리</t>
        </is>
      </c>
      <c r="G3496" s="50" t="n">
        <v>0.4166666666666667</v>
      </c>
      <c r="H3496" s="51" t="n">
        <v>456720</v>
      </c>
      <c r="I3496" s="46" t="inlineStr">
        <is>
          <t>서수형</t>
        </is>
      </c>
      <c r="K3496" s="46" t="n">
        <v>3495</v>
      </c>
      <c r="L3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7">
      <c r="A3497" s="229" t="n">
        <v>46276</v>
      </c>
      <c r="B3497" s="46" t="inlineStr">
        <is>
          <t>정기검사</t>
        </is>
      </c>
      <c r="C3497" s="46" t="inlineStr">
        <is>
          <t>김포지역</t>
        </is>
      </c>
      <c r="D3497" s="46" t="inlineStr">
        <is>
          <t>에스엠에스</t>
        </is>
      </c>
      <c r="E3497" s="46" t="n">
        <v>295</v>
      </c>
      <c r="F3497" s="46" t="inlineStr">
        <is>
          <t>송마리</t>
        </is>
      </c>
      <c r="G3497" s="50" t="inlineStr">
        <is>
          <t>시간조정</t>
        </is>
      </c>
      <c r="H3497" s="51" t="n">
        <v>518430</v>
      </c>
      <c r="I3497" s="46" t="inlineStr">
        <is>
          <t>민재홍</t>
        </is>
      </c>
      <c r="K3497" s="46" t="n">
        <v>3496</v>
      </c>
      <c r="L3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8">
      <c r="A3498" s="229" t="n">
        <v>46276</v>
      </c>
      <c r="B3498" s="46" t="inlineStr">
        <is>
          <t>사용전검사</t>
        </is>
      </c>
      <c r="C3498" s="46" t="inlineStr">
        <is>
          <t>부천지역</t>
        </is>
      </c>
      <c r="D3498" s="46" t="inlineStr">
        <is>
          <t>동우정밀기어</t>
        </is>
      </c>
      <c r="E3498" s="46" t="n">
        <v>84</v>
      </c>
      <c r="F3498" s="46" t="inlineStr">
        <is>
          <t>춘의동</t>
        </is>
      </c>
      <c r="G3498" s="50" t="n"/>
      <c r="H3498" s="51" t="n"/>
      <c r="I3498" s="46" t="inlineStr">
        <is>
          <t>송낙명</t>
        </is>
      </c>
      <c r="K3498" s="46" t="n">
        <v>3497</v>
      </c>
      <c r="L3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9">
      <c r="A3499" s="229" t="n">
        <v>46276</v>
      </c>
      <c r="B3499" s="46" t="inlineStr">
        <is>
          <t>메모</t>
        </is>
      </c>
      <c r="C3499" s="46" t="inlineStr">
        <is>
          <t>부천지역</t>
        </is>
      </c>
      <c r="D3499" s="46" t="inlineStr">
        <is>
          <t>정신배휴가</t>
        </is>
      </c>
      <c r="E3499" s="46" t="n"/>
      <c r="F3499" s="46" t="n"/>
      <c r="G3499" s="50" t="n"/>
      <c r="H3499" s="51" t="n"/>
      <c r="I3499" s="46" t="n"/>
      <c r="K3499" s="46" t="n">
        <v>3498</v>
      </c>
      <c r="L3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0">
      <c r="A3500" s="229" t="n">
        <v>46276</v>
      </c>
      <c r="B3500" s="46" t="inlineStr">
        <is>
          <t>사용전검사</t>
        </is>
      </c>
      <c r="C3500" s="46" t="inlineStr">
        <is>
          <t>김포지역</t>
        </is>
      </c>
      <c r="D3500" s="46" t="inlineStr">
        <is>
          <t>에스앤에스</t>
        </is>
      </c>
      <c r="E3500" s="46" t="n">
        <v>588</v>
      </c>
      <c r="F3500" s="46" t="inlineStr">
        <is>
          <t>학운리</t>
        </is>
      </c>
      <c r="G3500" s="50" t="n"/>
      <c r="H3500" s="51" t="n"/>
      <c r="I3500" s="46" t="inlineStr">
        <is>
          <t>당효진</t>
        </is>
      </c>
      <c r="K3500" s="46" t="n">
        <v>3499</v>
      </c>
      <c r="L3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1">
      <c r="A3501" s="229" t="n">
        <v>46277</v>
      </c>
      <c r="B3501" s="46" t="inlineStr">
        <is>
          <t>정기검사</t>
        </is>
      </c>
      <c r="C3501" s="46" t="inlineStr">
        <is>
          <t>부천지역</t>
        </is>
      </c>
      <c r="D3501" s="46" t="inlineStr">
        <is>
          <t>장성아크릴</t>
        </is>
      </c>
      <c r="E3501" s="46" t="n">
        <v>200</v>
      </c>
      <c r="F3501" s="46" t="inlineStr">
        <is>
          <t>송내동</t>
        </is>
      </c>
      <c r="G3501" s="50" t="n">
        <v>0.4583333333333333</v>
      </c>
      <c r="H3501" s="51" t="n">
        <v>593670</v>
      </c>
      <c r="I3501" s="46" t="inlineStr">
        <is>
          <t>이덕기</t>
        </is>
      </c>
      <c r="K3501" s="46" t="n">
        <v>3500</v>
      </c>
      <c r="L3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2">
      <c r="A3502" s="229" t="n">
        <v>46277</v>
      </c>
      <c r="B3502" s="46" t="inlineStr">
        <is>
          <t>정기검사</t>
        </is>
      </c>
      <c r="C3502" s="46" t="inlineStr">
        <is>
          <t>부천지역</t>
        </is>
      </c>
      <c r="D3502" s="46" t="inlineStr">
        <is>
          <t>남성산업</t>
        </is>
      </c>
      <c r="E3502" s="46" t="n">
        <v>300</v>
      </c>
      <c r="F3502" s="46" t="inlineStr">
        <is>
          <t>송내동</t>
        </is>
      </c>
      <c r="G3502" s="50" t="n">
        <v>0.375</v>
      </c>
      <c r="H3502" s="51" t="n">
        <v>678150</v>
      </c>
      <c r="I3502" s="46" t="inlineStr">
        <is>
          <t>옹승완</t>
        </is>
      </c>
      <c r="K3502" s="46" t="n">
        <v>3501</v>
      </c>
      <c r="L3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3">
      <c r="A3503" s="229" t="n">
        <v>46277</v>
      </c>
      <c r="B3503" s="46" t="inlineStr">
        <is>
          <t>정기검사</t>
        </is>
      </c>
      <c r="C3503" s="46" t="inlineStr">
        <is>
          <t>김포지역</t>
        </is>
      </c>
      <c r="D3503" s="46" t="inlineStr">
        <is>
          <t>아하</t>
        </is>
      </c>
      <c r="E3503" s="46" t="n">
        <v>2200</v>
      </c>
      <c r="F3503" s="46" t="inlineStr">
        <is>
          <t>학운리</t>
        </is>
      </c>
      <c r="G3503" s="50" t="n">
        <v>0.5416666666666666</v>
      </c>
      <c r="H3503" s="51" t="n">
        <v>1456510</v>
      </c>
      <c r="I3503" s="46" t="inlineStr">
        <is>
          <t>서수형</t>
        </is>
      </c>
      <c r="K3503" s="46" t="n">
        <v>3502</v>
      </c>
      <c r="L3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4">
      <c r="A3504" s="229" t="n">
        <v>46277</v>
      </c>
      <c r="B3504" s="46" t="inlineStr">
        <is>
          <t>메모</t>
        </is>
      </c>
      <c r="C3504" s="46" t="inlineStr">
        <is>
          <t>부천지역</t>
        </is>
      </c>
      <c r="D3504" s="46" t="inlineStr">
        <is>
          <t>민재홍휴가</t>
        </is>
      </c>
      <c r="E3504" s="46" t="n"/>
      <c r="F3504" s="46" t="n"/>
      <c r="G3504" s="50" t="n"/>
      <c r="H3504" s="51" t="n"/>
      <c r="I3504" s="46" t="n"/>
      <c r="K3504" s="46" t="n">
        <v>3503</v>
      </c>
      <c r="L3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5">
      <c r="A3505" s="229" t="n">
        <v>46277</v>
      </c>
      <c r="B3505" s="46" t="inlineStr">
        <is>
          <t>사용전검사</t>
        </is>
      </c>
      <c r="C3505" s="46" t="inlineStr">
        <is>
          <t>김포지역</t>
        </is>
      </c>
      <c r="D3505" s="46" t="inlineStr">
        <is>
          <t>덕화기계</t>
        </is>
      </c>
      <c r="E3505" s="46" t="n">
        <v>150</v>
      </c>
      <c r="F3505" s="46" t="inlineStr">
        <is>
          <t>전류리</t>
        </is>
      </c>
      <c r="G3505" s="50" t="n"/>
      <c r="H3505" s="51" t="n"/>
      <c r="I3505" s="46" t="inlineStr">
        <is>
          <t>이종석</t>
        </is>
      </c>
      <c r="K3505" s="46" t="n">
        <v>3504</v>
      </c>
      <c r="L3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6">
      <c r="A3506" s="229" t="n">
        <v>46278</v>
      </c>
      <c r="B3506" s="46" t="inlineStr">
        <is>
          <t>메모</t>
        </is>
      </c>
      <c r="C3506" s="46" t="inlineStr">
        <is>
          <t>부천지역</t>
        </is>
      </c>
      <c r="D3506" s="46" t="inlineStr">
        <is>
          <t>민재홍휴가</t>
        </is>
      </c>
      <c r="E3506" s="46" t="n"/>
      <c r="F3506" s="46" t="n"/>
      <c r="G3506" s="50" t="n"/>
      <c r="H3506" s="51" t="n"/>
      <c r="I3506" s="46" t="n"/>
      <c r="K3506" s="46" t="n">
        <v>3505</v>
      </c>
      <c r="L3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7">
      <c r="A3507" s="229" t="n">
        <v>46278</v>
      </c>
      <c r="B3507" s="46" t="inlineStr">
        <is>
          <t>메모</t>
        </is>
      </c>
      <c r="C3507" s="46" t="inlineStr">
        <is>
          <t>부천지역</t>
        </is>
      </c>
      <c r="D3507" s="46" t="inlineStr">
        <is>
          <t>한태희휴가</t>
        </is>
      </c>
      <c r="E3507" s="46" t="n"/>
      <c r="F3507" s="46" t="n"/>
      <c r="G3507" s="50" t="n"/>
      <c r="H3507" s="51" t="n"/>
      <c r="I3507" s="46" t="n"/>
      <c r="K3507" s="46" t="n">
        <v>3506</v>
      </c>
      <c r="L3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8">
      <c r="A3508" s="229" t="n">
        <v>46279</v>
      </c>
      <c r="B3508" s="46" t="inlineStr">
        <is>
          <t>정기검사</t>
        </is>
      </c>
      <c r="C3508" s="46" t="inlineStr">
        <is>
          <t>부천지역</t>
        </is>
      </c>
      <c r="D3508" s="46" t="inlineStr">
        <is>
          <t>광장프라자</t>
        </is>
      </c>
      <c r="E3508" s="46" t="inlineStr">
        <is>
          <t>750/132</t>
        </is>
      </c>
      <c r="F3508" s="46" t="inlineStr">
        <is>
          <t>중동</t>
        </is>
      </c>
      <c r="G3508" s="50" t="n">
        <v>0.2708333333333333</v>
      </c>
      <c r="H3508" s="51" t="n">
        <v>1296570</v>
      </c>
      <c r="I3508" s="46" t="inlineStr">
        <is>
          <t>이종석</t>
        </is>
      </c>
      <c r="K3508" s="46" t="n">
        <v>3507</v>
      </c>
      <c r="L3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9">
      <c r="A3509" s="229" t="n">
        <v>46279</v>
      </c>
      <c r="B3509" s="46" t="inlineStr">
        <is>
          <t>정기검사</t>
        </is>
      </c>
      <c r="C3509" s="46" t="inlineStr">
        <is>
          <t>부천지역</t>
        </is>
      </c>
      <c r="D3509" s="46" t="inlineStr">
        <is>
          <t>역곡e편한세상</t>
        </is>
      </c>
      <c r="E3509" s="46" t="inlineStr">
        <is>
          <t>전기차</t>
        </is>
      </c>
      <c r="F3509" s="46" t="inlineStr">
        <is>
          <t>역곡</t>
        </is>
      </c>
      <c r="G3509" s="50" t="n">
        <v>0.4166666666666667</v>
      </c>
      <c r="H3509" s="51" t="n">
        <v>148940</v>
      </c>
      <c r="I3509" s="46" t="inlineStr">
        <is>
          <t>한태희</t>
        </is>
      </c>
      <c r="K3509" s="46" t="n">
        <v>3508</v>
      </c>
      <c r="L3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0">
      <c r="A3510" s="229" t="n">
        <v>46279</v>
      </c>
      <c r="B3510" s="46" t="inlineStr">
        <is>
          <t>정기검사</t>
        </is>
      </c>
      <c r="C3510" s="46" t="inlineStr">
        <is>
          <t>부천지역</t>
        </is>
      </c>
      <c r="D3510" s="46" t="inlineStr">
        <is>
          <t>순복음중동교회</t>
        </is>
      </c>
      <c r="E3510" s="46" t="n">
        <v>1500</v>
      </c>
      <c r="F3510" s="46" t="inlineStr">
        <is>
          <t>중동</t>
        </is>
      </c>
      <c r="G3510" s="50" t="n">
        <v>0.4166666666666667</v>
      </c>
      <c r="H3510" s="51" t="n">
        <v>1279520</v>
      </c>
      <c r="I3510" s="46" t="inlineStr">
        <is>
          <t>변종국</t>
        </is>
      </c>
      <c r="K3510" s="46" t="n">
        <v>3509</v>
      </c>
      <c r="L3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1">
      <c r="A3511" s="229" t="n">
        <v>46279</v>
      </c>
      <c r="B3511" s="46" t="inlineStr">
        <is>
          <t>정기검사</t>
        </is>
      </c>
      <c r="C3511" s="46" t="inlineStr">
        <is>
          <t>부천지역</t>
        </is>
      </c>
      <c r="D3511" s="46" t="inlineStr">
        <is>
          <t>카대</t>
        </is>
      </c>
      <c r="E3511" s="46" t="n">
        <v>138</v>
      </c>
      <c r="F3511" s="46" t="inlineStr">
        <is>
          <t>역곡동</t>
        </is>
      </c>
      <c r="G3511" s="50" t="n">
        <v>0.4166666666666667</v>
      </c>
      <c r="H3511" s="51" t="n">
        <v>295350</v>
      </c>
      <c r="I3511" s="46" t="inlineStr">
        <is>
          <t>정신배</t>
        </is>
      </c>
      <c r="K3511" s="46" t="n">
        <v>3510</v>
      </c>
      <c r="L3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2">
      <c r="A3512" s="229" t="n">
        <v>46279</v>
      </c>
      <c r="B3512" s="46" t="inlineStr">
        <is>
          <t>정기검사</t>
        </is>
      </c>
      <c r="C3512" s="46" t="inlineStr">
        <is>
          <t>부천지역</t>
        </is>
      </c>
      <c r="D3512" s="46" t="inlineStr">
        <is>
          <t>은성테크노</t>
        </is>
      </c>
      <c r="E3512" s="46" t="n">
        <v>500</v>
      </c>
      <c r="F3512" s="46" t="inlineStr">
        <is>
          <t>도당동</t>
        </is>
      </c>
      <c r="G3512" s="50" t="n">
        <v>0.5</v>
      </c>
      <c r="H3512" s="51" t="n">
        <v>737000</v>
      </c>
      <c r="I3512" s="46" t="inlineStr">
        <is>
          <t>정성관</t>
        </is>
      </c>
      <c r="K3512" s="46" t="n">
        <v>3511</v>
      </c>
      <c r="L3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3">
      <c r="A3513" s="229" t="n">
        <v>46279</v>
      </c>
      <c r="B3513" s="46" t="inlineStr">
        <is>
          <t>정기검사</t>
        </is>
      </c>
      <c r="C3513" s="46" t="inlineStr">
        <is>
          <t>부천지역</t>
        </is>
      </c>
      <c r="D3513" s="46" t="inlineStr">
        <is>
          <t>이엔테크</t>
        </is>
      </c>
      <c r="E3513" s="46" t="n">
        <v>550</v>
      </c>
      <c r="F3513" s="46" t="inlineStr">
        <is>
          <t>내동</t>
        </is>
      </c>
      <c r="G3513" s="50" t="n">
        <v>0.5416666666666666</v>
      </c>
      <c r="H3513" s="51" t="n">
        <v>753940</v>
      </c>
      <c r="I3513" s="46" t="inlineStr">
        <is>
          <t>한태희</t>
        </is>
      </c>
      <c r="K3513" s="46" t="n">
        <v>3512</v>
      </c>
      <c r="L3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4">
      <c r="A3514" s="229" t="n">
        <v>46279</v>
      </c>
      <c r="B3514" s="46" t="inlineStr">
        <is>
          <t>정기검사</t>
        </is>
      </c>
      <c r="C3514" s="46" t="inlineStr">
        <is>
          <t>김포지역</t>
        </is>
      </c>
      <c r="D3514" s="46" t="inlineStr">
        <is>
          <t>자이더빌리ㄷ지</t>
        </is>
      </c>
      <c r="E3514" s="46" t="inlineStr">
        <is>
          <t>전기차</t>
        </is>
      </c>
      <c r="F3514" s="46" t="inlineStr">
        <is>
          <t>장기동</t>
        </is>
      </c>
      <c r="G3514" s="50" t="n">
        <v>0.4166666666666667</v>
      </c>
      <c r="H3514" s="51" t="n">
        <v>64240</v>
      </c>
      <c r="I3514" s="46" t="inlineStr">
        <is>
          <t>당효진</t>
        </is>
      </c>
      <c r="K3514" s="46" t="n">
        <v>3513</v>
      </c>
      <c r="L3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5">
      <c r="A3515" s="229" t="n">
        <v>46279</v>
      </c>
      <c r="B3515" s="46" t="inlineStr">
        <is>
          <t>정기검사</t>
        </is>
      </c>
      <c r="C3515" s="46" t="inlineStr">
        <is>
          <t>김포지역</t>
        </is>
      </c>
      <c r="D3515" s="46" t="inlineStr">
        <is>
          <t>자이더빌리지</t>
        </is>
      </c>
      <c r="E3515" s="46" t="n">
        <v>650</v>
      </c>
      <c r="F3515" s="46" t="inlineStr">
        <is>
          <t>마산동</t>
        </is>
      </c>
      <c r="G3515" s="50" t="n">
        <v>0.4166666666666667</v>
      </c>
      <c r="H3515" s="51" t="n">
        <v>787820</v>
      </c>
      <c r="I3515" s="46" t="inlineStr">
        <is>
          <t>당효진</t>
        </is>
      </c>
      <c r="K3515" s="46" t="n">
        <v>3514</v>
      </c>
      <c r="L3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6">
      <c r="A3516" s="229" t="n">
        <v>46279</v>
      </c>
      <c r="B3516" s="46" t="inlineStr">
        <is>
          <t>정기검사</t>
        </is>
      </c>
      <c r="C3516" s="46" t="inlineStr">
        <is>
          <t>김포지역</t>
        </is>
      </c>
      <c r="D3516" s="46" t="inlineStr">
        <is>
          <t>다울</t>
        </is>
      </c>
      <c r="E3516" s="46" t="n">
        <v>200</v>
      </c>
      <c r="F3516" s="46" t="inlineStr">
        <is>
          <t>초원지리</t>
        </is>
      </c>
      <c r="G3516" s="50" t="n">
        <v>0.3958333333333333</v>
      </c>
      <c r="H3516" s="51" t="n">
        <v>456720</v>
      </c>
      <c r="I3516" s="46" t="inlineStr">
        <is>
          <t>이덕기</t>
        </is>
      </c>
      <c r="K3516" s="46" t="n">
        <v>3515</v>
      </c>
      <c r="L3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7">
      <c r="A3517" s="229" t="n">
        <v>46279</v>
      </c>
      <c r="B3517" s="46" t="inlineStr">
        <is>
          <t>정기검사</t>
        </is>
      </c>
      <c r="C3517" s="46" t="inlineStr">
        <is>
          <t>김포지역</t>
        </is>
      </c>
      <c r="D3517" s="46" t="inlineStr">
        <is>
          <t>네오케미칼</t>
        </is>
      </c>
      <c r="E3517" s="46" t="n">
        <v>250</v>
      </c>
      <c r="F3517" s="46" t="inlineStr">
        <is>
          <t>고양리</t>
        </is>
      </c>
      <c r="G3517" s="50" t="n">
        <v>0.5833333333333334</v>
      </c>
      <c r="H3517" s="51" t="n">
        <v>489170</v>
      </c>
      <c r="I3517" s="46" t="inlineStr">
        <is>
          <t>허창수</t>
        </is>
      </c>
      <c r="K3517" s="46" t="n">
        <v>3516</v>
      </c>
      <c r="L3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8">
      <c r="A3518" s="229" t="n">
        <v>46279</v>
      </c>
      <c r="B3518" s="46" t="inlineStr">
        <is>
          <t>정기검사</t>
        </is>
      </c>
      <c r="C3518" s="46" t="inlineStr">
        <is>
          <t>김포지역</t>
        </is>
      </c>
      <c r="D3518" s="46" t="inlineStr">
        <is>
          <t>신명테크</t>
        </is>
      </c>
      <c r="E3518" s="46" t="n">
        <v>250</v>
      </c>
      <c r="F3518" s="46" t="inlineStr">
        <is>
          <t>귀전리</t>
        </is>
      </c>
      <c r="G3518" s="50" t="n">
        <v>0.5</v>
      </c>
      <c r="H3518" s="51" t="n">
        <v>489170</v>
      </c>
      <c r="I3518" s="46" t="inlineStr">
        <is>
          <t>서수형</t>
        </is>
      </c>
      <c r="K3518" s="46" t="n">
        <v>3517</v>
      </c>
      <c r="L3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9">
      <c r="A3519" s="229" t="n">
        <v>46279</v>
      </c>
      <c r="B3519" s="46" t="inlineStr">
        <is>
          <t>정기검사</t>
        </is>
      </c>
      <c r="C3519" s="46" t="inlineStr">
        <is>
          <t>김포지역</t>
        </is>
      </c>
      <c r="D3519" s="46" t="inlineStr">
        <is>
          <t>대영화학</t>
        </is>
      </c>
      <c r="E3519" s="46" t="n">
        <v>300</v>
      </c>
      <c r="F3519" s="46" t="inlineStr">
        <is>
          <t>풍무동</t>
        </is>
      </c>
      <c r="G3519" s="50" t="n">
        <v>0.5</v>
      </c>
      <c r="H3519" s="51" t="n">
        <v>521730</v>
      </c>
      <c r="I3519" s="46" t="inlineStr">
        <is>
          <t>허록종</t>
        </is>
      </c>
      <c r="K3519" s="46" t="n">
        <v>3518</v>
      </c>
      <c r="L3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0">
      <c r="A3520" s="229" t="n">
        <v>46279</v>
      </c>
      <c r="B3520" s="46" t="inlineStr">
        <is>
          <t>정기검사</t>
        </is>
      </c>
      <c r="C3520" s="46" t="inlineStr">
        <is>
          <t>김포지역</t>
        </is>
      </c>
      <c r="D3520" s="46" t="inlineStr">
        <is>
          <t>대하기계</t>
        </is>
      </c>
      <c r="E3520" s="46" t="n">
        <v>300</v>
      </c>
      <c r="F3520" s="46" t="inlineStr">
        <is>
          <t>초원지리</t>
        </is>
      </c>
      <c r="G3520" s="50" t="n">
        <v>0.4583333333333333</v>
      </c>
      <c r="H3520" s="51" t="n">
        <v>521730</v>
      </c>
      <c r="I3520" s="46" t="inlineStr">
        <is>
          <t>옹승완</t>
        </is>
      </c>
      <c r="K3520" s="46" t="n">
        <v>3519</v>
      </c>
      <c r="L3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1">
      <c r="A3521" s="229" t="n">
        <v>46279</v>
      </c>
      <c r="B3521" s="46" t="inlineStr">
        <is>
          <t>사용전검사</t>
        </is>
      </c>
      <c r="C3521" s="46" t="inlineStr">
        <is>
          <t>부천지역</t>
        </is>
      </c>
      <c r="D3521" s="46" t="inlineStr">
        <is>
          <t>s k</t>
        </is>
      </c>
      <c r="E3521" s="46" t="n">
        <v>4</v>
      </c>
      <c r="F3521" s="46" t="inlineStr">
        <is>
          <t>원미동</t>
        </is>
      </c>
      <c r="G3521" s="50" t="n"/>
      <c r="H3521" s="51" t="n"/>
      <c r="I3521" s="46" t="inlineStr">
        <is>
          <t>민재홍</t>
        </is>
      </c>
      <c r="K3521" s="46" t="n">
        <v>3520</v>
      </c>
      <c r="L3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2">
      <c r="A3522" s="229" t="n">
        <v>46279</v>
      </c>
      <c r="B3522" s="46" t="inlineStr">
        <is>
          <t>사용전검사</t>
        </is>
      </c>
      <c r="C3522" s="46" t="inlineStr">
        <is>
          <t>부천지역</t>
        </is>
      </c>
      <c r="D3522" s="46" t="inlineStr">
        <is>
          <t>에스지싸이앤씨</t>
        </is>
      </c>
      <c r="E3522" s="46" t="n">
        <v>250</v>
      </c>
      <c r="F3522" s="46" t="inlineStr">
        <is>
          <t>오정동</t>
        </is>
      </c>
      <c r="G3522" s="50" t="n"/>
      <c r="H3522" s="51" t="n"/>
      <c r="I3522" s="46" t="inlineStr">
        <is>
          <t>민재홍</t>
        </is>
      </c>
      <c r="K3522" s="46" t="n">
        <v>3521</v>
      </c>
      <c r="L3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3">
      <c r="A3523" s="229" t="n">
        <v>46279</v>
      </c>
      <c r="B3523" s="46" t="inlineStr">
        <is>
          <t>사용전검사</t>
        </is>
      </c>
      <c r="C3523" s="46" t="inlineStr">
        <is>
          <t>부천지역</t>
        </is>
      </c>
      <c r="D3523" s="46" t="inlineStr">
        <is>
          <t>장현수</t>
        </is>
      </c>
      <c r="E3523" s="46" t="n">
        <v>15</v>
      </c>
      <c r="F3523" s="46" t="inlineStr">
        <is>
          <t>원종동</t>
        </is>
      </c>
      <c r="G3523" s="50" t="n"/>
      <c r="H3523" s="51" t="n"/>
      <c r="I3523" s="46" t="inlineStr">
        <is>
          <t>민재홍</t>
        </is>
      </c>
      <c r="K3523" s="46" t="n">
        <v>3522</v>
      </c>
      <c r="L3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4">
      <c r="A3524" s="229" t="n">
        <v>46279</v>
      </c>
      <c r="B3524" s="46" t="inlineStr">
        <is>
          <t>사용전검사</t>
        </is>
      </c>
      <c r="C3524" s="46" t="inlineStr">
        <is>
          <t>부천지역</t>
        </is>
      </c>
      <c r="D3524" s="46" t="inlineStr">
        <is>
          <t>해탐테크롤로지</t>
        </is>
      </c>
      <c r="E3524" s="46" t="n">
        <v>500</v>
      </c>
      <c r="F3524" s="46" t="inlineStr">
        <is>
          <t>내동</t>
        </is>
      </c>
      <c r="G3524" s="50" t="n"/>
      <c r="H3524" s="51" t="n"/>
      <c r="I3524" s="46" t="inlineStr">
        <is>
          <t>송낙명</t>
        </is>
      </c>
      <c r="K3524" s="46" t="n">
        <v>3523</v>
      </c>
      <c r="L3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5">
      <c r="A3525" s="229" t="n">
        <v>46279</v>
      </c>
      <c r="B3525" s="46" t="inlineStr">
        <is>
          <t>사용전검사</t>
        </is>
      </c>
      <c r="C3525" s="46" t="inlineStr">
        <is>
          <t>부천지역</t>
        </is>
      </c>
      <c r="D3525" s="46" t="inlineStr">
        <is>
          <t>강나연</t>
        </is>
      </c>
      <c r="E3525" s="46" t="n">
        <v>8</v>
      </c>
      <c r="F3525" s="46" t="inlineStr">
        <is>
          <t>고강동</t>
        </is>
      </c>
      <c r="G3525" s="50" t="n"/>
      <c r="H3525" s="51" t="n"/>
      <c r="I3525" s="46" t="inlineStr">
        <is>
          <t>민재홍</t>
        </is>
      </c>
      <c r="K3525" s="46" t="n">
        <v>3524</v>
      </c>
      <c r="L3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6">
      <c r="A3526" s="229" t="n">
        <v>46279</v>
      </c>
      <c r="B3526" s="46" t="inlineStr">
        <is>
          <t>사용전검사</t>
        </is>
      </c>
      <c r="C3526" s="46" t="inlineStr">
        <is>
          <t>부천지역</t>
        </is>
      </c>
      <c r="D3526" s="46" t="inlineStr">
        <is>
          <t>마녀꽈베기</t>
        </is>
      </c>
      <c r="E3526" s="46" t="n">
        <v>8</v>
      </c>
      <c r="F3526" s="46" t="inlineStr">
        <is>
          <t>옥길동</t>
        </is>
      </c>
      <c r="G3526" s="50" t="n"/>
      <c r="H3526" s="51" t="n"/>
      <c r="I3526" s="46" t="inlineStr">
        <is>
          <t>변종국</t>
        </is>
      </c>
      <c r="K3526" s="46" t="n">
        <v>3525</v>
      </c>
      <c r="L3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7">
      <c r="A3527" s="229" t="n">
        <v>46279</v>
      </c>
      <c r="B3527" s="46" t="inlineStr">
        <is>
          <t>사용전검사</t>
        </is>
      </c>
      <c r="C3527" s="46" t="inlineStr">
        <is>
          <t>부천지역</t>
        </is>
      </c>
      <c r="D3527" s="46" t="inlineStr">
        <is>
          <t>지에스리테일</t>
        </is>
      </c>
      <c r="E3527" s="46" t="n">
        <v>19</v>
      </c>
      <c r="F3527" s="46" t="inlineStr">
        <is>
          <t>원종동</t>
        </is>
      </c>
      <c r="G3527" s="50" t="n"/>
      <c r="H3527" s="51" t="n"/>
      <c r="I3527" s="46" t="inlineStr">
        <is>
          <t>정신배</t>
        </is>
      </c>
      <c r="K3527" s="46" t="n">
        <v>3526</v>
      </c>
      <c r="L3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8">
      <c r="A3528" s="229" t="n">
        <v>46279</v>
      </c>
      <c r="B3528" s="46" t="inlineStr">
        <is>
          <t>사용전검사</t>
        </is>
      </c>
      <c r="C3528" s="46" t="inlineStr">
        <is>
          <t>부천지역</t>
        </is>
      </c>
      <c r="D3528" s="46" t="inlineStr">
        <is>
          <t>이명재</t>
        </is>
      </c>
      <c r="E3528" s="46" t="inlineStr">
        <is>
          <t>재검사</t>
        </is>
      </c>
      <c r="F3528" s="46" t="n"/>
      <c r="G3528" s="50" t="n"/>
      <c r="H3528" s="51" t="n"/>
      <c r="I3528" s="46" t="inlineStr">
        <is>
          <t>송낙명</t>
        </is>
      </c>
      <c r="K3528" s="46" t="n">
        <v>3527</v>
      </c>
      <c r="L3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9">
      <c r="A3529" s="229" t="n">
        <v>46279</v>
      </c>
      <c r="B3529" s="46" t="inlineStr">
        <is>
          <t>메모</t>
        </is>
      </c>
      <c r="C3529" s="46" t="inlineStr">
        <is>
          <t>부천지역</t>
        </is>
      </c>
      <c r="D3529" s="46" t="inlineStr">
        <is>
          <t>김영권휴가</t>
        </is>
      </c>
      <c r="E3529" s="46" t="n"/>
      <c r="F3529" s="46" t="n"/>
      <c r="G3529" s="50" t="n"/>
      <c r="H3529" s="51" t="n"/>
      <c r="I3529" s="46" t="n"/>
      <c r="K3529" s="46" t="n">
        <v>3528</v>
      </c>
      <c r="L3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0">
      <c r="A3530" s="229" t="n">
        <v>46279</v>
      </c>
      <c r="B3530" s="46" t="inlineStr">
        <is>
          <t>사용전검사</t>
        </is>
      </c>
      <c r="C3530" s="46" t="inlineStr">
        <is>
          <t>김포지역</t>
        </is>
      </c>
      <c r="D3530" s="46" t="inlineStr">
        <is>
          <t>새마을국수</t>
        </is>
      </c>
      <c r="E3530" s="46" t="n"/>
      <c r="F3530" s="46" t="inlineStr">
        <is>
          <t>초원지리</t>
        </is>
      </c>
      <c r="G3530" s="50" t="n"/>
      <c r="H3530" s="51" t="n"/>
      <c r="I3530" s="46" t="inlineStr">
        <is>
          <t>이덕기</t>
        </is>
      </c>
      <c r="K3530" s="46" t="n">
        <v>3529</v>
      </c>
      <c r="L3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1">
      <c r="A3531" s="229" t="n">
        <v>46279</v>
      </c>
      <c r="B3531" s="46" t="inlineStr">
        <is>
          <t>사용전검사</t>
        </is>
      </c>
      <c r="C3531" s="46" t="inlineStr">
        <is>
          <t>김포지역</t>
        </is>
      </c>
      <c r="D3531" s="46" t="inlineStr">
        <is>
          <t>정문</t>
        </is>
      </c>
      <c r="E3531" s="46" t="inlineStr">
        <is>
          <t>재검사</t>
        </is>
      </c>
      <c r="F3531" s="46" t="n"/>
      <c r="G3531" s="50" t="n"/>
      <c r="H3531" s="51" t="n"/>
      <c r="I3531" s="46" t="inlineStr">
        <is>
          <t>옹승완</t>
        </is>
      </c>
      <c r="K3531" s="46" t="n">
        <v>3530</v>
      </c>
      <c r="L3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2">
      <c r="A3532" s="229" t="n">
        <v>46279</v>
      </c>
      <c r="B3532" s="46" t="inlineStr">
        <is>
          <t>사용전검사</t>
        </is>
      </c>
      <c r="C3532" s="46" t="inlineStr">
        <is>
          <t>김포지역</t>
        </is>
      </c>
      <c r="D3532" s="46" t="inlineStr">
        <is>
          <t>창돈</t>
        </is>
      </c>
      <c r="E3532" s="46" t="n">
        <v>88</v>
      </c>
      <c r="F3532" s="46" t="inlineStr">
        <is>
          <t>갈산리</t>
        </is>
      </c>
      <c r="G3532" s="50" t="n"/>
      <c r="H3532" s="51" t="n"/>
      <c r="I3532" s="46" t="inlineStr">
        <is>
          <t>허창수</t>
        </is>
      </c>
      <c r="K3532" s="46" t="n">
        <v>3531</v>
      </c>
      <c r="L3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3">
      <c r="A3533" s="229" t="n">
        <v>46279</v>
      </c>
      <c r="B3533" s="46" t="inlineStr">
        <is>
          <t>사용전검사</t>
        </is>
      </c>
      <c r="C3533" s="46" t="inlineStr">
        <is>
          <t>김포지역</t>
        </is>
      </c>
      <c r="D3533" s="46" t="inlineStr">
        <is>
          <t>상표3</t>
        </is>
      </c>
      <c r="E3533" s="46" t="n">
        <v>36</v>
      </c>
      <c r="F3533" s="46" t="inlineStr">
        <is>
          <t>학운리</t>
        </is>
      </c>
      <c r="G3533" s="50" t="n"/>
      <c r="H3533" s="51" t="n"/>
      <c r="I3533" s="46" t="inlineStr">
        <is>
          <t>옹승완</t>
        </is>
      </c>
      <c r="K3533" s="46" t="n">
        <v>3532</v>
      </c>
      <c r="L3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4">
      <c r="A3534" s="229" t="n">
        <v>46279</v>
      </c>
      <c r="B3534" s="46" t="inlineStr">
        <is>
          <t>사용전검사</t>
        </is>
      </c>
      <c r="C3534" s="46" t="inlineStr">
        <is>
          <t>김포지역</t>
        </is>
      </c>
      <c r="D3534" s="46" t="inlineStr">
        <is>
          <t>오세욱</t>
        </is>
      </c>
      <c r="E3534" s="46" t="inlineStr">
        <is>
          <t>전기차</t>
        </is>
      </c>
      <c r="F3534" s="46" t="inlineStr">
        <is>
          <t>구래동</t>
        </is>
      </c>
      <c r="G3534" s="50" t="n"/>
      <c r="H3534" s="51" t="n"/>
      <c r="I3534" s="46" t="inlineStr">
        <is>
          <t>당효진</t>
        </is>
      </c>
      <c r="K3534" s="46" t="n">
        <v>3533</v>
      </c>
      <c r="L3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5">
      <c r="A3535" s="229" t="n">
        <v>46279</v>
      </c>
      <c r="B3535" s="46" t="inlineStr">
        <is>
          <t>사용전검사</t>
        </is>
      </c>
      <c r="C3535" s="46" t="inlineStr">
        <is>
          <t>김포지역</t>
        </is>
      </c>
      <c r="D3535" s="46" t="inlineStr">
        <is>
          <t>김현희</t>
        </is>
      </c>
      <c r="E3535" s="46" t="n">
        <v>20</v>
      </c>
      <c r="F3535" s="46" t="inlineStr">
        <is>
          <t>고촌</t>
        </is>
      </c>
      <c r="G3535" s="50" t="n"/>
      <c r="H3535" s="51" t="n"/>
      <c r="I3535" s="46" t="inlineStr">
        <is>
          <t>당효진</t>
        </is>
      </c>
      <c r="K3535" s="46" t="n">
        <v>3534</v>
      </c>
      <c r="L3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6">
      <c r="A3536" s="229" t="n">
        <v>46280</v>
      </c>
      <c r="B3536" s="46" t="inlineStr">
        <is>
          <t>정기검사</t>
        </is>
      </c>
      <c r="C3536" s="46" t="inlineStr">
        <is>
          <t>부천지역</t>
        </is>
      </c>
      <c r="D3536" s="46" t="inlineStr">
        <is>
          <t>소사2단지</t>
        </is>
      </c>
      <c r="E3536" s="46" t="inlineStr">
        <is>
          <t>1050/300</t>
        </is>
      </c>
      <c r="F3536" s="46" t="inlineStr">
        <is>
          <t>소사동</t>
        </is>
      </c>
      <c r="G3536" s="50" t="n">
        <v>0.4166666666666667</v>
      </c>
      <c r="H3536" s="51" t="n">
        <v>1139050</v>
      </c>
      <c r="I3536" s="46" t="inlineStr">
        <is>
          <t>송낙명</t>
        </is>
      </c>
      <c r="K3536" s="46" t="n">
        <v>3535</v>
      </c>
      <c r="L3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7">
      <c r="A3537" s="229" t="n">
        <v>46280</v>
      </c>
      <c r="B3537" s="46" t="inlineStr">
        <is>
          <t>정기검사</t>
        </is>
      </c>
      <c r="C3537" s="46" t="inlineStr">
        <is>
          <t>부천지역</t>
        </is>
      </c>
      <c r="D3537" s="46" t="inlineStr">
        <is>
          <t>금호한양</t>
        </is>
      </c>
      <c r="E3537" s="46" t="inlineStr">
        <is>
          <t>전기차</t>
        </is>
      </c>
      <c r="F3537" s="46" t="inlineStr">
        <is>
          <t>중동</t>
        </is>
      </c>
      <c r="G3537" s="50" t="n">
        <v>0.4375</v>
      </c>
      <c r="H3537" s="51" t="n">
        <v>89650</v>
      </c>
      <c r="I3537" s="46" t="inlineStr">
        <is>
          <t>당효진</t>
        </is>
      </c>
      <c r="K3537" s="46" t="n">
        <v>3536</v>
      </c>
      <c r="L3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8">
      <c r="A3538" s="229" t="n">
        <v>46280</v>
      </c>
      <c r="B3538" s="46" t="inlineStr">
        <is>
          <t>정기검사</t>
        </is>
      </c>
      <c r="C3538" s="46" t="inlineStr">
        <is>
          <t>부천지역</t>
        </is>
      </c>
      <c r="D3538" s="46" t="inlineStr">
        <is>
          <t>랜드마크푸르지오</t>
        </is>
      </c>
      <c r="E3538" s="46" t="n">
        <v>240</v>
      </c>
      <c r="F3538" s="46" t="inlineStr">
        <is>
          <t>중동</t>
        </is>
      </c>
      <c r="G3538" s="50" t="n">
        <v>0.6041666666666666</v>
      </c>
      <c r="H3538" s="51" t="n">
        <v>423830</v>
      </c>
      <c r="I3538" s="46" t="inlineStr">
        <is>
          <t>허록종</t>
        </is>
      </c>
      <c r="K3538" s="46" t="n">
        <v>3537</v>
      </c>
      <c r="L3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9">
      <c r="A3539" s="229" t="n">
        <v>46280</v>
      </c>
      <c r="B3539" s="46" t="inlineStr">
        <is>
          <t>정기검사</t>
        </is>
      </c>
      <c r="C3539" s="46" t="inlineStr">
        <is>
          <t>부천지역</t>
        </is>
      </c>
      <c r="D3539" s="46" t="inlineStr">
        <is>
          <t>신성일렉트릭</t>
        </is>
      </c>
      <c r="E3539" s="46" t="n">
        <v>250</v>
      </c>
      <c r="F3539" s="46" t="inlineStr">
        <is>
          <t>도당동</t>
        </is>
      </c>
      <c r="G3539" s="50" t="n">
        <v>0.5208333333333334</v>
      </c>
      <c r="H3539" s="51" t="n">
        <v>489170</v>
      </c>
      <c r="I3539" s="46" t="inlineStr">
        <is>
          <t>허록종</t>
        </is>
      </c>
      <c r="K3539" s="46" t="n">
        <v>3538</v>
      </c>
      <c r="L3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0">
      <c r="A3540" s="229" t="n">
        <v>46280</v>
      </c>
      <c r="B3540" s="46" t="inlineStr">
        <is>
          <t>정기검사</t>
        </is>
      </c>
      <c r="C3540" s="46" t="inlineStr">
        <is>
          <t>부천지역</t>
        </is>
      </c>
      <c r="D3540" s="46" t="inlineStr">
        <is>
          <t>한국아파트</t>
        </is>
      </c>
      <c r="E3540" s="46" t="inlineStr">
        <is>
          <t>1350/455</t>
        </is>
      </c>
      <c r="F3540" s="46" t="inlineStr">
        <is>
          <t>역곡동</t>
        </is>
      </c>
      <c r="G3540" s="50" t="n">
        <v>0.5416666666666666</v>
      </c>
      <c r="H3540" s="51" t="n">
        <v>1205050</v>
      </c>
      <c r="I3540" s="46" t="inlineStr">
        <is>
          <t>한태희</t>
        </is>
      </c>
      <c r="K3540" s="46" t="n">
        <v>3539</v>
      </c>
      <c r="L3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1">
      <c r="A3541" s="229" t="n">
        <v>46280</v>
      </c>
      <c r="B3541" s="46" t="inlineStr">
        <is>
          <t>정기검사</t>
        </is>
      </c>
      <c r="C3541" s="46" t="inlineStr">
        <is>
          <t>부천지역</t>
        </is>
      </c>
      <c r="D3541" s="46" t="inlineStr">
        <is>
          <t>금호한양</t>
        </is>
      </c>
      <c r="E3541" s="46" t="n">
        <v>2350</v>
      </c>
      <c r="F3541" s="46" t="inlineStr">
        <is>
          <t>중동</t>
        </is>
      </c>
      <c r="G3541" s="50" t="n">
        <v>0.3958333333333333</v>
      </c>
      <c r="H3541" s="51" t="n">
        <v>1339580</v>
      </c>
      <c r="I3541" s="46" t="inlineStr">
        <is>
          <t>당효진</t>
        </is>
      </c>
      <c r="K3541" s="46" t="n">
        <v>3540</v>
      </c>
      <c r="L3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2">
      <c r="A3542" s="229" t="n">
        <v>46280</v>
      </c>
      <c r="B3542" s="46" t="inlineStr">
        <is>
          <t>정기검사</t>
        </is>
      </c>
      <c r="C3542" s="46" t="inlineStr">
        <is>
          <t>부천지역</t>
        </is>
      </c>
      <c r="D3542" s="46" t="inlineStr">
        <is>
          <t>기아다이아몬드</t>
        </is>
      </c>
      <c r="E3542" s="46" t="n">
        <v>200</v>
      </c>
      <c r="F3542" s="46" t="inlineStr">
        <is>
          <t>도당동</t>
        </is>
      </c>
      <c r="G3542" s="50" t="n">
        <v>0.5</v>
      </c>
      <c r="H3542" s="51" t="n">
        <v>456720</v>
      </c>
      <c r="I3542" s="46" t="inlineStr">
        <is>
          <t>송낙명</t>
        </is>
      </c>
      <c r="K3542" s="46" t="n">
        <v>3541</v>
      </c>
      <c r="L3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3">
      <c r="A3543" s="229" t="n">
        <v>46280</v>
      </c>
      <c r="B3543" s="46" t="inlineStr">
        <is>
          <t>정기검사</t>
        </is>
      </c>
      <c r="C3543" s="46" t="inlineStr">
        <is>
          <t>김포지역</t>
        </is>
      </c>
      <c r="D3543" s="46" t="inlineStr">
        <is>
          <t>풍곡영농자재</t>
        </is>
      </c>
      <c r="E3543" s="46" t="n">
        <v>350</v>
      </c>
      <c r="F3543" s="46" t="inlineStr">
        <is>
          <t>쇄암리</t>
        </is>
      </c>
      <c r="G3543" s="50" t="n">
        <v>0.5416666666666666</v>
      </c>
      <c r="H3543" s="51" t="n">
        <v>686180</v>
      </c>
      <c r="I3543" s="46" t="inlineStr">
        <is>
          <t>이덕기</t>
        </is>
      </c>
      <c r="K3543" s="46" t="n">
        <v>3542</v>
      </c>
      <c r="L3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4">
      <c r="A3544" s="229" t="n">
        <v>46280</v>
      </c>
      <c r="B3544" s="46" t="inlineStr">
        <is>
          <t>정기검사</t>
        </is>
      </c>
      <c r="C3544" s="46" t="inlineStr">
        <is>
          <t>김포지역</t>
        </is>
      </c>
      <c r="D3544" s="46" t="inlineStr">
        <is>
          <t>새양지</t>
        </is>
      </c>
      <c r="E3544" s="46" t="n">
        <v>48</v>
      </c>
      <c r="F3544" s="46" t="inlineStr">
        <is>
          <t>석정리</t>
        </is>
      </c>
      <c r="G3544" s="50" t="n">
        <v>0.4166666666666667</v>
      </c>
      <c r="H3544" s="51" t="n">
        <v>201740</v>
      </c>
      <c r="I3544" s="46" t="inlineStr">
        <is>
          <t>옹승완</t>
        </is>
      </c>
      <c r="K3544" s="46" t="n">
        <v>3543</v>
      </c>
      <c r="L3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5">
      <c r="A3545" s="229" t="n">
        <v>46280</v>
      </c>
      <c r="B3545" s="46" t="inlineStr">
        <is>
          <t>정기검사</t>
        </is>
      </c>
      <c r="C3545" s="46" t="inlineStr">
        <is>
          <t>김포지역</t>
        </is>
      </c>
      <c r="D3545" s="46" t="inlineStr">
        <is>
          <t>나비초</t>
        </is>
      </c>
      <c r="E3545" s="46" t="n">
        <v>146</v>
      </c>
      <c r="F3545" s="46" t="inlineStr">
        <is>
          <t>구래동</t>
        </is>
      </c>
      <c r="G3545" s="50" t="n">
        <v>0.5416666666666666</v>
      </c>
      <c r="H3545" s="51" t="n">
        <v>303820</v>
      </c>
      <c r="I3545" s="46" t="inlineStr">
        <is>
          <t>변종국</t>
        </is>
      </c>
      <c r="K3545" s="46" t="n">
        <v>3544</v>
      </c>
      <c r="L3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6">
      <c r="A3546" s="229" t="n">
        <v>46280</v>
      </c>
      <c r="B3546" s="46" t="inlineStr">
        <is>
          <t>정기검사</t>
        </is>
      </c>
      <c r="C3546" s="46" t="inlineStr">
        <is>
          <t>김포지역</t>
        </is>
      </c>
      <c r="D3546" s="46" t="inlineStr">
        <is>
          <t>한성기업</t>
        </is>
      </c>
      <c r="E3546" s="46" t="n">
        <v>290</v>
      </c>
      <c r="F3546" s="46" t="inlineStr">
        <is>
          <t>초워지라</t>
        </is>
      </c>
      <c r="G3546" s="50" t="n">
        <v>0.5</v>
      </c>
      <c r="H3546" s="51" t="n">
        <v>515130</v>
      </c>
      <c r="I3546" s="46" t="inlineStr">
        <is>
          <t>허창수</t>
        </is>
      </c>
      <c r="K3546" s="46" t="n">
        <v>3545</v>
      </c>
      <c r="L3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7">
      <c r="A3547" s="229" t="n">
        <v>46280</v>
      </c>
      <c r="B3547" s="46" t="inlineStr">
        <is>
          <t>정기검사</t>
        </is>
      </c>
      <c r="C3547" s="46" t="inlineStr">
        <is>
          <t>김포지역</t>
        </is>
      </c>
      <c r="D3547" s="46" t="inlineStr">
        <is>
          <t>드림시티</t>
        </is>
      </c>
      <c r="E3547" s="46" t="inlineStr">
        <is>
          <t>990/450</t>
        </is>
      </c>
      <c r="F3547" s="46" t="inlineStr">
        <is>
          <t>풍무동</t>
        </is>
      </c>
      <c r="G3547" s="50" t="n">
        <v>0.4166666666666667</v>
      </c>
      <c r="H3547" s="51" t="n">
        <v>1149390</v>
      </c>
      <c r="I3547" s="46" t="inlineStr">
        <is>
          <t>민재홍</t>
        </is>
      </c>
      <c r="K3547" s="46" t="n">
        <v>3546</v>
      </c>
      <c r="L3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8">
      <c r="A3548" s="229" t="n">
        <v>46280</v>
      </c>
      <c r="B3548" s="46" t="inlineStr">
        <is>
          <t>정기검사</t>
        </is>
      </c>
      <c r="C3548" s="46" t="inlineStr">
        <is>
          <t>김포지역</t>
        </is>
      </c>
      <c r="D3548" s="46" t="inlineStr">
        <is>
          <t>연세프라자</t>
        </is>
      </c>
      <c r="E3548" s="46" t="inlineStr">
        <is>
          <t>전기차</t>
        </is>
      </c>
      <c r="F3548" s="46" t="inlineStr">
        <is>
          <t>구래동</t>
        </is>
      </c>
      <c r="G3548" s="50" t="n">
        <v>0.2916666666666667</v>
      </c>
      <c r="H3548" s="51" t="n">
        <v>72490</v>
      </c>
      <c r="I3548" s="46" t="inlineStr">
        <is>
          <t>정성관</t>
        </is>
      </c>
      <c r="K3548" s="46" t="n">
        <v>3547</v>
      </c>
      <c r="L3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9">
      <c r="A3549" s="229" t="n">
        <v>46280</v>
      </c>
      <c r="B3549" s="46" t="inlineStr">
        <is>
          <t>정기검사</t>
        </is>
      </c>
      <c r="C3549" s="46" t="inlineStr">
        <is>
          <t>김포지역</t>
        </is>
      </c>
      <c r="D3549" s="46" t="inlineStr">
        <is>
          <t>연세프라자</t>
        </is>
      </c>
      <c r="E3549" s="46" t="inlineStr">
        <is>
          <t>750/182</t>
        </is>
      </c>
      <c r="F3549" s="46" t="inlineStr">
        <is>
          <t>구래동</t>
        </is>
      </c>
      <c r="G3549" s="50" t="n">
        <v>0.2916666666666667</v>
      </c>
      <c r="H3549" s="51" t="n">
        <v>1315820</v>
      </c>
      <c r="I3549" s="46" t="inlineStr">
        <is>
          <t>정성관</t>
        </is>
      </c>
      <c r="K3549" s="46" t="n">
        <v>3548</v>
      </c>
      <c r="L3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0">
      <c r="A3550" s="229" t="n">
        <v>46280</v>
      </c>
      <c r="B3550" s="46" t="inlineStr">
        <is>
          <t>정기검사</t>
        </is>
      </c>
      <c r="C3550" s="46" t="inlineStr">
        <is>
          <t>김포지역</t>
        </is>
      </c>
      <c r="D3550" s="46" t="inlineStr">
        <is>
          <t>부언엔지니어링</t>
        </is>
      </c>
      <c r="E3550" s="46" t="n">
        <v>95</v>
      </c>
      <c r="F3550" s="46" t="inlineStr">
        <is>
          <t>학운리</t>
        </is>
      </c>
      <c r="G3550" s="50" t="n">
        <v>0.4583333333333333</v>
      </c>
      <c r="H3550" s="51" t="n">
        <v>250910</v>
      </c>
      <c r="I3550" s="46" t="inlineStr">
        <is>
          <t>변종국</t>
        </is>
      </c>
      <c r="K3550" s="46" t="n">
        <v>3549</v>
      </c>
      <c r="L3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1">
      <c r="A3551" s="229" t="n">
        <v>46280</v>
      </c>
      <c r="B3551" s="46" t="inlineStr">
        <is>
          <t>정기검사</t>
        </is>
      </c>
      <c r="C3551" s="46" t="inlineStr">
        <is>
          <t>김포지역</t>
        </is>
      </c>
      <c r="D3551" s="46" t="inlineStr">
        <is>
          <t>김포센트럴</t>
        </is>
      </c>
      <c r="E3551" s="46" t="inlineStr">
        <is>
          <t>전기차</t>
        </is>
      </c>
      <c r="F3551" s="46" t="inlineStr">
        <is>
          <t>구래동</t>
        </is>
      </c>
      <c r="G3551" s="50" t="n">
        <v>0.6041666666666666</v>
      </c>
      <c r="H3551" s="51" t="n">
        <v>64240</v>
      </c>
      <c r="I3551" s="46" t="inlineStr">
        <is>
          <t>허창수</t>
        </is>
      </c>
      <c r="K3551" s="46" t="n">
        <v>3550</v>
      </c>
      <c r="L3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2">
      <c r="A3552" s="229" t="n">
        <v>46280</v>
      </c>
      <c r="B3552" s="46" t="inlineStr">
        <is>
          <t>메모</t>
        </is>
      </c>
      <c r="C3552" s="46" t="inlineStr">
        <is>
          <t>부천지역</t>
        </is>
      </c>
      <c r="D3552" s="46" t="inlineStr">
        <is>
          <t>서수형휴가</t>
        </is>
      </c>
      <c r="E3552" s="46" t="inlineStr">
        <is>
          <t>허창수-변종국</t>
        </is>
      </c>
      <c r="F3552" s="46" t="n"/>
      <c r="G3552" s="50" t="n"/>
      <c r="H3552" s="51" t="n"/>
      <c r="I3552" s="46" t="n"/>
      <c r="K3552" s="46" t="n">
        <v>3551</v>
      </c>
      <c r="L3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3">
      <c r="A3553" s="229" t="n">
        <v>46280</v>
      </c>
      <c r="B3553" s="46" t="inlineStr">
        <is>
          <t>메모</t>
        </is>
      </c>
      <c r="C3553" s="46" t="inlineStr">
        <is>
          <t>부천지역</t>
        </is>
      </c>
      <c r="D3553" s="46" t="inlineStr">
        <is>
          <t>이종석휴가</t>
        </is>
      </c>
      <c r="E3553" s="46" t="n"/>
      <c r="F3553" s="46" t="n"/>
      <c r="G3553" s="50" t="n"/>
      <c r="H3553" s="51" t="n"/>
      <c r="I3553" s="46" t="n"/>
      <c r="K3553" s="46" t="n">
        <v>3552</v>
      </c>
      <c r="L3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4">
      <c r="A3554" s="229" t="n">
        <v>46280</v>
      </c>
      <c r="B3554" s="46" t="inlineStr">
        <is>
          <t>사용전검사</t>
        </is>
      </c>
      <c r="C3554" s="46" t="inlineStr">
        <is>
          <t>김포지역</t>
        </is>
      </c>
      <c r="D3554" s="46" t="inlineStr">
        <is>
          <t>덕진파렛트</t>
        </is>
      </c>
      <c r="E3554" s="46" t="n">
        <v>88</v>
      </c>
      <c r="F3554" s="46" t="inlineStr">
        <is>
          <t>석정리</t>
        </is>
      </c>
      <c r="G3554" s="50" t="n"/>
      <c r="H3554" s="51" t="n"/>
      <c r="I3554" s="46" t="inlineStr">
        <is>
          <t>정신배</t>
        </is>
      </c>
      <c r="K3554" s="46" t="n">
        <v>3553</v>
      </c>
      <c r="L3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5">
      <c r="A3555" s="229" t="n">
        <v>46280</v>
      </c>
      <c r="B3555" s="46" t="inlineStr">
        <is>
          <t>사용전검사</t>
        </is>
      </c>
      <c r="C3555" s="46" t="inlineStr">
        <is>
          <t>김포지역</t>
        </is>
      </c>
      <c r="D3555" s="46" t="inlineStr">
        <is>
          <t>덕진파렛트</t>
        </is>
      </c>
      <c r="E3555" s="46" t="n">
        <v>89</v>
      </c>
      <c r="F3555" s="46" t="inlineStr">
        <is>
          <t>석정리</t>
        </is>
      </c>
      <c r="G3555" s="50" t="n"/>
      <c r="H3555" s="51" t="n"/>
      <c r="I3555" s="46" t="inlineStr">
        <is>
          <t>정신배</t>
        </is>
      </c>
      <c r="K3555" s="46" t="n">
        <v>3554</v>
      </c>
      <c r="L3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6">
      <c r="A3556" s="229" t="n">
        <v>46280</v>
      </c>
      <c r="B3556" s="46" t="inlineStr">
        <is>
          <t>사용전검사</t>
        </is>
      </c>
      <c r="C3556" s="46" t="inlineStr">
        <is>
          <t>김포지역</t>
        </is>
      </c>
      <c r="D3556" s="46" t="inlineStr">
        <is>
          <t>덕진파렛트</t>
        </is>
      </c>
      <c r="E3556" s="46" t="n">
        <v>90</v>
      </c>
      <c r="F3556" s="46" t="inlineStr">
        <is>
          <t>석정리</t>
        </is>
      </c>
      <c r="G3556" s="50" t="n"/>
      <c r="H3556" s="51" t="n"/>
      <c r="I3556" s="46" t="inlineStr">
        <is>
          <t>정신배</t>
        </is>
      </c>
      <c r="K3556" s="46" t="n">
        <v>3555</v>
      </c>
      <c r="L3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7">
      <c r="A3557" s="229" t="n">
        <v>46280</v>
      </c>
      <c r="B3557" s="46" t="inlineStr">
        <is>
          <t>사용전검사</t>
        </is>
      </c>
      <c r="C3557" s="46" t="inlineStr">
        <is>
          <t>김포지역</t>
        </is>
      </c>
      <c r="D3557" s="46" t="inlineStr">
        <is>
          <t>덕진파렛트</t>
        </is>
      </c>
      <c r="E3557" s="46" t="n">
        <v>91</v>
      </c>
      <c r="F3557" s="46" t="inlineStr">
        <is>
          <t>석정리</t>
        </is>
      </c>
      <c r="G3557" s="50" t="n"/>
      <c r="H3557" s="51" t="n"/>
      <c r="I3557" s="46" t="inlineStr">
        <is>
          <t>정신배</t>
        </is>
      </c>
      <c r="K3557" s="46" t="n">
        <v>3556</v>
      </c>
      <c r="L3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8">
      <c r="A3558" s="229" t="n">
        <v>46280</v>
      </c>
      <c r="B3558" s="46" t="inlineStr">
        <is>
          <t>사용전검사</t>
        </is>
      </c>
      <c r="C3558" s="46" t="inlineStr">
        <is>
          <t>김포지역</t>
        </is>
      </c>
      <c r="D3558" s="46" t="inlineStr">
        <is>
          <t>김은미</t>
        </is>
      </c>
      <c r="E3558" s="46" t="n">
        <v>19</v>
      </c>
      <c r="F3558" s="46" t="inlineStr">
        <is>
          <t>시암리</t>
        </is>
      </c>
      <c r="G3558" s="50" t="n"/>
      <c r="H3558" s="51" t="n"/>
      <c r="I3558" s="46" t="inlineStr">
        <is>
          <t>김영권</t>
        </is>
      </c>
      <c r="K3558" s="46" t="n">
        <v>3557</v>
      </c>
      <c r="L3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9">
      <c r="A3559" s="229" t="n">
        <v>46281</v>
      </c>
      <c r="B3559" s="46" t="inlineStr">
        <is>
          <t>정기검사</t>
        </is>
      </c>
      <c r="C3559" s="46" t="inlineStr">
        <is>
          <t>부천지역</t>
        </is>
      </c>
      <c r="D3559" s="46" t="inlineStr">
        <is>
          <t>역곡이클래스</t>
        </is>
      </c>
      <c r="E3559" s="46" t="inlineStr">
        <is>
          <t>750/409</t>
        </is>
      </c>
      <c r="F3559" s="46" t="inlineStr">
        <is>
          <t>역곡</t>
        </is>
      </c>
      <c r="G3559" s="50" t="n">
        <v>0.4166666666666667</v>
      </c>
      <c r="H3559" s="51" t="n">
        <v>1059300</v>
      </c>
      <c r="I3559" s="46" t="inlineStr">
        <is>
          <t>민재홍</t>
        </is>
      </c>
      <c r="K3559" s="46" t="n">
        <v>3558</v>
      </c>
      <c r="L3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0">
      <c r="A3560" s="229" t="n">
        <v>46281</v>
      </c>
      <c r="B3560" s="46" t="inlineStr">
        <is>
          <t>정기검사</t>
        </is>
      </c>
      <c r="C3560" s="46" t="inlineStr">
        <is>
          <t>부천지역</t>
        </is>
      </c>
      <c r="D3560" s="46" t="inlineStr">
        <is>
          <t>중앙이클래스</t>
        </is>
      </c>
      <c r="E3560" s="46" t="inlineStr">
        <is>
          <t>전기차</t>
        </is>
      </c>
      <c r="F3560" s="46" t="inlineStr">
        <is>
          <t>역곡</t>
        </is>
      </c>
      <c r="G3560" s="50" t="n">
        <v>0.4166666666666667</v>
      </c>
      <c r="H3560" s="51" t="n">
        <v>64240</v>
      </c>
      <c r="I3560" s="46" t="inlineStr">
        <is>
          <t>민재홍</t>
        </is>
      </c>
      <c r="K3560" s="46" t="n">
        <v>3559</v>
      </c>
      <c r="L3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1">
      <c r="A3561" s="229" t="n">
        <v>46281</v>
      </c>
      <c r="B3561" s="46" t="inlineStr">
        <is>
          <t>정기검사</t>
        </is>
      </c>
      <c r="C3561" s="46" t="inlineStr">
        <is>
          <t>부천지역</t>
        </is>
      </c>
      <c r="D3561" s="46" t="inlineStr">
        <is>
          <t>케이엠피</t>
        </is>
      </c>
      <c r="E3561" s="46" t="n">
        <v>450</v>
      </c>
      <c r="F3561" s="46" t="inlineStr">
        <is>
          <t>송내동</t>
        </is>
      </c>
      <c r="G3561" s="50" t="n">
        <v>0.5625</v>
      </c>
      <c r="H3561" s="51" t="n">
        <v>720060</v>
      </c>
      <c r="I3561" s="46" t="inlineStr">
        <is>
          <t>송낙명</t>
        </is>
      </c>
      <c r="K3561" s="46" t="n">
        <v>3560</v>
      </c>
      <c r="L3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2">
      <c r="A3562" s="229" t="n">
        <v>46281</v>
      </c>
      <c r="B3562" s="46" t="inlineStr">
        <is>
          <t>정기검사</t>
        </is>
      </c>
      <c r="C3562" s="46" t="inlineStr">
        <is>
          <t>부천지역</t>
        </is>
      </c>
      <c r="D3562" s="46" t="inlineStr">
        <is>
          <t>홍보</t>
        </is>
      </c>
      <c r="E3562" s="46" t="n">
        <v>290</v>
      </c>
      <c r="F3562" s="46" t="inlineStr">
        <is>
          <t>춘의동</t>
        </is>
      </c>
      <c r="G3562" s="50" t="n">
        <v>0.4791666666666667</v>
      </c>
      <c r="H3562" s="51" t="n">
        <v>515130</v>
      </c>
      <c r="I3562" s="46" t="inlineStr">
        <is>
          <t>한태희</t>
        </is>
      </c>
      <c r="K3562" s="46" t="n">
        <v>3561</v>
      </c>
      <c r="L3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3">
      <c r="A3563" s="229" t="n">
        <v>46281</v>
      </c>
      <c r="B3563" s="46" t="inlineStr">
        <is>
          <t>정기검사</t>
        </is>
      </c>
      <c r="C3563" s="46" t="inlineStr">
        <is>
          <t>부천지역</t>
        </is>
      </c>
      <c r="D3563" s="46" t="inlineStr">
        <is>
          <t>퀸즈파크옥길</t>
        </is>
      </c>
      <c r="E3563" s="46" t="inlineStr">
        <is>
          <t>950/327</t>
        </is>
      </c>
      <c r="F3563" s="46" t="inlineStr">
        <is>
          <t>옥길동</t>
        </is>
      </c>
      <c r="G3563" s="50" t="n">
        <v>0.25</v>
      </c>
      <c r="H3563" s="51" t="n">
        <v>1442320</v>
      </c>
      <c r="I3563" s="46" t="inlineStr">
        <is>
          <t>김영권</t>
        </is>
      </c>
      <c r="K3563" s="46" t="n">
        <v>3562</v>
      </c>
      <c r="L3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4">
      <c r="A3564" s="229" t="n">
        <v>46281</v>
      </c>
      <c r="B3564" s="46" t="inlineStr">
        <is>
          <t>정기검사</t>
        </is>
      </c>
      <c r="C3564" s="46" t="inlineStr">
        <is>
          <t>부천지역</t>
        </is>
      </c>
      <c r="D3564" s="46" t="inlineStr">
        <is>
          <t>두경티앤씨</t>
        </is>
      </c>
      <c r="E3564" s="46" t="n">
        <v>200</v>
      </c>
      <c r="F3564" s="46" t="inlineStr">
        <is>
          <t>내동</t>
        </is>
      </c>
      <c r="G3564" s="50" t="n">
        <v>0.4791666666666667</v>
      </c>
      <c r="H3564" s="51" t="n">
        <v>456720</v>
      </c>
      <c r="I3564" s="46" t="inlineStr">
        <is>
          <t>김영권</t>
        </is>
      </c>
      <c r="K3564" s="46" t="n">
        <v>3563</v>
      </c>
      <c r="L3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5">
      <c r="A3565" s="229" t="n">
        <v>46281</v>
      </c>
      <c r="B3565" s="46" t="inlineStr">
        <is>
          <t>정기검사</t>
        </is>
      </c>
      <c r="C3565" s="46" t="inlineStr">
        <is>
          <t>김포지역</t>
        </is>
      </c>
      <c r="D3565" s="46" t="inlineStr">
        <is>
          <t>소망마을</t>
        </is>
      </c>
      <c r="E3565" s="46" t="inlineStr">
        <is>
          <t>전기차</t>
        </is>
      </c>
      <c r="F3565" s="46" t="inlineStr">
        <is>
          <t>마송리</t>
        </is>
      </c>
      <c r="G3565" s="50" t="n">
        <v>0.4166666666666667</v>
      </c>
      <c r="H3565" s="51" t="n">
        <v>115060</v>
      </c>
      <c r="I3565" s="46" t="inlineStr">
        <is>
          <t>이덕기</t>
        </is>
      </c>
      <c r="K3565" s="46" t="n">
        <v>3564</v>
      </c>
      <c r="L3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6">
      <c r="A3566" s="229" t="n">
        <v>46281</v>
      </c>
      <c r="B3566" s="46" t="inlineStr">
        <is>
          <t>정기검사</t>
        </is>
      </c>
      <c r="C3566" s="46" t="inlineStr">
        <is>
          <t>김포지역</t>
        </is>
      </c>
      <c r="D3566" s="46" t="inlineStr">
        <is>
          <t>장원제정</t>
        </is>
      </c>
      <c r="E3566" s="46" t="n">
        <v>100</v>
      </c>
      <c r="F3566" s="46" t="inlineStr">
        <is>
          <t>학운리</t>
        </is>
      </c>
      <c r="G3566" s="50" t="n">
        <v>0.4791666666666667</v>
      </c>
      <c r="H3566" s="51" t="n">
        <v>391710</v>
      </c>
      <c r="I3566" s="46" t="inlineStr">
        <is>
          <t>허록종</t>
        </is>
      </c>
      <c r="K3566" s="46" t="n">
        <v>3565</v>
      </c>
      <c r="L3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7">
      <c r="A3567" s="229" t="n">
        <v>46281</v>
      </c>
      <c r="B3567" s="46" t="inlineStr">
        <is>
          <t>정기검사</t>
        </is>
      </c>
      <c r="C3567" s="46" t="inlineStr">
        <is>
          <t>김포지역</t>
        </is>
      </c>
      <c r="D3567" s="46" t="inlineStr">
        <is>
          <t>반도유보라</t>
        </is>
      </c>
      <c r="E3567" s="46" t="inlineStr">
        <is>
          <t>2100/505</t>
        </is>
      </c>
      <c r="F3567" s="46" t="inlineStr">
        <is>
          <t>구래동</t>
        </is>
      </c>
      <c r="G3567" s="50" t="n">
        <v>0.4166666666666667</v>
      </c>
      <c r="H3567" s="51" t="n">
        <v>1335400</v>
      </c>
      <c r="I3567" s="46" t="inlineStr">
        <is>
          <t>변종국</t>
        </is>
      </c>
      <c r="K3567" s="46" t="n">
        <v>3566</v>
      </c>
      <c r="L3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8">
      <c r="A3568" s="229" t="n">
        <v>46281</v>
      </c>
      <c r="B3568" s="46" t="inlineStr">
        <is>
          <t>정기검사</t>
        </is>
      </c>
      <c r="C3568" s="46" t="inlineStr">
        <is>
          <t>김포지역</t>
        </is>
      </c>
      <c r="D3568" s="46" t="inlineStr">
        <is>
          <t>김포마송소망마을</t>
        </is>
      </c>
      <c r="E3568" s="46" t="inlineStr">
        <is>
          <t>1400/350</t>
        </is>
      </c>
      <c r="F3568" s="46" t="inlineStr">
        <is>
          <t>마송리</t>
        </is>
      </c>
      <c r="G3568" s="50" t="n">
        <v>0.4166666666666667</v>
      </c>
      <c r="H3568" s="51" t="n">
        <v>1245420</v>
      </c>
      <c r="I3568" s="46" t="inlineStr">
        <is>
          <t>이덕기</t>
        </is>
      </c>
      <c r="K3568" s="46" t="n">
        <v>3567</v>
      </c>
      <c r="L3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9">
      <c r="A3569" s="229" t="n">
        <v>46281</v>
      </c>
      <c r="B3569" s="46" t="inlineStr">
        <is>
          <t>정기검사</t>
        </is>
      </c>
      <c r="C3569" s="46" t="inlineStr">
        <is>
          <t>김포지역</t>
        </is>
      </c>
      <c r="D3569" s="46" t="inlineStr">
        <is>
          <t>창광화학</t>
        </is>
      </c>
      <c r="E3569" s="46" t="n">
        <v>405</v>
      </c>
      <c r="F3569" s="46" t="inlineStr">
        <is>
          <t>대명리</t>
        </is>
      </c>
      <c r="G3569" s="50" t="n">
        <v>0.6041666666666666</v>
      </c>
      <c r="H3569" s="51" t="n">
        <v>575740</v>
      </c>
      <c r="I3569" s="46" t="inlineStr">
        <is>
          <t>서수형</t>
        </is>
      </c>
      <c r="K3569" s="46" t="n">
        <v>3568</v>
      </c>
      <c r="L3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0">
      <c r="A3570" s="229" t="n">
        <v>46281</v>
      </c>
      <c r="B3570" s="46" t="inlineStr">
        <is>
          <t>사용전검사</t>
        </is>
      </c>
      <c r="C3570" s="46" t="inlineStr">
        <is>
          <t>부천지역</t>
        </is>
      </c>
      <c r="D3570" s="46" t="inlineStr">
        <is>
          <t>신보냉동</t>
        </is>
      </c>
      <c r="E3570" s="46" t="inlineStr">
        <is>
          <t>변변</t>
        </is>
      </c>
      <c r="F3570" s="46" t="inlineStr">
        <is>
          <t>도당동</t>
        </is>
      </c>
      <c r="G3570" s="50" t="n">
        <v>0.625</v>
      </c>
      <c r="H3570" s="51" t="n"/>
      <c r="I3570" s="46" t="inlineStr">
        <is>
          <t>정신배</t>
        </is>
      </c>
      <c r="K3570" s="46" t="n">
        <v>3569</v>
      </c>
      <c r="L3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1">
      <c r="A3571" s="229" t="n">
        <v>46281</v>
      </c>
      <c r="B3571" s="46" t="inlineStr">
        <is>
          <t>사용전검사</t>
        </is>
      </c>
      <c r="C3571" s="46" t="inlineStr">
        <is>
          <t>부천지역</t>
        </is>
      </c>
      <c r="D3571" s="46" t="inlineStr">
        <is>
          <t>원보보거</t>
        </is>
      </c>
      <c r="E3571" s="46" t="n">
        <v>35</v>
      </c>
      <c r="F3571" s="46" t="inlineStr">
        <is>
          <t>심곡본동</t>
        </is>
      </c>
      <c r="G3571" s="50" t="n"/>
      <c r="H3571" s="51" t="n"/>
      <c r="I3571" s="46" t="inlineStr">
        <is>
          <t>정신배</t>
        </is>
      </c>
      <c r="K3571" s="46" t="n">
        <v>3570</v>
      </c>
      <c r="L3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2">
      <c r="A3572" s="229" t="n">
        <v>46281</v>
      </c>
      <c r="B3572" s="46" t="inlineStr">
        <is>
          <t>메모</t>
        </is>
      </c>
      <c r="C3572" s="46" t="inlineStr">
        <is>
          <t>부천지역</t>
        </is>
      </c>
      <c r="D3572" s="46" t="inlineStr">
        <is>
          <t>정성관휴가</t>
        </is>
      </c>
      <c r="E3572" s="46" t="n"/>
      <c r="F3572" s="46" t="n"/>
      <c r="G3572" s="50" t="n"/>
      <c r="H3572" s="51" t="n"/>
      <c r="I3572" s="46" t="n"/>
      <c r="K3572" s="46" t="n">
        <v>3571</v>
      </c>
      <c r="L3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3">
      <c r="A3573" s="229" t="n">
        <v>46281</v>
      </c>
      <c r="B3573" s="46" t="inlineStr">
        <is>
          <t>사용전검사</t>
        </is>
      </c>
      <c r="C3573" s="46" t="inlineStr">
        <is>
          <t>김포지역</t>
        </is>
      </c>
      <c r="D3573" s="46" t="inlineStr">
        <is>
          <t>태현</t>
        </is>
      </c>
      <c r="E3573" s="46" t="n">
        <v>119</v>
      </c>
      <c r="F3573" s="46" t="inlineStr">
        <is>
          <t>마곡리</t>
        </is>
      </c>
      <c r="G3573" s="50" t="n"/>
      <c r="H3573" s="51" t="n"/>
      <c r="I3573" s="46" t="inlineStr">
        <is>
          <t>옹승완</t>
        </is>
      </c>
      <c r="K3573" s="46" t="n">
        <v>3572</v>
      </c>
      <c r="L3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4">
      <c r="A3574" s="229" t="n">
        <v>46281</v>
      </c>
      <c r="B3574" s="46" t="inlineStr">
        <is>
          <t>사용전검사</t>
        </is>
      </c>
      <c r="C3574" s="46" t="inlineStr">
        <is>
          <t>김포지역</t>
        </is>
      </c>
      <c r="D3574" s="46" t="inlineStr">
        <is>
          <t>화성1호</t>
        </is>
      </c>
      <c r="E3574" s="46" t="n">
        <v>87</v>
      </c>
      <c r="F3574" s="46" t="inlineStr">
        <is>
          <t>학운리</t>
        </is>
      </c>
      <c r="G3574" s="50" t="n"/>
      <c r="H3574" s="51" t="n"/>
      <c r="I3574" s="46" t="inlineStr">
        <is>
          <t>이종석</t>
        </is>
      </c>
      <c r="K3574" s="46" t="n">
        <v>3573</v>
      </c>
      <c r="L3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5">
      <c r="A3575" s="229" t="n">
        <v>46281</v>
      </c>
      <c r="B3575" s="46" t="inlineStr">
        <is>
          <t>사용전검사</t>
        </is>
      </c>
      <c r="C3575" s="46" t="inlineStr">
        <is>
          <t>김포지역</t>
        </is>
      </c>
      <c r="D3575" s="46" t="inlineStr">
        <is>
          <t>예성이엠씨</t>
        </is>
      </c>
      <c r="E3575" s="46" t="n">
        <v>290</v>
      </c>
      <c r="F3575" s="46" t="inlineStr">
        <is>
          <t>학운리</t>
        </is>
      </c>
      <c r="G3575" s="50" t="n">
        <v>0.6041666666666666</v>
      </c>
      <c r="H3575" s="51" t="n"/>
      <c r="I3575" s="46" t="inlineStr">
        <is>
          <t>옹승완</t>
        </is>
      </c>
      <c r="K3575" s="46" t="n">
        <v>3574</v>
      </c>
      <c r="L3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6">
      <c r="A3576" s="229" t="n">
        <v>46281</v>
      </c>
      <c r="B3576" s="46" t="inlineStr">
        <is>
          <t>사용전검사</t>
        </is>
      </c>
      <c r="C3576" s="46" t="inlineStr">
        <is>
          <t>김포지역</t>
        </is>
      </c>
      <c r="D3576" s="46" t="inlineStr">
        <is>
          <t>바닷가쌈밥</t>
        </is>
      </c>
      <c r="E3576" s="46" t="n">
        <v>70</v>
      </c>
      <c r="F3576" s="46" t="inlineStr">
        <is>
          <t>대명리</t>
        </is>
      </c>
      <c r="G3576" s="50" t="n"/>
      <c r="H3576" s="51" t="n"/>
      <c r="I3576" s="46" t="inlineStr">
        <is>
          <t>허창수</t>
        </is>
      </c>
      <c r="K3576" s="46" t="n">
        <v>3575</v>
      </c>
      <c r="L3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7">
      <c r="A3577" s="229" t="n">
        <v>46281</v>
      </c>
      <c r="B3577" s="46" t="inlineStr">
        <is>
          <t>사용전검사</t>
        </is>
      </c>
      <c r="C3577" s="46" t="inlineStr">
        <is>
          <t>김포지역</t>
        </is>
      </c>
      <c r="D3577" s="46" t="inlineStr">
        <is>
          <t>인오</t>
        </is>
      </c>
      <c r="E3577" s="46" t="n">
        <v>130</v>
      </c>
      <c r="F3577" s="46" t="inlineStr">
        <is>
          <t>대능리</t>
        </is>
      </c>
      <c r="G3577" s="50" t="n"/>
      <c r="H3577" s="51" t="n"/>
      <c r="I3577" s="46" t="inlineStr">
        <is>
          <t>허창수</t>
        </is>
      </c>
      <c r="K3577" s="46" t="n">
        <v>3576</v>
      </c>
      <c r="L3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8">
      <c r="A3578" s="229" t="n">
        <v>46282</v>
      </c>
      <c r="B3578" s="46" t="inlineStr">
        <is>
          <t>정기검사</t>
        </is>
      </c>
      <c r="C3578" s="46" t="inlineStr">
        <is>
          <t>부천지역</t>
        </is>
      </c>
      <c r="D3578" s="46" t="inlineStr">
        <is>
          <t>새한금속</t>
        </is>
      </c>
      <c r="E3578" s="46" t="n">
        <v>160</v>
      </c>
      <c r="F3578" s="46" t="inlineStr">
        <is>
          <t>내동</t>
        </is>
      </c>
      <c r="G3578" s="50" t="n">
        <v>0.5</v>
      </c>
      <c r="H3578" s="51" t="n">
        <v>430650</v>
      </c>
      <c r="I3578" s="46" t="inlineStr">
        <is>
          <t>이종석</t>
        </is>
      </c>
      <c r="K3578" s="46" t="n">
        <v>3577</v>
      </c>
      <c r="L3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9">
      <c r="A3579" s="229" t="n">
        <v>46282</v>
      </c>
      <c r="B3579" s="46" t="inlineStr">
        <is>
          <t>정기검사</t>
        </is>
      </c>
      <c r="C3579" s="46" t="inlineStr">
        <is>
          <t>부천지역</t>
        </is>
      </c>
      <c r="D3579" s="46" t="inlineStr">
        <is>
          <t>퓨림</t>
        </is>
      </c>
      <c r="E3579" s="46" t="n">
        <v>290</v>
      </c>
      <c r="F3579" s="46" t="inlineStr">
        <is>
          <t>도당동</t>
        </is>
      </c>
      <c r="G3579" s="50" t="n">
        <v>0.5208333333333334</v>
      </c>
      <c r="H3579" s="51" t="n">
        <v>515130</v>
      </c>
      <c r="I3579" s="46" t="inlineStr">
        <is>
          <t>송낙명</t>
        </is>
      </c>
      <c r="K3579" s="46" t="n">
        <v>3578</v>
      </c>
      <c r="L3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0">
      <c r="A3580" s="229" t="n">
        <v>46282</v>
      </c>
      <c r="B3580" s="46" t="inlineStr">
        <is>
          <t>정기검사</t>
        </is>
      </c>
      <c r="C3580" s="46" t="inlineStr">
        <is>
          <t>부천지역</t>
        </is>
      </c>
      <c r="D3580" s="46" t="inlineStr">
        <is>
          <t>장권우</t>
        </is>
      </c>
      <c r="E3580" s="46" t="n">
        <v>300</v>
      </c>
      <c r="F3580" s="46" t="inlineStr">
        <is>
          <t>내동</t>
        </is>
      </c>
      <c r="G3580" s="50" t="n">
        <v>0.5416666666666666</v>
      </c>
      <c r="H3580" s="51" t="n">
        <v>521730</v>
      </c>
      <c r="I3580" s="46" t="inlineStr">
        <is>
          <t>변종국</t>
        </is>
      </c>
      <c r="K3580" s="46" t="n">
        <v>3579</v>
      </c>
      <c r="L3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1">
      <c r="A3581" s="229" t="n">
        <v>46282</v>
      </c>
      <c r="B3581" s="46" t="inlineStr">
        <is>
          <t>정기검사</t>
        </is>
      </c>
      <c r="C3581" s="46" t="inlineStr">
        <is>
          <t>부천지역</t>
        </is>
      </c>
      <c r="D3581" s="46" t="inlineStr">
        <is>
          <t>석천엔지니어링</t>
        </is>
      </c>
      <c r="E3581" s="46" t="n">
        <v>400</v>
      </c>
      <c r="F3581" s="46" t="inlineStr">
        <is>
          <t>도당동</t>
        </is>
      </c>
      <c r="G3581" s="50" t="n">
        <v>0.4861111111111111</v>
      </c>
      <c r="H3581" s="51" t="n">
        <v>703120</v>
      </c>
      <c r="I3581" s="46" t="inlineStr">
        <is>
          <t>옹승완</t>
        </is>
      </c>
      <c r="K3581" s="46" t="n">
        <v>3580</v>
      </c>
      <c r="L3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2">
      <c r="A3582" s="229" t="n">
        <v>46282</v>
      </c>
      <c r="B3582" s="46" t="inlineStr">
        <is>
          <t>정기검사</t>
        </is>
      </c>
      <c r="C3582" s="46" t="inlineStr">
        <is>
          <t>부천지역</t>
        </is>
      </c>
      <c r="D3582" s="46" t="inlineStr">
        <is>
          <t>태송패리채</t>
        </is>
      </c>
      <c r="E3582" s="46" t="inlineStr">
        <is>
          <t>600/145</t>
        </is>
      </c>
      <c r="F3582" s="46" t="inlineStr">
        <is>
          <t>괴안동</t>
        </is>
      </c>
      <c r="G3582" s="50" t="n">
        <v>0.4166666666666667</v>
      </c>
      <c r="H3582" s="51" t="n">
        <v>950400</v>
      </c>
      <c r="I3582" s="46" t="inlineStr">
        <is>
          <t>옹승완</t>
        </is>
      </c>
      <c r="K3582" s="46" t="n">
        <v>3581</v>
      </c>
      <c r="L3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3">
      <c r="A3583" s="229" t="n">
        <v>46282</v>
      </c>
      <c r="B3583" s="46" t="inlineStr">
        <is>
          <t>정기검사</t>
        </is>
      </c>
      <c r="C3583" s="46" t="inlineStr">
        <is>
          <t>김포지역</t>
        </is>
      </c>
      <c r="D3583" s="46" t="inlineStr">
        <is>
          <t>마모태양광</t>
        </is>
      </c>
      <c r="E3583" s="46" t="n">
        <v>38</v>
      </c>
      <c r="F3583" s="46" t="inlineStr">
        <is>
          <t>원산리</t>
        </is>
      </c>
      <c r="G3583" s="50" t="n">
        <v>0.5833333333333334</v>
      </c>
      <c r="H3583" s="51" t="n">
        <v>191510</v>
      </c>
      <c r="I3583" s="46" t="inlineStr">
        <is>
          <t>당효진</t>
        </is>
      </c>
      <c r="K3583" s="46" t="n">
        <v>3582</v>
      </c>
      <c r="L3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4">
      <c r="A3584" s="229" t="n">
        <v>46282</v>
      </c>
      <c r="B3584" s="46" t="inlineStr">
        <is>
          <t>정기검사</t>
        </is>
      </c>
      <c r="C3584" s="46" t="inlineStr">
        <is>
          <t>김포지역</t>
        </is>
      </c>
      <c r="D3584" s="46" t="inlineStr">
        <is>
          <t>유일태양광</t>
        </is>
      </c>
      <c r="E3584" s="46" t="n">
        <v>87</v>
      </c>
      <c r="F3584" s="46" t="inlineStr">
        <is>
          <t>원산리</t>
        </is>
      </c>
      <c r="G3584" s="50" t="n">
        <v>0.4583333333333333</v>
      </c>
      <c r="H3584" s="51" t="n">
        <v>242330</v>
      </c>
      <c r="I3584" s="46" t="inlineStr">
        <is>
          <t>당효진</t>
        </is>
      </c>
      <c r="K3584" s="46" t="n">
        <v>3583</v>
      </c>
      <c r="L3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5">
      <c r="A3585" s="229" t="n">
        <v>46282</v>
      </c>
      <c r="B3585" s="46" t="inlineStr">
        <is>
          <t>정기검사</t>
        </is>
      </c>
      <c r="C3585" s="46" t="inlineStr">
        <is>
          <t>김포지역</t>
        </is>
      </c>
      <c r="D3585" s="46" t="inlineStr">
        <is>
          <t>이편한세상</t>
        </is>
      </c>
      <c r="E3585" s="46" t="inlineStr">
        <is>
          <t>전기차</t>
        </is>
      </c>
      <c r="F3585" s="46" t="inlineStr">
        <is>
          <t>마송리</t>
        </is>
      </c>
      <c r="G3585" s="50" t="n">
        <v>0.4166666666666667</v>
      </c>
      <c r="H3585" s="51" t="n">
        <v>216700</v>
      </c>
      <c r="I3585" s="46" t="inlineStr">
        <is>
          <t>정신배</t>
        </is>
      </c>
      <c r="K3585" s="46" t="n">
        <v>3584</v>
      </c>
      <c r="L3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6">
      <c r="A3586" s="229" t="n">
        <v>46282</v>
      </c>
      <c r="B3586" s="46" t="inlineStr">
        <is>
          <t>정기검사</t>
        </is>
      </c>
      <c r="C3586" s="46" t="inlineStr">
        <is>
          <t>김포지역</t>
        </is>
      </c>
      <c r="D3586" s="46" t="inlineStr">
        <is>
          <t>이편한세상</t>
        </is>
      </c>
      <c r="E3586" s="46" t="inlineStr">
        <is>
          <t>1950/454</t>
        </is>
      </c>
      <c r="F3586" s="46" t="inlineStr">
        <is>
          <t>마송리</t>
        </is>
      </c>
      <c r="G3586" s="50" t="n">
        <v>0.4166666666666667</v>
      </c>
      <c r="H3586" s="51" t="n">
        <v>1292610</v>
      </c>
      <c r="I3586" s="46" t="inlineStr">
        <is>
          <t>정신배</t>
        </is>
      </c>
      <c r="K3586" s="46" t="n">
        <v>3585</v>
      </c>
      <c r="L3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7">
      <c r="A3587" s="229" t="n">
        <v>46282</v>
      </c>
      <c r="B3587" s="46" t="inlineStr">
        <is>
          <t>정기검사</t>
        </is>
      </c>
      <c r="C3587" s="46" t="inlineStr">
        <is>
          <t>김포지역</t>
        </is>
      </c>
      <c r="D3587" s="46" t="inlineStr">
        <is>
          <t>루체스타라펠리체</t>
        </is>
      </c>
      <c r="E3587" s="46" t="inlineStr">
        <is>
          <t>900/450</t>
        </is>
      </c>
      <c r="F3587" s="46" t="inlineStr">
        <is>
          <t>고촌</t>
        </is>
      </c>
      <c r="G3587" s="50" t="n">
        <v>0.3958333333333333</v>
      </c>
      <c r="H3587" s="51" t="n">
        <v>1118920</v>
      </c>
      <c r="I3587" s="46" t="inlineStr">
        <is>
          <t>서수형</t>
        </is>
      </c>
      <c r="K3587" s="46" t="n">
        <v>3586</v>
      </c>
      <c r="L3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8">
      <c r="A3588" s="229" t="n">
        <v>46282</v>
      </c>
      <c r="B3588" s="46" t="inlineStr">
        <is>
          <t>정기검사</t>
        </is>
      </c>
      <c r="C3588" s="46" t="inlineStr">
        <is>
          <t>김포지역</t>
        </is>
      </c>
      <c r="D3588" s="46" t="inlineStr">
        <is>
          <t>이성</t>
        </is>
      </c>
      <c r="E3588" s="46" t="n">
        <v>380</v>
      </c>
      <c r="F3588" s="46" t="inlineStr">
        <is>
          <t>귀전리</t>
        </is>
      </c>
      <c r="G3588" s="50" t="n">
        <v>0.3958333333333333</v>
      </c>
      <c r="H3588" s="51" t="n">
        <v>696300</v>
      </c>
      <c r="I3588" s="46" t="inlineStr">
        <is>
          <t>허록종</t>
        </is>
      </c>
      <c r="K3588" s="46" t="n">
        <v>3587</v>
      </c>
      <c r="L3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9">
      <c r="A3589" s="229" t="n">
        <v>46282</v>
      </c>
      <c r="B3589" s="46" t="inlineStr">
        <is>
          <t>정기검사</t>
        </is>
      </c>
      <c r="C3589" s="46" t="inlineStr">
        <is>
          <t>김포지역</t>
        </is>
      </c>
      <c r="D3589" s="46" t="inlineStr">
        <is>
          <t>이편한세상2차</t>
        </is>
      </c>
      <c r="E3589" s="46" t="inlineStr">
        <is>
          <t>2900/136</t>
        </is>
      </c>
      <c r="F3589" s="46" t="inlineStr">
        <is>
          <t>마산동</t>
        </is>
      </c>
      <c r="G3589" s="50" t="n">
        <v>0.4166666666666667</v>
      </c>
      <c r="H3589" s="51" t="n">
        <v>1630750</v>
      </c>
      <c r="I3589" s="46" t="inlineStr">
        <is>
          <t>민재홍</t>
        </is>
      </c>
      <c r="K3589" s="46" t="n">
        <v>3588</v>
      </c>
      <c r="L3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0">
      <c r="A3590" s="229" t="n">
        <v>46282</v>
      </c>
      <c r="B3590" s="46" t="inlineStr">
        <is>
          <t>정기검사</t>
        </is>
      </c>
      <c r="C3590" s="46" t="inlineStr">
        <is>
          <t>김포지역</t>
        </is>
      </c>
      <c r="D3590" s="46" t="inlineStr">
        <is>
          <t>이편한세상3차</t>
        </is>
      </c>
      <c r="E3590" s="46" t="inlineStr">
        <is>
          <t>전기차</t>
        </is>
      </c>
      <c r="F3590" s="46" t="inlineStr">
        <is>
          <t>마산동</t>
        </is>
      </c>
      <c r="G3590" s="50" t="n">
        <v>0.4166666666666667</v>
      </c>
      <c r="H3590" s="51" t="n">
        <v>284460</v>
      </c>
      <c r="I3590" s="46" t="inlineStr">
        <is>
          <t>민재홍</t>
        </is>
      </c>
      <c r="K3590" s="46" t="n">
        <v>3589</v>
      </c>
      <c r="L3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1">
      <c r="A3591" s="229" t="n">
        <v>46282</v>
      </c>
      <c r="B3591" s="46" t="inlineStr">
        <is>
          <t>사용전검사</t>
        </is>
      </c>
      <c r="C3591" s="46" t="inlineStr">
        <is>
          <t>부천지역</t>
        </is>
      </c>
      <c r="D3591" s="46" t="inlineStr">
        <is>
          <t>온세미</t>
        </is>
      </c>
      <c r="E3591" s="46" t="n">
        <v>120</v>
      </c>
      <c r="F3591" s="46" t="inlineStr">
        <is>
          <t>도당동</t>
        </is>
      </c>
      <c r="G3591" s="50" t="n"/>
      <c r="H3591" s="51" t="n"/>
      <c r="I3591" s="46" t="inlineStr">
        <is>
          <t>변종국</t>
        </is>
      </c>
      <c r="K3591" s="46" t="n">
        <v>3590</v>
      </c>
      <c r="L3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2">
      <c r="A3592" s="229" t="n">
        <v>46282</v>
      </c>
      <c r="B3592" s="46" t="inlineStr">
        <is>
          <t>메모</t>
        </is>
      </c>
      <c r="C3592" s="46" t="inlineStr">
        <is>
          <t>부천지역</t>
        </is>
      </c>
      <c r="D3592" s="46" t="inlineStr">
        <is>
          <t>한태희휴가</t>
        </is>
      </c>
      <c r="E3592" s="46" t="inlineStr">
        <is>
          <t>송낙명-옹승완</t>
        </is>
      </c>
      <c r="F3592" s="46" t="n"/>
      <c r="G3592" s="50" t="n"/>
      <c r="H3592" s="51" t="n"/>
      <c r="I3592" s="46" t="n"/>
      <c r="K3592" s="46" t="n">
        <v>3591</v>
      </c>
      <c r="L3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3">
      <c r="A3593" s="229" t="n">
        <v>46282</v>
      </c>
      <c r="B3593" s="46" t="inlineStr">
        <is>
          <t>메모</t>
        </is>
      </c>
      <c r="C3593" s="46" t="inlineStr">
        <is>
          <t>부천지역</t>
        </is>
      </c>
      <c r="D3593" s="46" t="inlineStr">
        <is>
          <t>이덕기휴가</t>
        </is>
      </c>
      <c r="E3593" s="46" t="n"/>
      <c r="F3593" s="46" t="n"/>
      <c r="G3593" s="50" t="n"/>
      <c r="H3593" s="51" t="n"/>
      <c r="I3593" s="46" t="n"/>
      <c r="K3593" s="46" t="n">
        <v>3592</v>
      </c>
      <c r="L3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4">
      <c r="A3594" s="229" t="n">
        <v>46282</v>
      </c>
      <c r="B3594" s="46" t="inlineStr">
        <is>
          <t>사용전검사</t>
        </is>
      </c>
      <c r="C3594" s="46" t="inlineStr">
        <is>
          <t>김포지역</t>
        </is>
      </c>
      <c r="D3594" s="46" t="inlineStr">
        <is>
          <t>동아전기</t>
        </is>
      </c>
      <c r="E3594" s="46" t="n">
        <v>223</v>
      </c>
      <c r="F3594" s="46" t="inlineStr">
        <is>
          <t>양택리</t>
        </is>
      </c>
      <c r="G3594" s="50" t="n"/>
      <c r="H3594" s="51" t="n"/>
      <c r="I3594" s="46" t="inlineStr">
        <is>
          <t>허창수</t>
        </is>
      </c>
      <c r="K3594" s="46" t="n">
        <v>3593</v>
      </c>
      <c r="L3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5">
      <c r="A3595" s="229" t="n">
        <v>46283</v>
      </c>
      <c r="B3595" s="46" t="inlineStr">
        <is>
          <t>정기검사</t>
        </is>
      </c>
      <c r="C3595" s="46" t="inlineStr">
        <is>
          <t>부천지역</t>
        </is>
      </c>
      <c r="D3595" s="46" t="inlineStr">
        <is>
          <t>펜타포스</t>
        </is>
      </c>
      <c r="E3595" s="46" t="n">
        <v>60</v>
      </c>
      <c r="F3595" s="46" t="inlineStr">
        <is>
          <t>내동</t>
        </is>
      </c>
      <c r="G3595" s="50" t="n">
        <v>0.5416666666666666</v>
      </c>
      <c r="H3595" s="51" t="n">
        <v>365640</v>
      </c>
      <c r="I3595" s="46" t="inlineStr">
        <is>
          <t>한태희</t>
        </is>
      </c>
      <c r="K3595" s="46" t="n">
        <v>3594</v>
      </c>
      <c r="L3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6">
      <c r="A3596" s="229" t="n">
        <v>46283</v>
      </c>
      <c r="B3596" s="46" t="inlineStr">
        <is>
          <t>정기검사</t>
        </is>
      </c>
      <c r="C3596" s="46" t="inlineStr">
        <is>
          <t>부천지역</t>
        </is>
      </c>
      <c r="D3596" s="46" t="inlineStr">
        <is>
          <t>카운텍</t>
        </is>
      </c>
      <c r="E3596" s="46" t="n">
        <v>80</v>
      </c>
      <c r="F3596" s="46" t="inlineStr">
        <is>
          <t>오정동</t>
        </is>
      </c>
      <c r="G3596" s="50" t="n">
        <v>0.5416666666666666</v>
      </c>
      <c r="H3596" s="51" t="n">
        <v>160270</v>
      </c>
      <c r="I3596" s="46" t="inlineStr">
        <is>
          <t>한태희</t>
        </is>
      </c>
      <c r="K3596" s="46" t="n">
        <v>3595</v>
      </c>
      <c r="L3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7">
      <c r="A3597" s="229" t="n">
        <v>46283</v>
      </c>
      <c r="B3597" s="46" t="inlineStr">
        <is>
          <t>정기검사</t>
        </is>
      </c>
      <c r="C3597" s="46" t="inlineStr">
        <is>
          <t>부천지역</t>
        </is>
      </c>
      <c r="D3597" s="46" t="inlineStr">
        <is>
          <t>상동성당</t>
        </is>
      </c>
      <c r="E3597" s="46" t="n">
        <v>350</v>
      </c>
      <c r="F3597" s="46" t="inlineStr">
        <is>
          <t>상동</t>
        </is>
      </c>
      <c r="G3597" s="50" t="n">
        <v>0.5833333333333334</v>
      </c>
      <c r="H3597" s="51" t="n">
        <v>686180</v>
      </c>
      <c r="I3597" s="46" t="inlineStr">
        <is>
          <t>옹승완</t>
        </is>
      </c>
      <c r="K3597" s="46" t="n">
        <v>3596</v>
      </c>
      <c r="L3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8">
      <c r="A3598" s="229" t="n">
        <v>46283</v>
      </c>
      <c r="B3598" s="46" t="inlineStr">
        <is>
          <t>정기검사</t>
        </is>
      </c>
      <c r="C3598" s="46" t="inlineStr">
        <is>
          <t>김포지역</t>
        </is>
      </c>
      <c r="D3598" s="46" t="inlineStr">
        <is>
          <t>양외수영장</t>
        </is>
      </c>
      <c r="E3598" s="46" t="inlineStr">
        <is>
          <t>전기차</t>
        </is>
      </c>
      <c r="F3598" s="46" t="inlineStr">
        <is>
          <t>고막리</t>
        </is>
      </c>
      <c r="G3598" s="50" t="n">
        <v>0.4791666666666667</v>
      </c>
      <c r="H3598" s="51" t="n">
        <v>237600</v>
      </c>
      <c r="I3598" s="46" t="inlineStr">
        <is>
          <t>허록종</t>
        </is>
      </c>
      <c r="K3598" s="46" t="n">
        <v>3597</v>
      </c>
      <c r="L3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9">
      <c r="A3599" s="229" t="n">
        <v>46283</v>
      </c>
      <c r="B3599" s="46" t="inlineStr">
        <is>
          <t>정기검사</t>
        </is>
      </c>
      <c r="C3599" s="46" t="inlineStr">
        <is>
          <t>김포지역</t>
        </is>
      </c>
      <c r="D3599" s="46" t="inlineStr">
        <is>
          <t>윤경산업</t>
        </is>
      </c>
      <c r="E3599" s="46" t="n">
        <v>500</v>
      </c>
      <c r="F3599" s="46" t="inlineStr">
        <is>
          <t>석정리</t>
        </is>
      </c>
      <c r="G3599" s="50" t="n">
        <v>0.4791666666666667</v>
      </c>
      <c r="H3599" s="51" t="n">
        <v>737000</v>
      </c>
      <c r="I3599" s="46" t="inlineStr">
        <is>
          <t>김영권</t>
        </is>
      </c>
      <c r="K3599" s="46" t="n">
        <v>3598</v>
      </c>
      <c r="L3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0">
      <c r="A3600" s="229" t="n">
        <v>46283</v>
      </c>
      <c r="B3600" s="46" t="inlineStr">
        <is>
          <t>정기검사</t>
        </is>
      </c>
      <c r="C3600" s="46" t="inlineStr">
        <is>
          <t>김포지역</t>
        </is>
      </c>
      <c r="D3600" s="46" t="inlineStr">
        <is>
          <t>원팩토리</t>
        </is>
      </c>
      <c r="E3600" s="46" t="n">
        <v>290</v>
      </c>
      <c r="F3600" s="46" t="inlineStr">
        <is>
          <t>갈산리</t>
        </is>
      </c>
      <c r="G3600" s="50" t="n">
        <v>0.3958333333333333</v>
      </c>
      <c r="H3600" s="51" t="n">
        <v>515130</v>
      </c>
      <c r="I3600" s="46" t="inlineStr">
        <is>
          <t>당효진</t>
        </is>
      </c>
      <c r="K3600" s="46" t="n">
        <v>3599</v>
      </c>
      <c r="L3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1">
      <c r="A3601" s="229" t="n">
        <v>46283</v>
      </c>
      <c r="B3601" s="46" t="inlineStr">
        <is>
          <t>정기검사</t>
        </is>
      </c>
      <c r="C3601" s="46" t="inlineStr">
        <is>
          <t>김포지역</t>
        </is>
      </c>
      <c r="D3601" s="46" t="inlineStr">
        <is>
          <t>심화이노베이션</t>
        </is>
      </c>
      <c r="E3601" s="46" t="n">
        <v>550</v>
      </c>
      <c r="F3601" s="46" t="inlineStr">
        <is>
          <t>대명리</t>
        </is>
      </c>
      <c r="G3601" s="50" t="n"/>
      <c r="H3601" s="51" t="n">
        <v>753940</v>
      </c>
      <c r="I3601" s="46" t="inlineStr">
        <is>
          <t>김영권</t>
        </is>
      </c>
      <c r="K3601" s="46" t="n">
        <v>3600</v>
      </c>
      <c r="L3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2">
      <c r="A3602" s="229" t="n">
        <v>46283</v>
      </c>
      <c r="B3602" s="46" t="inlineStr">
        <is>
          <t>사용전검사</t>
        </is>
      </c>
      <c r="C3602" s="46" t="inlineStr">
        <is>
          <t>부천지역</t>
        </is>
      </c>
      <c r="D3602" s="46" t="inlineStr">
        <is>
          <t>마이마트</t>
        </is>
      </c>
      <c r="E3602" s="46" t="n">
        <v>86</v>
      </c>
      <c r="F3602" s="46" t="inlineStr">
        <is>
          <t>원미동</t>
        </is>
      </c>
      <c r="G3602" s="50" t="n"/>
      <c r="H3602" s="51" t="n"/>
      <c r="I3602" s="46" t="inlineStr">
        <is>
          <t>송낙명</t>
        </is>
      </c>
      <c r="K3602" s="46" t="n">
        <v>3601</v>
      </c>
      <c r="L3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3">
      <c r="A3603" s="229" t="n">
        <v>46283</v>
      </c>
      <c r="B3603" s="46" t="inlineStr">
        <is>
          <t>사용전검사</t>
        </is>
      </c>
      <c r="C3603" s="46" t="inlineStr">
        <is>
          <t>부천지역</t>
        </is>
      </c>
      <c r="D3603" s="46" t="inlineStr">
        <is>
          <t>진행</t>
        </is>
      </c>
      <c r="E3603" s="46" t="n"/>
      <c r="F3603" s="46" t="n"/>
      <c r="G3603" s="50" t="n"/>
      <c r="H3603" s="51" t="n"/>
      <c r="I3603" s="46" t="inlineStr">
        <is>
          <t>이덕기</t>
        </is>
      </c>
      <c r="K3603" s="46" t="n">
        <v>3602</v>
      </c>
      <c r="L3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4">
      <c r="A3604" s="229" t="n">
        <v>46283</v>
      </c>
      <c r="B3604" s="46" t="inlineStr">
        <is>
          <t>사용전검사</t>
        </is>
      </c>
      <c r="C3604" s="46" t="inlineStr">
        <is>
          <t>부천지역</t>
        </is>
      </c>
      <c r="D3604" s="46" t="inlineStr">
        <is>
          <t>부천근생시설</t>
        </is>
      </c>
      <c r="E3604" s="46" t="n">
        <v>120</v>
      </c>
      <c r="F3604" s="46" t="inlineStr">
        <is>
          <t>오정동</t>
        </is>
      </c>
      <c r="G3604" s="50" t="n"/>
      <c r="H3604" s="51" t="n"/>
      <c r="I3604" s="46" t="inlineStr">
        <is>
          <t>송낙명</t>
        </is>
      </c>
      <c r="K3604" s="46" t="n">
        <v>3603</v>
      </c>
      <c r="L3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5">
      <c r="A3605" s="229" t="n">
        <v>46283</v>
      </c>
      <c r="B3605" s="46" t="inlineStr">
        <is>
          <t>메모</t>
        </is>
      </c>
      <c r="C3605" s="46" t="inlineStr">
        <is>
          <t>부천지역</t>
        </is>
      </c>
      <c r="D3605" s="46" t="inlineStr">
        <is>
          <t>서수형휴가</t>
        </is>
      </c>
      <c r="E3605" s="46" t="inlineStr">
        <is>
          <t>이종석-허창수</t>
        </is>
      </c>
      <c r="F3605" s="46" t="n"/>
      <c r="G3605" s="50" t="n"/>
      <c r="H3605" s="51" t="n"/>
      <c r="I3605" s="46" t="n"/>
      <c r="K3605" s="46" t="n">
        <v>3604</v>
      </c>
      <c r="L3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6">
      <c r="A3606" s="229" t="n">
        <v>46283</v>
      </c>
      <c r="B3606" s="46" t="inlineStr">
        <is>
          <t>메모</t>
        </is>
      </c>
      <c r="C3606" s="46" t="inlineStr">
        <is>
          <t>부천지역</t>
        </is>
      </c>
      <c r="D3606" s="46" t="inlineStr">
        <is>
          <t>변종국휴가</t>
        </is>
      </c>
      <c r="E3606" s="46" t="n"/>
      <c r="F3606" s="46" t="n"/>
      <c r="G3606" s="50" t="n"/>
      <c r="H3606" s="51" t="n"/>
      <c r="I3606" s="46" t="n"/>
      <c r="K3606" s="46" t="n">
        <v>3605</v>
      </c>
      <c r="L3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7">
      <c r="A3607" s="229" t="n">
        <v>46283</v>
      </c>
      <c r="B3607" s="46" t="inlineStr">
        <is>
          <t>사용전검사</t>
        </is>
      </c>
      <c r="C3607" s="46" t="inlineStr">
        <is>
          <t>김포지역</t>
        </is>
      </c>
      <c r="D3607" s="46" t="inlineStr">
        <is>
          <t>신원태양광</t>
        </is>
      </c>
      <c r="E3607" s="46" t="n">
        <v>176</v>
      </c>
      <c r="F3607" s="46" t="inlineStr">
        <is>
          <t>옹정리</t>
        </is>
      </c>
      <c r="G3607" s="50" t="n"/>
      <c r="H3607" s="51" t="n"/>
      <c r="I3607" s="46" t="inlineStr">
        <is>
          <t>민재홍</t>
        </is>
      </c>
      <c r="K3607" s="46" t="n">
        <v>3606</v>
      </c>
      <c r="L3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8">
      <c r="A3608" s="229" t="n">
        <v>46283</v>
      </c>
      <c r="B3608" s="46" t="inlineStr">
        <is>
          <t>사용전검사</t>
        </is>
      </c>
      <c r="C3608" s="46" t="inlineStr">
        <is>
          <t>김포지역</t>
        </is>
      </c>
      <c r="D3608" s="46" t="inlineStr">
        <is>
          <t>일진산업</t>
        </is>
      </c>
      <c r="E3608" s="46" t="n">
        <v>89</v>
      </c>
      <c r="F3608" s="46" t="inlineStr">
        <is>
          <t>고정리</t>
        </is>
      </c>
      <c r="G3608" s="50" t="n"/>
      <c r="H3608" s="51" t="n"/>
      <c r="I3608" s="46" t="inlineStr">
        <is>
          <t>정신배</t>
        </is>
      </c>
      <c r="K3608" s="46" t="n">
        <v>3607</v>
      </c>
      <c r="L3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9">
      <c r="A3609" s="229" t="n">
        <v>46283</v>
      </c>
      <c r="B3609" s="46" t="inlineStr">
        <is>
          <t>사용전검사</t>
        </is>
      </c>
      <c r="C3609" s="46" t="inlineStr">
        <is>
          <t>김포지역</t>
        </is>
      </c>
      <c r="D3609" s="46" t="inlineStr">
        <is>
          <t>청도산업</t>
        </is>
      </c>
      <c r="E3609" s="46" t="n">
        <v>203</v>
      </c>
      <c r="F3609" s="46" t="inlineStr">
        <is>
          <t>학운리</t>
        </is>
      </c>
      <c r="G3609" s="50" t="n"/>
      <c r="H3609" s="51" t="n"/>
      <c r="I3609" s="46" t="inlineStr">
        <is>
          <t>허창수</t>
        </is>
      </c>
      <c r="K3609" s="46" t="n">
        <v>3608</v>
      </c>
      <c r="L3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0">
      <c r="A3610" s="229" t="n">
        <v>46283</v>
      </c>
      <c r="B3610" s="46" t="inlineStr">
        <is>
          <t>사용전검사</t>
        </is>
      </c>
      <c r="C3610" s="46" t="inlineStr">
        <is>
          <t>김포지역</t>
        </is>
      </c>
      <c r="D3610" s="46" t="inlineStr">
        <is>
          <t>나노코앤씨</t>
        </is>
      </c>
      <c r="E3610" s="46" t="n">
        <v>144</v>
      </c>
      <c r="F3610" s="46" t="inlineStr">
        <is>
          <t>학운리</t>
        </is>
      </c>
      <c r="G3610" s="50" t="n"/>
      <c r="H3610" s="51" t="n"/>
      <c r="I3610" s="46" t="inlineStr">
        <is>
          <t>허창수</t>
        </is>
      </c>
      <c r="K3610" s="46" t="n">
        <v>3609</v>
      </c>
      <c r="L3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1">
      <c r="A3611" s="229" t="n">
        <v>46283</v>
      </c>
      <c r="B3611" s="46" t="inlineStr">
        <is>
          <t>사용전검사</t>
        </is>
      </c>
      <c r="C3611" s="46" t="inlineStr">
        <is>
          <t>김포지역</t>
        </is>
      </c>
      <c r="D3611" s="46" t="inlineStr">
        <is>
          <t>신원태양광</t>
        </is>
      </c>
      <c r="E3611" s="46" t="n">
        <v>176</v>
      </c>
      <c r="F3611" s="46" t="inlineStr">
        <is>
          <t>옹정리</t>
        </is>
      </c>
      <c r="G3611" s="50" t="n"/>
      <c r="H3611" s="51" t="n"/>
      <c r="I3611" s="46" t="inlineStr">
        <is>
          <t>정성관</t>
        </is>
      </c>
      <c r="K3611" s="46" t="n">
        <v>3610</v>
      </c>
      <c r="L3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2">
      <c r="A3612" s="229" t="n">
        <v>46283</v>
      </c>
      <c r="B3612" s="46" t="inlineStr">
        <is>
          <t>사용전검사</t>
        </is>
      </c>
      <c r="C3612" s="46" t="inlineStr">
        <is>
          <t>김포지역</t>
        </is>
      </c>
      <c r="D3612" s="46" t="inlineStr">
        <is>
          <t>다미태양광</t>
        </is>
      </c>
      <c r="E3612" s="46" t="n">
        <v>42</v>
      </c>
      <c r="F3612" s="46" t="inlineStr">
        <is>
          <t>마송리</t>
        </is>
      </c>
      <c r="G3612" s="50" t="n"/>
      <c r="H3612" s="51" t="n"/>
      <c r="I3612" s="46" t="inlineStr">
        <is>
          <t>민재홍</t>
        </is>
      </c>
      <c r="K3612" s="46" t="n">
        <v>3611</v>
      </c>
      <c r="L3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3">
      <c r="A3613" s="229" t="n">
        <v>46283</v>
      </c>
      <c r="B3613" s="46" t="inlineStr">
        <is>
          <t>사용전검사</t>
        </is>
      </c>
      <c r="C3613" s="46" t="inlineStr">
        <is>
          <t>김포지역</t>
        </is>
      </c>
      <c r="D3613" s="46" t="inlineStr">
        <is>
          <t>서원태양광</t>
        </is>
      </c>
      <c r="E3613" s="46" t="n">
        <v>164</v>
      </c>
      <c r="F3613" s="46" t="inlineStr">
        <is>
          <t>대포리</t>
        </is>
      </c>
      <c r="G3613" s="50" t="n"/>
      <c r="H3613" s="51" t="n"/>
      <c r="I3613" s="46" t="inlineStr">
        <is>
          <t>이종석</t>
        </is>
      </c>
      <c r="K3613" s="46" t="n">
        <v>3612</v>
      </c>
      <c r="L3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4">
      <c r="A3614" s="229" t="n">
        <v>46283</v>
      </c>
      <c r="B3614" s="46" t="inlineStr">
        <is>
          <t>사용전검사</t>
        </is>
      </c>
      <c r="C3614" s="46" t="inlineStr">
        <is>
          <t>김포지역</t>
        </is>
      </c>
      <c r="D3614" s="46" t="inlineStr">
        <is>
          <t>인스팩</t>
        </is>
      </c>
      <c r="E3614" s="46" t="n">
        <v>89</v>
      </c>
      <c r="F3614" s="46" t="inlineStr">
        <is>
          <t>귀전리</t>
        </is>
      </c>
      <c r="G3614" s="50" t="n"/>
      <c r="H3614" s="51" t="n"/>
      <c r="I3614" s="46" t="inlineStr">
        <is>
          <t>정성관</t>
        </is>
      </c>
      <c r="K3614" s="46" t="n">
        <v>3613</v>
      </c>
      <c r="L3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5">
      <c r="A3615" s="229" t="n">
        <v>46283</v>
      </c>
      <c r="B3615" s="46" t="inlineStr">
        <is>
          <t>사용전검사</t>
        </is>
      </c>
      <c r="C3615" s="46" t="inlineStr">
        <is>
          <t>김포지역</t>
        </is>
      </c>
      <c r="D3615" s="46" t="inlineStr">
        <is>
          <t>옥슨</t>
        </is>
      </c>
      <c r="E3615" s="46" t="n">
        <v>70</v>
      </c>
      <c r="F3615" s="46" t="inlineStr">
        <is>
          <t>조강리</t>
        </is>
      </c>
      <c r="G3615" s="50" t="n"/>
      <c r="H3615" s="51" t="n"/>
      <c r="I3615" s="46" t="inlineStr">
        <is>
          <t>당효진</t>
        </is>
      </c>
      <c r="K3615" s="46" t="n">
        <v>3614</v>
      </c>
      <c r="L3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6">
      <c r="A3616" s="229" t="n">
        <v>46284</v>
      </c>
      <c r="B3616" s="46" t="inlineStr">
        <is>
          <t>정기검사</t>
        </is>
      </c>
      <c r="C3616" s="46" t="inlineStr">
        <is>
          <t>부천지역</t>
        </is>
      </c>
      <c r="D3616" s="46" t="inlineStr">
        <is>
          <t>리첸시아</t>
        </is>
      </c>
      <c r="E3616" s="46" t="inlineStr">
        <is>
          <t>1850/454</t>
        </is>
      </c>
      <c r="F3616" s="46" t="inlineStr">
        <is>
          <t>중동</t>
        </is>
      </c>
      <c r="G3616" s="50" t="n">
        <v>0.25</v>
      </c>
      <c r="H3616" s="51" t="n">
        <v>1698180</v>
      </c>
      <c r="I3616" s="46" t="inlineStr">
        <is>
          <t>허록종</t>
        </is>
      </c>
      <c r="K3616" s="46" t="n">
        <v>3615</v>
      </c>
      <c r="L3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7">
      <c r="A3617" s="229" t="n">
        <v>46284</v>
      </c>
      <c r="B3617" s="46" t="inlineStr">
        <is>
          <t>정기검사</t>
        </is>
      </c>
      <c r="C3617" s="46" t="inlineStr">
        <is>
          <t>부천지역</t>
        </is>
      </c>
      <c r="D3617" s="46" t="inlineStr">
        <is>
          <t>모건시티</t>
        </is>
      </c>
      <c r="E3617" s="46" t="inlineStr">
        <is>
          <t>2050/364</t>
        </is>
      </c>
      <c r="F3617" s="46" t="inlineStr">
        <is>
          <t>상동</t>
        </is>
      </c>
      <c r="G3617" s="50" t="n">
        <v>0.25</v>
      </c>
      <c r="H3617" s="51" t="n">
        <v>1674420</v>
      </c>
      <c r="I3617" s="46" t="inlineStr">
        <is>
          <t>정신배</t>
        </is>
      </c>
      <c r="K3617" s="46" t="n">
        <v>3616</v>
      </c>
      <c r="L3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8">
      <c r="A3618" s="229" t="n">
        <v>46284</v>
      </c>
      <c r="B3618" s="46" t="inlineStr">
        <is>
          <t>정기검사</t>
        </is>
      </c>
      <c r="C3618" s="46" t="inlineStr">
        <is>
          <t>김포지역</t>
        </is>
      </c>
      <c r="D3618" s="46" t="inlineStr">
        <is>
          <t>운양동행정</t>
        </is>
      </c>
      <c r="E3618" s="46" t="n">
        <v>200</v>
      </c>
      <c r="F3618" s="46" t="inlineStr">
        <is>
          <t>운양동</t>
        </is>
      </c>
      <c r="G3618" s="50" t="n">
        <v>0.375</v>
      </c>
      <c r="H3618" s="51" t="n">
        <v>593670</v>
      </c>
      <c r="I3618" s="46" t="inlineStr">
        <is>
          <t>민재홍</t>
        </is>
      </c>
      <c r="K3618" s="46" t="n">
        <v>3617</v>
      </c>
      <c r="L3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9">
      <c r="A3619" s="229" t="n">
        <v>46284</v>
      </c>
      <c r="B3619" s="46" t="inlineStr">
        <is>
          <t>정기검사</t>
        </is>
      </c>
      <c r="C3619" s="46" t="inlineStr">
        <is>
          <t>김포지역</t>
        </is>
      </c>
      <c r="D3619" s="46" t="inlineStr">
        <is>
          <t>김포노인종합복지관</t>
        </is>
      </c>
      <c r="E3619" s="46" t="inlineStr">
        <is>
          <t>500/113</t>
        </is>
      </c>
      <c r="F3619" s="46" t="inlineStr">
        <is>
          <t>사우동</t>
        </is>
      </c>
      <c r="G3619" s="50" t="n">
        <v>0.375</v>
      </c>
      <c r="H3619" s="51" t="n">
        <v>1179090</v>
      </c>
      <c r="I3619" s="46" t="inlineStr">
        <is>
          <t>서수형</t>
        </is>
      </c>
      <c r="K3619" s="46" t="n">
        <v>3618</v>
      </c>
      <c r="L3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0">
      <c r="A3620" s="229" t="n">
        <v>46284</v>
      </c>
      <c r="B3620" s="46" t="inlineStr">
        <is>
          <t>사용전검사</t>
        </is>
      </c>
      <c r="C3620" s="46" t="inlineStr">
        <is>
          <t>부천지역</t>
        </is>
      </c>
      <c r="D3620" s="46" t="inlineStr">
        <is>
          <t>미성이앤씨</t>
        </is>
      </c>
      <c r="E3620" s="46" t="inlineStr">
        <is>
          <t>변변</t>
        </is>
      </c>
      <c r="F3620" s="46" t="inlineStr">
        <is>
          <t>내동</t>
        </is>
      </c>
      <c r="G3620" s="50" t="n"/>
      <c r="H3620" s="51" t="n"/>
      <c r="I3620" s="46" t="inlineStr">
        <is>
          <t>당효진</t>
        </is>
      </c>
      <c r="K3620" s="46" t="n">
        <v>3619</v>
      </c>
      <c r="L3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1">
      <c r="A3621" s="229" t="n">
        <v>46284</v>
      </c>
      <c r="B3621" s="46" t="inlineStr">
        <is>
          <t>사용전검사</t>
        </is>
      </c>
      <c r="C3621" s="46" t="inlineStr">
        <is>
          <t>부천지역</t>
        </is>
      </c>
      <c r="D3621" s="46" t="inlineStr">
        <is>
          <t>어린이교통나라</t>
        </is>
      </c>
      <c r="E3621" s="46" t="n">
        <v>200</v>
      </c>
      <c r="F3621" s="46" t="inlineStr">
        <is>
          <t>원미동</t>
        </is>
      </c>
      <c r="G3621" s="50" t="n"/>
      <c r="H3621" s="51" t="n"/>
      <c r="I3621" s="46" t="inlineStr">
        <is>
          <t>정신배</t>
        </is>
      </c>
      <c r="K3621" s="46" t="n">
        <v>3620</v>
      </c>
      <c r="L3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2">
      <c r="A3622" s="229" t="n">
        <v>46284</v>
      </c>
      <c r="B3622" s="46" t="inlineStr">
        <is>
          <t>메모</t>
        </is>
      </c>
      <c r="C3622" s="46" t="inlineStr">
        <is>
          <t>부천지역</t>
        </is>
      </c>
      <c r="D3622" s="46" t="inlineStr">
        <is>
          <t>온승완휴가</t>
        </is>
      </c>
      <c r="E3622" s="46" t="n"/>
      <c r="F3622" s="46" t="n"/>
      <c r="G3622" s="50" t="n"/>
      <c r="H3622" s="51" t="n"/>
      <c r="I3622" s="46" t="n"/>
      <c r="K3622" s="46" t="n">
        <v>3621</v>
      </c>
      <c r="L3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3">
      <c r="A3623" s="229" t="n">
        <v>46284</v>
      </c>
      <c r="B3623" s="46" t="inlineStr">
        <is>
          <t>메모</t>
        </is>
      </c>
      <c r="C3623" s="46" t="inlineStr">
        <is>
          <t>부천지역</t>
        </is>
      </c>
      <c r="D3623" s="46" t="inlineStr">
        <is>
          <t>변종국휴가</t>
        </is>
      </c>
      <c r="E3623" s="46" t="n"/>
      <c r="F3623" s="46" t="n"/>
      <c r="G3623" s="50" t="n"/>
      <c r="H3623" s="51" t="n"/>
      <c r="I3623" s="46" t="n"/>
      <c r="K3623" s="46" t="n">
        <v>3622</v>
      </c>
      <c r="L3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4">
      <c r="A3624" s="229" t="n">
        <v>46285</v>
      </c>
      <c r="B3624" s="46" t="inlineStr">
        <is>
          <t>정기검사</t>
        </is>
      </c>
      <c r="C3624" s="46" t="inlineStr">
        <is>
          <t>부천지역</t>
        </is>
      </c>
      <c r="D3624" s="46" t="inlineStr">
        <is>
          <t>청송</t>
        </is>
      </c>
      <c r="E3624" s="46" t="inlineStr">
        <is>
          <t>900/236</t>
        </is>
      </c>
      <c r="F3624" s="46" t="inlineStr">
        <is>
          <t>중동</t>
        </is>
      </c>
      <c r="G3624" s="50" t="n">
        <v>0.25</v>
      </c>
      <c r="H3624" s="51" t="n">
        <v>1402610</v>
      </c>
      <c r="I3624" s="46" t="inlineStr">
        <is>
          <t>허창수</t>
        </is>
      </c>
      <c r="K3624" s="46" t="n">
        <v>3623</v>
      </c>
      <c r="L3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5">
      <c r="A3625" s="229" t="n">
        <v>46285</v>
      </c>
      <c r="B3625" s="46" t="inlineStr">
        <is>
          <t>정기검사</t>
        </is>
      </c>
      <c r="C3625" s="46" t="inlineStr">
        <is>
          <t>김포지역</t>
        </is>
      </c>
      <c r="D3625" s="46" t="inlineStr">
        <is>
          <t>익스팬텔</t>
        </is>
      </c>
      <c r="E3625" s="46" t="n">
        <v>200</v>
      </c>
      <c r="F3625" s="46" t="inlineStr">
        <is>
          <t>대벽리</t>
        </is>
      </c>
      <c r="G3625" s="50" t="n">
        <v>0.4166666666666667</v>
      </c>
      <c r="H3625" s="51" t="n">
        <v>593670</v>
      </c>
      <c r="I3625" s="46" t="inlineStr">
        <is>
          <t>송낙명</t>
        </is>
      </c>
      <c r="K3625" s="46" t="n">
        <v>3624</v>
      </c>
      <c r="L3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6">
      <c r="A3626" s="229" t="n">
        <v>46285</v>
      </c>
      <c r="B3626" s="46" t="inlineStr">
        <is>
          <t>메모</t>
        </is>
      </c>
      <c r="C3626" s="46" t="inlineStr">
        <is>
          <t>부천지역</t>
        </is>
      </c>
      <c r="D3626" s="46" t="inlineStr">
        <is>
          <t>온승완휴가</t>
        </is>
      </c>
      <c r="E3626" s="46" t="n"/>
      <c r="F3626" s="46" t="n"/>
      <c r="G3626" s="50" t="n"/>
      <c r="H3626" s="51" t="n"/>
      <c r="I3626" s="46" t="n"/>
      <c r="K3626" s="46" t="n">
        <v>3625</v>
      </c>
      <c r="L3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7">
      <c r="A3627" s="229" t="n">
        <v>46285</v>
      </c>
      <c r="B3627" s="46" t="inlineStr">
        <is>
          <t>메모</t>
        </is>
      </c>
      <c r="C3627" s="46" t="inlineStr">
        <is>
          <t>부천지역</t>
        </is>
      </c>
      <c r="D3627" s="46" t="inlineStr">
        <is>
          <t>한태희휴가</t>
        </is>
      </c>
      <c r="E3627" s="46" t="n"/>
      <c r="F3627" s="46" t="n"/>
      <c r="G3627" s="50" t="n"/>
      <c r="H3627" s="51" t="n"/>
      <c r="I3627" s="46" t="n"/>
      <c r="K3627" s="46" t="n">
        <v>3626</v>
      </c>
      <c r="L3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8">
      <c r="A3628" s="229" t="n">
        <v>46285</v>
      </c>
      <c r="B3628" s="46" t="inlineStr">
        <is>
          <t>메모</t>
        </is>
      </c>
      <c r="C3628" s="46" t="inlineStr">
        <is>
          <t>부천지역</t>
        </is>
      </c>
      <c r="D3628" s="46" t="inlineStr">
        <is>
          <t>변종국휴가</t>
        </is>
      </c>
      <c r="E3628" s="46" t="n"/>
      <c r="F3628" s="46" t="n"/>
      <c r="G3628" s="50" t="n"/>
      <c r="H3628" s="51" t="n"/>
      <c r="I3628" s="46" t="n"/>
      <c r="K3628" s="46" t="n">
        <v>3627</v>
      </c>
      <c r="L3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9">
      <c r="A3629" s="229" t="n">
        <v>46286</v>
      </c>
      <c r="B3629" s="46" t="inlineStr">
        <is>
          <t>정기검사</t>
        </is>
      </c>
      <c r="C3629" s="46" t="inlineStr">
        <is>
          <t>부천지역</t>
        </is>
      </c>
      <c r="D3629" s="46" t="inlineStr">
        <is>
          <t>중앙이클래스</t>
        </is>
      </c>
      <c r="E3629" s="46" t="inlineStr">
        <is>
          <t>전기차</t>
        </is>
      </c>
      <c r="F3629" s="46" t="inlineStr">
        <is>
          <t>역곡</t>
        </is>
      </c>
      <c r="G3629" s="50" t="n">
        <v>0.5833333333333334</v>
      </c>
      <c r="H3629" s="51" t="n">
        <v>64240</v>
      </c>
      <c r="I3629" s="46" t="inlineStr">
        <is>
          <t>정신배</t>
        </is>
      </c>
      <c r="K3629" s="46" t="n">
        <v>3628</v>
      </c>
      <c r="L3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0">
      <c r="A3630" s="229" t="n">
        <v>46286</v>
      </c>
      <c r="B3630" s="46" t="inlineStr">
        <is>
          <t>정기검사</t>
        </is>
      </c>
      <c r="C3630" s="46" t="inlineStr">
        <is>
          <t>김포지역</t>
        </is>
      </c>
      <c r="D3630" s="46" t="inlineStr">
        <is>
          <t>코스탟아이앤씨</t>
        </is>
      </c>
      <c r="E3630" s="46" t="n">
        <v>950</v>
      </c>
      <c r="F3630" s="46" t="inlineStr">
        <is>
          <t>원산리</t>
        </is>
      </c>
      <c r="G3630" s="50" t="n">
        <v>0.4166666666666667</v>
      </c>
      <c r="H3630" s="51" t="n">
        <v>889460</v>
      </c>
      <c r="I3630" s="46" t="inlineStr">
        <is>
          <t>허록종</t>
        </is>
      </c>
      <c r="K3630" s="46" t="n">
        <v>3629</v>
      </c>
      <c r="L3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1">
      <c r="A3631" s="229" t="n">
        <v>46286</v>
      </c>
      <c r="B3631" s="46" t="inlineStr">
        <is>
          <t>정기검사</t>
        </is>
      </c>
      <c r="C3631" s="46" t="inlineStr">
        <is>
          <t>김포지역</t>
        </is>
      </c>
      <c r="D3631" s="46" t="inlineStr">
        <is>
          <t>김포한누리병원</t>
        </is>
      </c>
      <c r="E3631" s="46" t="n">
        <v>600</v>
      </c>
      <c r="F3631" s="46" t="inlineStr">
        <is>
          <t>갈산리</t>
        </is>
      </c>
      <c r="G3631" s="50" t="n">
        <v>0.5833333333333334</v>
      </c>
      <c r="H3631" s="51" t="n">
        <v>770880</v>
      </c>
      <c r="I3631" s="46" t="inlineStr">
        <is>
          <t>김영권</t>
        </is>
      </c>
      <c r="K3631" s="46" t="n">
        <v>3630</v>
      </c>
      <c r="L3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2">
      <c r="A3632" s="229" t="n">
        <v>46286</v>
      </c>
      <c r="B3632" s="46" t="inlineStr">
        <is>
          <t>정기검사</t>
        </is>
      </c>
      <c r="C3632" s="46" t="inlineStr">
        <is>
          <t>김포지역</t>
        </is>
      </c>
      <c r="D3632" s="46" t="inlineStr">
        <is>
          <t>한누리태양광</t>
        </is>
      </c>
      <c r="E3632" s="46" t="n">
        <v>30.6</v>
      </c>
      <c r="F3632" s="46" t="inlineStr">
        <is>
          <t>갈산리</t>
        </is>
      </c>
      <c r="G3632" s="50" t="n">
        <v>0.5833333333333334</v>
      </c>
      <c r="H3632" s="51" t="n">
        <v>182930</v>
      </c>
      <c r="I3632" s="46" t="inlineStr">
        <is>
          <t>김영권</t>
        </is>
      </c>
      <c r="K3632" s="46" t="n">
        <v>3631</v>
      </c>
      <c r="L3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3">
      <c r="A3633" s="229" t="n">
        <v>46286</v>
      </c>
      <c r="B3633" s="46" t="inlineStr">
        <is>
          <t>정기검사</t>
        </is>
      </c>
      <c r="C3633" s="46" t="inlineStr">
        <is>
          <t>김포지역</t>
        </is>
      </c>
      <c r="D3633" s="46" t="inlineStr">
        <is>
          <t>동일스위트</t>
        </is>
      </c>
      <c r="E3633" s="46" t="inlineStr">
        <is>
          <t>4500/909</t>
        </is>
      </c>
      <c r="F3633" s="46" t="inlineStr">
        <is>
          <t>마산동</t>
        </is>
      </c>
      <c r="G3633" s="50" t="n">
        <v>0.4166666666666667</v>
      </c>
      <c r="H3633" s="51" t="n">
        <v>1762090</v>
      </c>
      <c r="I3633" s="46" t="inlineStr">
        <is>
          <t>이종석</t>
        </is>
      </c>
      <c r="K3633" s="46" t="n">
        <v>3632</v>
      </c>
      <c r="L3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4">
      <c r="A3634" s="229" t="n">
        <v>46286</v>
      </c>
      <c r="B3634" s="46" t="inlineStr">
        <is>
          <t>정기검사</t>
        </is>
      </c>
      <c r="C3634" s="46" t="inlineStr">
        <is>
          <t>김포지역</t>
        </is>
      </c>
      <c r="D3634" s="46" t="inlineStr">
        <is>
          <t>덕이상사</t>
        </is>
      </c>
      <c r="E3634" s="46" t="n">
        <v>29</v>
      </c>
      <c r="F3634" s="46" t="inlineStr">
        <is>
          <t>옹정리</t>
        </is>
      </c>
      <c r="G3634" s="50" t="n">
        <v>0.3958333333333333</v>
      </c>
      <c r="H3634" s="51" t="n">
        <v>182050</v>
      </c>
      <c r="I3634" s="46" t="inlineStr">
        <is>
          <t>허록종</t>
        </is>
      </c>
      <c r="K3634" s="46" t="n">
        <v>3633</v>
      </c>
      <c r="L3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5">
      <c r="A3635" s="229" t="n">
        <v>46286</v>
      </c>
      <c r="B3635" s="46" t="inlineStr">
        <is>
          <t>정기검사</t>
        </is>
      </c>
      <c r="C3635" s="46" t="inlineStr">
        <is>
          <t>김포지역</t>
        </is>
      </c>
      <c r="D3635" s="46" t="inlineStr">
        <is>
          <t>대두산업</t>
        </is>
      </c>
      <c r="E3635" s="46" t="n">
        <v>500</v>
      </c>
      <c r="F3635" s="46" t="inlineStr">
        <is>
          <t>유현리</t>
        </is>
      </c>
      <c r="G3635" s="50" t="n">
        <v>0.4583333333333333</v>
      </c>
      <c r="H3635" s="51" t="n">
        <v>737000</v>
      </c>
      <c r="I3635" s="46" t="inlineStr">
        <is>
          <t>서수형</t>
        </is>
      </c>
      <c r="K3635" s="46" t="n">
        <v>3634</v>
      </c>
      <c r="L3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6">
      <c r="A3636" s="229" t="n">
        <v>46286</v>
      </c>
      <c r="B3636" s="46" t="inlineStr">
        <is>
          <t>정기검사</t>
        </is>
      </c>
      <c r="C3636" s="46" t="inlineStr">
        <is>
          <t>김포지역</t>
        </is>
      </c>
      <c r="D3636" s="46" t="inlineStr">
        <is>
          <t>태영태양광</t>
        </is>
      </c>
      <c r="E3636" s="46" t="n">
        <v>149</v>
      </c>
      <c r="F3636" s="46" t="inlineStr">
        <is>
          <t>송마리</t>
        </is>
      </c>
      <c r="G3636" s="50" t="n">
        <v>0.4583333333333333</v>
      </c>
      <c r="H3636" s="51" t="n">
        <v>307670</v>
      </c>
      <c r="I3636" s="46" t="inlineStr">
        <is>
          <t>허창수</t>
        </is>
      </c>
      <c r="K3636" s="46" t="n">
        <v>3635</v>
      </c>
      <c r="L3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7">
      <c r="A3637" s="229" t="n">
        <v>46286</v>
      </c>
      <c r="B3637" s="46" t="inlineStr">
        <is>
          <t>정기검사</t>
        </is>
      </c>
      <c r="C3637" s="46" t="inlineStr">
        <is>
          <t>김포지역</t>
        </is>
      </c>
      <c r="D3637" s="46" t="inlineStr">
        <is>
          <t>고촌정수장</t>
        </is>
      </c>
      <c r="E3637" s="46" t="n">
        <v>16607</v>
      </c>
      <c r="F3637" s="46" t="inlineStr">
        <is>
          <t>신곡리</t>
        </is>
      </c>
      <c r="G3637" s="50" t="n">
        <v>0.6875</v>
      </c>
      <c r="H3637" s="51" t="n">
        <v>2204070</v>
      </c>
      <c r="I3637" s="46" t="inlineStr">
        <is>
          <t>송낙명</t>
        </is>
      </c>
      <c r="K3637" s="46" t="n">
        <v>3636</v>
      </c>
      <c r="L3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8">
      <c r="A3638" s="229" t="n">
        <v>46286</v>
      </c>
      <c r="B3638" s="46" t="inlineStr">
        <is>
          <t>사용전검사</t>
        </is>
      </c>
      <c r="C3638" s="46" t="inlineStr">
        <is>
          <t>부천지역</t>
        </is>
      </c>
      <c r="D3638" s="46" t="inlineStr">
        <is>
          <t>스마트팡팡</t>
        </is>
      </c>
      <c r="E3638" s="46" t="n">
        <v>15</v>
      </c>
      <c r="F3638" s="46" t="inlineStr">
        <is>
          <t>상동</t>
        </is>
      </c>
      <c r="G3638" s="50" t="n"/>
      <c r="H3638" s="51" t="n"/>
      <c r="I3638" s="46" t="inlineStr">
        <is>
          <t>정성관</t>
        </is>
      </c>
      <c r="K3638" s="46" t="n">
        <v>3637</v>
      </c>
      <c r="L3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9">
      <c r="A3639" s="229" t="n">
        <v>46286</v>
      </c>
      <c r="B3639" s="46" t="inlineStr">
        <is>
          <t>사용전검사</t>
        </is>
      </c>
      <c r="C3639" s="46" t="inlineStr">
        <is>
          <t>부천지역</t>
        </is>
      </c>
      <c r="D3639" s="46" t="inlineStr">
        <is>
          <t>은성산업</t>
        </is>
      </c>
      <c r="E3639" s="46" t="inlineStr">
        <is>
          <t>변변</t>
        </is>
      </c>
      <c r="F3639" s="46" t="inlineStr">
        <is>
          <t>도당동</t>
        </is>
      </c>
      <c r="G3639" s="50" t="n"/>
      <c r="H3639" s="51" t="n"/>
      <c r="I3639" s="46" t="inlineStr">
        <is>
          <t>정성관</t>
        </is>
      </c>
      <c r="K3639" s="46" t="n">
        <v>3638</v>
      </c>
      <c r="L3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0">
      <c r="A3640" s="229" t="n">
        <v>46286</v>
      </c>
      <c r="B3640" s="46" t="inlineStr">
        <is>
          <t>메모</t>
        </is>
      </c>
      <c r="C3640" s="46" t="inlineStr">
        <is>
          <t>부천지역</t>
        </is>
      </c>
      <c r="D3640" s="46" t="inlineStr">
        <is>
          <t>옹승완 휴가</t>
        </is>
      </c>
      <c r="E3640" s="46" t="n"/>
      <c r="F3640" s="46" t="n"/>
      <c r="G3640" s="50" t="n"/>
      <c r="H3640" s="51" t="n"/>
      <c r="I3640" s="46" t="n"/>
      <c r="K3640" s="46" t="n">
        <v>3639</v>
      </c>
      <c r="L3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1">
      <c r="A3641" s="229" t="n">
        <v>46286</v>
      </c>
      <c r="B3641" s="46" t="inlineStr">
        <is>
          <t>사용전검사</t>
        </is>
      </c>
      <c r="C3641" s="46" t="inlineStr">
        <is>
          <t>김포지역</t>
        </is>
      </c>
      <c r="D3641" s="46" t="inlineStr">
        <is>
          <t>마송현대</t>
        </is>
      </c>
      <c r="E3641" s="46" t="n">
        <v>850</v>
      </c>
      <c r="F3641" s="46" t="inlineStr">
        <is>
          <t>마송리</t>
        </is>
      </c>
      <c r="G3641" s="50" t="n">
        <v>0.75</v>
      </c>
      <c r="H3641" s="51" t="n"/>
      <c r="I3641" s="46" t="inlineStr">
        <is>
          <t>한태희</t>
        </is>
      </c>
      <c r="K3641" s="46" t="n">
        <v>3640</v>
      </c>
      <c r="L3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2">
      <c r="A3642" s="229" t="n">
        <v>46286</v>
      </c>
      <c r="B3642" s="46" t="inlineStr">
        <is>
          <t>사용전검사</t>
        </is>
      </c>
      <c r="C3642" s="46" t="inlineStr">
        <is>
          <t>김포지역</t>
        </is>
      </c>
      <c r="D3642" s="46" t="inlineStr">
        <is>
          <t>주호지기 태양광</t>
        </is>
      </c>
      <c r="E3642" s="46" t="n">
        <v>170</v>
      </c>
      <c r="F3642" s="46" t="inlineStr">
        <is>
          <t>가현리</t>
        </is>
      </c>
      <c r="G3642" s="50" t="n"/>
      <c r="H3642" s="51" t="n"/>
      <c r="I3642" s="46" t="inlineStr">
        <is>
          <t>이덕기</t>
        </is>
      </c>
      <c r="K3642" s="46" t="n">
        <v>3641</v>
      </c>
      <c r="L3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3">
      <c r="A3643" s="229" t="n">
        <v>46286</v>
      </c>
      <c r="B3643" s="46" t="inlineStr">
        <is>
          <t>사용전검사</t>
        </is>
      </c>
      <c r="C3643" s="46" t="inlineStr">
        <is>
          <t>김포지역</t>
        </is>
      </c>
      <c r="D3643" s="46" t="inlineStr">
        <is>
          <t>kit</t>
        </is>
      </c>
      <c r="E3643" s="46" t="n">
        <v>46</v>
      </c>
      <c r="F3643" s="46" t="inlineStr">
        <is>
          <t>학운리</t>
        </is>
      </c>
      <c r="G3643" s="50" t="n"/>
      <c r="H3643" s="51" t="n"/>
      <c r="I3643" s="46" t="inlineStr">
        <is>
          <t>이덕기</t>
        </is>
      </c>
      <c r="K3643" s="46" t="n">
        <v>3642</v>
      </c>
      <c r="L3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4">
      <c r="A3644" s="229" t="n">
        <v>46286</v>
      </c>
      <c r="B3644" s="46" t="inlineStr">
        <is>
          <t>사용전검사</t>
        </is>
      </c>
      <c r="C3644" s="46" t="inlineStr">
        <is>
          <t>김포지역</t>
        </is>
      </c>
      <c r="D3644" s="46" t="inlineStr">
        <is>
          <t>kit</t>
        </is>
      </c>
      <c r="E3644" s="46" t="n">
        <v>47</v>
      </c>
      <c r="F3644" s="46" t="inlineStr">
        <is>
          <t>학운리</t>
        </is>
      </c>
      <c r="G3644" s="50" t="n"/>
      <c r="H3644" s="51" t="n"/>
      <c r="I3644" s="46" t="inlineStr">
        <is>
          <t>이덕기</t>
        </is>
      </c>
      <c r="K3644" s="46" t="n">
        <v>3643</v>
      </c>
      <c r="L3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5">
      <c r="A3645" s="229" t="n">
        <v>46286</v>
      </c>
      <c r="B3645" s="46" t="inlineStr">
        <is>
          <t>사용전검사</t>
        </is>
      </c>
      <c r="C3645" s="46" t="inlineStr">
        <is>
          <t>김포지역</t>
        </is>
      </c>
      <c r="D3645" s="46" t="inlineStr">
        <is>
          <t>에코옴</t>
        </is>
      </c>
      <c r="E3645" s="46" t="n">
        <v>46</v>
      </c>
      <c r="F3645" s="46" t="inlineStr">
        <is>
          <t>서암리</t>
        </is>
      </c>
      <c r="G3645" s="50" t="n"/>
      <c r="H3645" s="51" t="n"/>
      <c r="I3645" s="46" t="inlineStr">
        <is>
          <t>민재홍</t>
        </is>
      </c>
      <c r="K3645" s="46" t="n">
        <v>3644</v>
      </c>
      <c r="L3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6">
      <c r="A3646" s="229" t="n">
        <v>46286</v>
      </c>
      <c r="B3646" s="46" t="inlineStr">
        <is>
          <t>사용전검사</t>
        </is>
      </c>
      <c r="C3646" s="46" t="inlineStr">
        <is>
          <t>김포지역</t>
        </is>
      </c>
      <c r="D3646" s="46" t="inlineStr">
        <is>
          <t>양택리발전</t>
        </is>
      </c>
      <c r="E3646" s="46" t="n">
        <v>66</v>
      </c>
      <c r="F3646" s="46" t="inlineStr">
        <is>
          <t>양택리</t>
        </is>
      </c>
      <c r="G3646" s="50" t="n"/>
      <c r="H3646" s="51" t="n"/>
      <c r="I3646" s="46" t="inlineStr">
        <is>
          <t>당효진</t>
        </is>
      </c>
      <c r="K3646" s="46" t="n">
        <v>3645</v>
      </c>
      <c r="L3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7">
      <c r="A3647" s="229" t="n">
        <v>46286</v>
      </c>
      <c r="B3647" s="46" t="inlineStr">
        <is>
          <t>사용전검사</t>
        </is>
      </c>
      <c r="C3647" s="46" t="inlineStr">
        <is>
          <t>김포지역</t>
        </is>
      </c>
      <c r="D3647" s="46" t="inlineStr">
        <is>
          <t>제일산업</t>
        </is>
      </c>
      <c r="E3647" s="46" t="n">
        <v>190</v>
      </c>
      <c r="F3647" s="46" t="inlineStr">
        <is>
          <t>개곡리</t>
        </is>
      </c>
      <c r="G3647" s="50" t="n"/>
      <c r="H3647" s="51" t="n"/>
      <c r="I3647" s="46" t="inlineStr">
        <is>
          <t>당효진</t>
        </is>
      </c>
      <c r="K3647" s="46" t="n">
        <v>3646</v>
      </c>
      <c r="L3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8">
      <c r="A3648" s="229" t="n">
        <v>46287</v>
      </c>
      <c r="B3648" s="46" t="inlineStr">
        <is>
          <t>정기검사</t>
        </is>
      </c>
      <c r="C3648" s="46" t="inlineStr">
        <is>
          <t>부천지역</t>
        </is>
      </c>
      <c r="D3648" s="46" t="inlineStr">
        <is>
          <t>에스제이프라자</t>
        </is>
      </c>
      <c r="E3648" s="46" t="n">
        <v>790</v>
      </c>
      <c r="F3648" s="46" t="inlineStr">
        <is>
          <t>상동</t>
        </is>
      </c>
      <c r="G3648" s="50" t="n">
        <v>0.3958333333333333</v>
      </c>
      <c r="H3648" s="51" t="n">
        <v>835230</v>
      </c>
      <c r="I3648" s="46" t="n"/>
      <c r="K3648" s="46" t="n">
        <v>3647</v>
      </c>
      <c r="L3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9">
      <c r="A3649" s="229" t="n">
        <v>46287</v>
      </c>
      <c r="B3649" s="46" t="inlineStr">
        <is>
          <t>정기검사</t>
        </is>
      </c>
      <c r="C3649" s="46" t="inlineStr">
        <is>
          <t>김포지역</t>
        </is>
      </c>
      <c r="D3649" s="46" t="inlineStr">
        <is>
          <t>제2해병사단</t>
        </is>
      </c>
      <c r="E3649" s="46" t="n">
        <v>150</v>
      </c>
      <c r="F3649" s="46" t="inlineStr">
        <is>
          <t>조강리</t>
        </is>
      </c>
      <c r="G3649" s="50" t="n">
        <v>0.4583333333333333</v>
      </c>
      <c r="H3649" s="51" t="n">
        <v>424160</v>
      </c>
      <c r="I3649" s="46" t="inlineStr">
        <is>
          <t>옹승완</t>
        </is>
      </c>
      <c r="K3649" s="46" t="n">
        <v>3648</v>
      </c>
      <c r="L3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0">
      <c r="A3650" s="229" t="n">
        <v>46287</v>
      </c>
      <c r="B3650" s="46" t="inlineStr">
        <is>
          <t>정기검사</t>
        </is>
      </c>
      <c r="C3650" s="46" t="inlineStr">
        <is>
          <t>김포지역</t>
        </is>
      </c>
      <c r="D3650" s="46" t="inlineStr">
        <is>
          <t>제3해병사단</t>
        </is>
      </c>
      <c r="E3650" s="46" t="n">
        <v>750</v>
      </c>
      <c r="F3650" s="46" t="inlineStr">
        <is>
          <t>서암리</t>
        </is>
      </c>
      <c r="G3650" s="50" t="n">
        <v>0.4166666666666667</v>
      </c>
      <c r="H3650" s="51" t="n">
        <v>821700</v>
      </c>
      <c r="I3650" s="46" t="inlineStr">
        <is>
          <t>이덕기</t>
        </is>
      </c>
      <c r="K3650" s="46" t="n">
        <v>3649</v>
      </c>
      <c r="L3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1">
      <c r="A3651" s="229" t="n">
        <v>46287</v>
      </c>
      <c r="B3651" s="46" t="inlineStr">
        <is>
          <t>정기검사</t>
        </is>
      </c>
      <c r="C3651" s="46" t="inlineStr">
        <is>
          <t>김포지역</t>
        </is>
      </c>
      <c r="D3651" s="46" t="inlineStr">
        <is>
          <t>제3해병사단</t>
        </is>
      </c>
      <c r="E3651" s="46" t="n">
        <v>900</v>
      </c>
      <c r="F3651" s="46" t="inlineStr">
        <is>
          <t>군하리</t>
        </is>
      </c>
      <c r="G3651" s="50" t="n">
        <v>0.4166666666666667</v>
      </c>
      <c r="H3651" s="51" t="n">
        <v>928070</v>
      </c>
      <c r="I3651" s="46" t="inlineStr">
        <is>
          <t>옹승완</t>
        </is>
      </c>
      <c r="K3651" s="46" t="n">
        <v>3650</v>
      </c>
      <c r="L3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2">
      <c r="A3652" s="229" t="n">
        <v>46287</v>
      </c>
      <c r="B3652" s="46" t="inlineStr">
        <is>
          <t>정기검사</t>
        </is>
      </c>
      <c r="C3652" s="46" t="inlineStr">
        <is>
          <t>김포지역</t>
        </is>
      </c>
      <c r="D3652" s="46" t="inlineStr">
        <is>
          <t>명지문화</t>
        </is>
      </c>
      <c r="E3652" s="46" t="n">
        <v>2700</v>
      </c>
      <c r="F3652" s="46" t="inlineStr">
        <is>
          <t>학운리</t>
        </is>
      </c>
      <c r="G3652" s="50" t="n">
        <v>0.7708333333333334</v>
      </c>
      <c r="H3652" s="51" t="n">
        <v>1501610</v>
      </c>
      <c r="I3652" s="46" t="inlineStr">
        <is>
          <t>정성관</t>
        </is>
      </c>
      <c r="K3652" s="46" t="n">
        <v>3651</v>
      </c>
      <c r="L3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3">
      <c r="A3653" s="229" t="n">
        <v>46287</v>
      </c>
      <c r="B3653" s="46" t="inlineStr">
        <is>
          <t>정기검사</t>
        </is>
      </c>
      <c r="C3653" s="46" t="inlineStr">
        <is>
          <t>김포지역</t>
        </is>
      </c>
      <c r="D3653" s="46" t="inlineStr">
        <is>
          <t>모아엘가아파트</t>
        </is>
      </c>
      <c r="E3653" s="46" t="inlineStr">
        <is>
          <t>전기차</t>
        </is>
      </c>
      <c r="F3653" s="46" t="inlineStr">
        <is>
          <t>구래동</t>
        </is>
      </c>
      <c r="G3653" s="50" t="n">
        <v>0.4166666666666667</v>
      </c>
      <c r="H3653" s="51" t="n">
        <v>123530</v>
      </c>
      <c r="I3653" s="46" t="inlineStr">
        <is>
          <t>허창수</t>
        </is>
      </c>
      <c r="K3653" s="46" t="n">
        <v>3652</v>
      </c>
      <c r="L3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4">
      <c r="A3654" s="229" t="n">
        <v>46287</v>
      </c>
      <c r="B3654" s="46" t="inlineStr">
        <is>
          <t>정기검사</t>
        </is>
      </c>
      <c r="C3654" s="46" t="inlineStr">
        <is>
          <t>김포지역</t>
        </is>
      </c>
      <c r="D3654" s="46" t="inlineStr">
        <is>
          <t>모아엘가아파트</t>
        </is>
      </c>
      <c r="E3654" s="46" t="inlineStr">
        <is>
          <t>1957/600</t>
        </is>
      </c>
      <c r="F3654" s="46" t="inlineStr">
        <is>
          <t>구래동</t>
        </is>
      </c>
      <c r="G3654" s="50" t="n">
        <v>0.4166666666666667</v>
      </c>
      <c r="H3654" s="51" t="n">
        <v>1578500</v>
      </c>
      <c r="I3654" s="46" t="inlineStr">
        <is>
          <t>허창수</t>
        </is>
      </c>
      <c r="K3654" s="46" t="n">
        <v>3653</v>
      </c>
      <c r="L3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5">
      <c r="A3655" s="229" t="n">
        <v>46287</v>
      </c>
      <c r="B3655" s="46" t="inlineStr">
        <is>
          <t>정기검사</t>
        </is>
      </c>
      <c r="C3655" s="46" t="inlineStr">
        <is>
          <t>김포지역</t>
        </is>
      </c>
      <c r="D3655" s="46" t="inlineStr">
        <is>
          <t>삼인코리아</t>
        </is>
      </c>
      <c r="E3655" s="46" t="n">
        <v>490</v>
      </c>
      <c r="F3655" s="46" t="inlineStr">
        <is>
          <t>흥신리</t>
        </is>
      </c>
      <c r="G3655" s="50" t="n">
        <v>0.5833333333333334</v>
      </c>
      <c r="H3655" s="51" t="n">
        <v>733590</v>
      </c>
      <c r="I3655" s="46" t="inlineStr">
        <is>
          <t>이종석</t>
        </is>
      </c>
      <c r="K3655" s="46" t="n">
        <v>3654</v>
      </c>
      <c r="L3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6">
      <c r="A3656" s="229" t="n">
        <v>46287</v>
      </c>
      <c r="B3656" s="46" t="inlineStr">
        <is>
          <t>정기검사</t>
        </is>
      </c>
      <c r="C3656" s="46" t="inlineStr">
        <is>
          <t>김포지역</t>
        </is>
      </c>
      <c r="D3656" s="46" t="inlineStr">
        <is>
          <t>신원인팩</t>
        </is>
      </c>
      <c r="E3656" s="46" t="n">
        <v>900</v>
      </c>
      <c r="F3656" s="46" t="inlineStr">
        <is>
          <t>학운리</t>
        </is>
      </c>
      <c r="G3656" s="50" t="n">
        <v>0.5</v>
      </c>
      <c r="H3656" s="51" t="n">
        <v>872520</v>
      </c>
      <c r="I3656" s="46" t="inlineStr">
        <is>
          <t>서수형</t>
        </is>
      </c>
      <c r="K3656" s="46" t="n">
        <v>3655</v>
      </c>
      <c r="L3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7">
      <c r="A3657" s="229" t="n">
        <v>46287</v>
      </c>
      <c r="B3657" s="46" t="inlineStr">
        <is>
          <t>정기검사</t>
        </is>
      </c>
      <c r="C3657" s="46" t="inlineStr">
        <is>
          <t>김포지역</t>
        </is>
      </c>
      <c r="D3657" s="46" t="inlineStr">
        <is>
          <t>웅신미케란아침</t>
        </is>
      </c>
      <c r="E3657" s="46" t="inlineStr">
        <is>
          <t>전기차</t>
        </is>
      </c>
      <c r="F3657" s="46" t="inlineStr">
        <is>
          <t>풍무동</t>
        </is>
      </c>
      <c r="G3657" s="50" t="n">
        <v>0.3958333333333333</v>
      </c>
      <c r="H3657" s="51" t="n">
        <v>89650</v>
      </c>
      <c r="I3657" s="46" t="inlineStr">
        <is>
          <t>당효진</t>
        </is>
      </c>
      <c r="K3657" s="46" t="n">
        <v>3656</v>
      </c>
      <c r="L3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8">
      <c r="A3658" s="229" t="n">
        <v>46287</v>
      </c>
      <c r="B3658" s="46" t="inlineStr">
        <is>
          <t>사용전검사</t>
        </is>
      </c>
      <c r="C3658" s="46" t="inlineStr">
        <is>
          <t>부천지역</t>
        </is>
      </c>
      <c r="D3658" s="46" t="inlineStr">
        <is>
          <t>금길</t>
        </is>
      </c>
      <c r="E3658" s="46" t="n">
        <v>87</v>
      </c>
      <c r="F3658" s="46" t="inlineStr">
        <is>
          <t>역곡</t>
        </is>
      </c>
      <c r="G3658" s="50" t="n"/>
      <c r="H3658" s="51" t="n"/>
      <c r="I3658" s="46" t="inlineStr">
        <is>
          <t>민재홍</t>
        </is>
      </c>
      <c r="K3658" s="46" t="n">
        <v>3657</v>
      </c>
      <c r="L3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9">
      <c r="A3659" s="229" t="n">
        <v>46287</v>
      </c>
      <c r="B3659" s="46" t="inlineStr">
        <is>
          <t>메모</t>
        </is>
      </c>
      <c r="C3659" s="46" t="inlineStr">
        <is>
          <t>부천지역</t>
        </is>
      </c>
      <c r="D3659" s="46" t="inlineStr">
        <is>
          <t>허록종보수교육</t>
        </is>
      </c>
      <c r="E3659" s="46" t="n"/>
      <c r="F3659" s="46" t="n"/>
      <c r="G3659" s="50" t="n"/>
      <c r="H3659" s="51" t="n"/>
      <c r="I3659" s="46" t="n"/>
      <c r="K3659" s="46" t="n">
        <v>3658</v>
      </c>
      <c r="L3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0">
      <c r="A3660" s="229" t="n">
        <v>46287</v>
      </c>
      <c r="B3660" s="46" t="inlineStr">
        <is>
          <t>사용전검사</t>
        </is>
      </c>
      <c r="C3660" s="46" t="inlineStr">
        <is>
          <t>김포지역</t>
        </is>
      </c>
      <c r="D3660" s="46" t="inlineStr">
        <is>
          <t>포리머</t>
        </is>
      </c>
      <c r="E3660" s="46" t="n">
        <v>41</v>
      </c>
      <c r="F3660" s="46" t="inlineStr">
        <is>
          <t>마곡리</t>
        </is>
      </c>
      <c r="G3660" s="50" t="n"/>
      <c r="H3660" s="51" t="n"/>
      <c r="I3660" s="46" t="inlineStr">
        <is>
          <t>변종국</t>
        </is>
      </c>
      <c r="K3660" s="46" t="n">
        <v>3659</v>
      </c>
      <c r="L3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1">
      <c r="A3661" s="229" t="n">
        <v>46287</v>
      </c>
      <c r="B3661" s="46" t="inlineStr">
        <is>
          <t>사용전검사</t>
        </is>
      </c>
      <c r="C3661" s="46" t="inlineStr">
        <is>
          <t>김포지역</t>
        </is>
      </c>
      <c r="D3661" s="46" t="inlineStr">
        <is>
          <t>서울더특별치과</t>
        </is>
      </c>
      <c r="E3661" s="46" t="n">
        <v>40</v>
      </c>
      <c r="F3661" s="46" t="inlineStr">
        <is>
          <t>풍무동</t>
        </is>
      </c>
      <c r="G3661" s="50" t="n"/>
      <c r="H3661" s="51" t="n"/>
      <c r="I3661" s="46" t="inlineStr">
        <is>
          <t>당효진</t>
        </is>
      </c>
      <c r="K3661" s="46" t="n">
        <v>3660</v>
      </c>
      <c r="L3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2">
      <c r="A3662" s="229" t="n">
        <v>46287</v>
      </c>
      <c r="B3662" s="46" t="inlineStr">
        <is>
          <t>사용전검사</t>
        </is>
      </c>
      <c r="C3662" s="46" t="inlineStr">
        <is>
          <t>김포지역</t>
        </is>
      </c>
      <c r="D3662" s="46" t="inlineStr">
        <is>
          <t>강로랭이분식</t>
        </is>
      </c>
      <c r="E3662" s="46" t="n">
        <v>12</v>
      </c>
      <c r="F3662" s="46" t="inlineStr">
        <is>
          <t>풍무동</t>
        </is>
      </c>
      <c r="G3662" s="50" t="n"/>
      <c r="H3662" s="51" t="n"/>
      <c r="I3662" s="46" t="inlineStr">
        <is>
          <t>당효진</t>
        </is>
      </c>
      <c r="K3662" s="46" t="n">
        <v>3661</v>
      </c>
      <c r="L3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3">
      <c r="A3663" s="229" t="n">
        <v>46287</v>
      </c>
      <c r="B3663" s="46" t="inlineStr">
        <is>
          <t>사용전검사</t>
        </is>
      </c>
      <c r="C3663" s="46" t="inlineStr">
        <is>
          <t>김포지역</t>
        </is>
      </c>
      <c r="D3663" s="46" t="inlineStr">
        <is>
          <t>엔에스티메탈</t>
        </is>
      </c>
      <c r="E3663" s="46" t="n">
        <v>299</v>
      </c>
      <c r="F3663" s="46" t="inlineStr">
        <is>
          <t>학운리</t>
        </is>
      </c>
      <c r="G3663" s="50" t="n"/>
      <c r="H3663" s="51" t="n"/>
      <c r="I3663" s="46" t="inlineStr">
        <is>
          <t>정신배</t>
        </is>
      </c>
      <c r="K3663" s="46" t="n">
        <v>3662</v>
      </c>
      <c r="L3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4">
      <c r="A3664" s="229" t="n">
        <v>46287</v>
      </c>
      <c r="B3664" s="46" t="inlineStr">
        <is>
          <t>사용전검사</t>
        </is>
      </c>
      <c r="C3664" s="46" t="inlineStr">
        <is>
          <t>김포지역</t>
        </is>
      </c>
      <c r="D3664" s="46" t="inlineStr">
        <is>
          <t>정도산업</t>
        </is>
      </c>
      <c r="E3664" s="46" t="inlineStr">
        <is>
          <t>600/250</t>
        </is>
      </c>
      <c r="F3664" s="46" t="inlineStr">
        <is>
          <t>구래동</t>
        </is>
      </c>
      <c r="G3664" s="50" t="n"/>
      <c r="H3664" s="51" t="n"/>
      <c r="I3664" s="46" t="inlineStr">
        <is>
          <t>송낙명</t>
        </is>
      </c>
      <c r="K3664" s="46" t="n">
        <v>3663</v>
      </c>
      <c r="L3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5">
      <c r="A3665" s="229" t="n">
        <v>46288</v>
      </c>
      <c r="B3665" s="46" t="inlineStr">
        <is>
          <t>정기검사</t>
        </is>
      </c>
      <c r="C3665" s="46" t="inlineStr">
        <is>
          <t>부천지역</t>
        </is>
      </c>
      <c r="D3665" s="46" t="inlineStr">
        <is>
          <t>투루엔</t>
        </is>
      </c>
      <c r="E3665" s="46" t="inlineStr">
        <is>
          <t>750/182</t>
        </is>
      </c>
      <c r="F3665" s="46" t="inlineStr">
        <is>
          <t>상동</t>
        </is>
      </c>
      <c r="G3665" s="50" t="n">
        <v>0.4791666666666667</v>
      </c>
      <c r="H3665" s="51" t="n">
        <v>1012110</v>
      </c>
      <c r="I3665" s="46" t="inlineStr">
        <is>
          <t>한태희</t>
        </is>
      </c>
      <c r="K3665" s="46" t="n">
        <v>3664</v>
      </c>
      <c r="L3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6">
      <c r="A3666" s="229" t="n">
        <v>46288</v>
      </c>
      <c r="B3666" s="46" t="inlineStr">
        <is>
          <t>정기검사</t>
        </is>
      </c>
      <c r="C3666" s="46" t="inlineStr">
        <is>
          <t>부천지역</t>
        </is>
      </c>
      <c r="D3666" s="46" t="inlineStr">
        <is>
          <t>플라워즈</t>
        </is>
      </c>
      <c r="E3666" s="46" t="n">
        <v>500</v>
      </c>
      <c r="F3666" s="46" t="inlineStr">
        <is>
          <t>오정동</t>
        </is>
      </c>
      <c r="G3666" s="50" t="n">
        <v>0.5416666666666666</v>
      </c>
      <c r="H3666" s="51" t="n">
        <v>737000</v>
      </c>
      <c r="I3666" s="46" t="inlineStr">
        <is>
          <t>옹승완</t>
        </is>
      </c>
      <c r="K3666" s="46" t="n">
        <v>3665</v>
      </c>
      <c r="L3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7">
      <c r="A3667" s="229" t="n">
        <v>46288</v>
      </c>
      <c r="B3667" s="46" t="inlineStr">
        <is>
          <t>정기검사</t>
        </is>
      </c>
      <c r="C3667" s="46" t="inlineStr">
        <is>
          <t>부천지역</t>
        </is>
      </c>
      <c r="D3667" s="46" t="inlineStr">
        <is>
          <t>건부아파트</t>
        </is>
      </c>
      <c r="E3667" s="46" t="inlineStr">
        <is>
          <t>전기차</t>
        </is>
      </c>
      <c r="F3667" s="46" t="inlineStr">
        <is>
          <t>심곡동</t>
        </is>
      </c>
      <c r="G3667" s="50" t="n">
        <v>0.4791666666666667</v>
      </c>
      <c r="H3667" s="51" t="n">
        <v>246070</v>
      </c>
      <c r="I3667" s="46" t="inlineStr">
        <is>
          <t>한태희</t>
        </is>
      </c>
      <c r="K3667" s="46" t="n">
        <v>3666</v>
      </c>
      <c r="L3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8">
      <c r="A3668" s="229" t="n">
        <v>46288</v>
      </c>
      <c r="B3668" s="46" t="inlineStr">
        <is>
          <t>정기검사</t>
        </is>
      </c>
      <c r="C3668" s="46" t="inlineStr">
        <is>
          <t>부천지역</t>
        </is>
      </c>
      <c r="D3668" s="46" t="inlineStr">
        <is>
          <t>지산메드텍</t>
        </is>
      </c>
      <c r="E3668" s="46" t="n">
        <v>600</v>
      </c>
      <c r="F3668" s="46" t="inlineStr">
        <is>
          <t>도당동</t>
        </is>
      </c>
      <c r="G3668" s="50" t="n">
        <v>0.375</v>
      </c>
      <c r="H3668" s="51" t="n">
        <v>1002100</v>
      </c>
      <c r="I3668" s="46" t="inlineStr">
        <is>
          <t>송낙명</t>
        </is>
      </c>
      <c r="K3668" s="46" t="n">
        <v>3667</v>
      </c>
      <c r="L3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9">
      <c r="A3669" s="229" t="n">
        <v>46288</v>
      </c>
      <c r="B3669" s="46" t="inlineStr">
        <is>
          <t>정기검사</t>
        </is>
      </c>
      <c r="C3669" s="46" t="inlineStr">
        <is>
          <t>김포지역</t>
        </is>
      </c>
      <c r="D3669" s="46" t="inlineStr">
        <is>
          <t>명성기업</t>
        </is>
      </c>
      <c r="E3669" s="46" t="n">
        <v>300</v>
      </c>
      <c r="F3669" s="46" t="inlineStr">
        <is>
          <t>원산리</t>
        </is>
      </c>
      <c r="G3669" s="50" t="n">
        <v>0.5416666666666666</v>
      </c>
      <c r="H3669" s="51" t="n">
        <v>521730</v>
      </c>
      <c r="I3669" s="46" t="inlineStr">
        <is>
          <t>서수형</t>
        </is>
      </c>
      <c r="K3669" s="46" t="n">
        <v>3668</v>
      </c>
      <c r="L3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0">
      <c r="A3670" s="229" t="n">
        <v>46288</v>
      </c>
      <c r="B3670" s="46" t="inlineStr">
        <is>
          <t>정기검사</t>
        </is>
      </c>
      <c r="C3670" s="46" t="inlineStr">
        <is>
          <t>김포지역</t>
        </is>
      </c>
      <c r="D3670" s="46" t="inlineStr">
        <is>
          <t>권용국</t>
        </is>
      </c>
      <c r="E3670" s="46" t="n">
        <v>18</v>
      </c>
      <c r="F3670" s="46" t="inlineStr">
        <is>
          <t>유현리</t>
        </is>
      </c>
      <c r="G3670" s="50" t="n">
        <v>0.4375</v>
      </c>
      <c r="H3670" s="51" t="n">
        <v>93940</v>
      </c>
      <c r="I3670" s="46" t="inlineStr">
        <is>
          <t>정성관</t>
        </is>
      </c>
      <c r="K3670" s="46" t="n">
        <v>3669</v>
      </c>
      <c r="L3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1">
      <c r="A3671" s="229" t="n">
        <v>46288</v>
      </c>
      <c r="B3671" s="46" t="inlineStr">
        <is>
          <t>정기검사</t>
        </is>
      </c>
      <c r="C3671" s="46" t="inlineStr">
        <is>
          <t>김포지역</t>
        </is>
      </c>
      <c r="D3671" s="46" t="inlineStr">
        <is>
          <t>무명볼트공업</t>
        </is>
      </c>
      <c r="E3671" s="46" t="n">
        <v>300</v>
      </c>
      <c r="F3671" s="46" t="inlineStr">
        <is>
          <t>귀전리</t>
        </is>
      </c>
      <c r="G3671" s="50" t="n">
        <v>0.5416666666666666</v>
      </c>
      <c r="H3671" s="51" t="n">
        <v>521730</v>
      </c>
      <c r="I3671" s="46" t="inlineStr">
        <is>
          <t>이종석</t>
        </is>
      </c>
      <c r="K3671" s="46" t="n">
        <v>3670</v>
      </c>
      <c r="L3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2">
      <c r="A3672" s="229" t="n">
        <v>46288</v>
      </c>
      <c r="B3672" s="46" t="inlineStr">
        <is>
          <t>사용전검사</t>
        </is>
      </c>
      <c r="C3672" s="46" t="inlineStr">
        <is>
          <t>부천지역</t>
        </is>
      </c>
      <c r="D3672" s="46" t="inlineStr">
        <is>
          <t>플라워즈</t>
        </is>
      </c>
      <c r="E3672" s="46" t="n">
        <v>500</v>
      </c>
      <c r="F3672" s="46" t="inlineStr">
        <is>
          <t>오정동</t>
        </is>
      </c>
      <c r="G3672" s="50" t="n"/>
      <c r="H3672" s="51" t="n"/>
      <c r="I3672" s="46" t="inlineStr">
        <is>
          <t>옹승완</t>
        </is>
      </c>
      <c r="K3672" s="46" t="n">
        <v>3671</v>
      </c>
      <c r="L3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3">
      <c r="A3673" s="229" t="n">
        <v>46288</v>
      </c>
      <c r="B3673" s="46" t="inlineStr">
        <is>
          <t>사용전검사</t>
        </is>
      </c>
      <c r="C3673" s="46" t="inlineStr">
        <is>
          <t>부천지역</t>
        </is>
      </c>
      <c r="D3673" s="46" t="inlineStr">
        <is>
          <t>진행</t>
        </is>
      </c>
      <c r="E3673" s="46" t="inlineStr">
        <is>
          <t>부분</t>
        </is>
      </c>
      <c r="F3673" s="46" t="n"/>
      <c r="G3673" s="50" t="n"/>
      <c r="H3673" s="51" t="n"/>
      <c r="I3673" s="46" t="inlineStr">
        <is>
          <t>이덕기</t>
        </is>
      </c>
      <c r="K3673" s="46" t="n">
        <v>3672</v>
      </c>
      <c r="L3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4">
      <c r="A3674" s="229" t="n">
        <v>46288</v>
      </c>
      <c r="B3674" s="46" t="inlineStr">
        <is>
          <t>메모</t>
        </is>
      </c>
      <c r="C3674" s="46" t="inlineStr">
        <is>
          <t>부천지역</t>
        </is>
      </c>
      <c r="D3674" s="46" t="inlineStr">
        <is>
          <t>허록종휴가</t>
        </is>
      </c>
      <c r="E3674" s="46" t="inlineStr">
        <is>
          <t>당효진-이종석</t>
        </is>
      </c>
      <c r="F3674" s="46" t="n"/>
      <c r="G3674" s="50" t="n"/>
      <c r="H3674" s="51" t="n"/>
      <c r="I3674" s="46" t="n"/>
      <c r="K3674" s="46" t="n">
        <v>3673</v>
      </c>
      <c r="L3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5">
      <c r="A3675" s="229" t="n">
        <v>46288</v>
      </c>
      <c r="B3675" s="46" t="inlineStr">
        <is>
          <t>메모</t>
        </is>
      </c>
      <c r="C3675" s="46" t="inlineStr">
        <is>
          <t>부천지역</t>
        </is>
      </c>
      <c r="D3675" s="46" t="inlineStr">
        <is>
          <t>변종국휴가</t>
        </is>
      </c>
      <c r="E3675" s="46" t="n"/>
      <c r="F3675" s="46" t="n"/>
      <c r="G3675" s="50" t="n"/>
      <c r="H3675" s="51" t="n"/>
      <c r="I3675" s="46" t="n"/>
      <c r="K3675" s="46" t="n">
        <v>3674</v>
      </c>
      <c r="L3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6">
      <c r="A3676" s="229" t="n">
        <v>46288</v>
      </c>
      <c r="B3676" s="46" t="inlineStr">
        <is>
          <t>사용전검사</t>
        </is>
      </c>
      <c r="C3676" s="46" t="inlineStr">
        <is>
          <t>김포지역</t>
        </is>
      </c>
      <c r="D3676" s="46" t="inlineStr">
        <is>
          <t>삼성케미칼</t>
        </is>
      </c>
      <c r="E3676" s="46" t="n">
        <v>200</v>
      </c>
      <c r="F3676" s="46" t="inlineStr">
        <is>
          <t>학운리</t>
        </is>
      </c>
      <c r="G3676" s="50" t="n"/>
      <c r="H3676" s="51" t="n"/>
      <c r="I3676" s="46" t="inlineStr">
        <is>
          <t>정신배</t>
        </is>
      </c>
      <c r="K3676" s="46" t="n">
        <v>3675</v>
      </c>
      <c r="L3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7">
      <c r="A3677" s="229" t="n">
        <v>46288</v>
      </c>
      <c r="B3677" s="46" t="inlineStr">
        <is>
          <t>사용전검사</t>
        </is>
      </c>
      <c r="C3677" s="46" t="inlineStr">
        <is>
          <t>김포지역</t>
        </is>
      </c>
      <c r="D3677" s="46" t="inlineStr">
        <is>
          <t>라온안내</t>
        </is>
      </c>
      <c r="E3677" s="46" t="n">
        <v>90</v>
      </c>
      <c r="F3677" s="46" t="inlineStr">
        <is>
          <t>동을산리</t>
        </is>
      </c>
      <c r="G3677" s="50" t="n"/>
      <c r="H3677" s="51" t="n"/>
      <c r="I3677" s="46" t="inlineStr">
        <is>
          <t>당효진</t>
        </is>
      </c>
      <c r="K3677" s="46" t="n">
        <v>3676</v>
      </c>
      <c r="L3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8">
      <c r="A3678" s="229" t="n">
        <v>46288</v>
      </c>
      <c r="B3678" s="46" t="inlineStr">
        <is>
          <t>사용전검사</t>
        </is>
      </c>
      <c r="C3678" s="46" t="inlineStr">
        <is>
          <t>김포지역</t>
        </is>
      </c>
      <c r="D3678" s="46" t="inlineStr">
        <is>
          <t>aj네트윅스</t>
        </is>
      </c>
      <c r="E3678" s="46" t="n">
        <v>290</v>
      </c>
      <c r="F3678" s="46" t="inlineStr">
        <is>
          <t>초워지리</t>
        </is>
      </c>
      <c r="G3678" s="50" t="n"/>
      <c r="H3678" s="51" t="n"/>
      <c r="I3678" s="46" t="inlineStr">
        <is>
          <t>김영권</t>
        </is>
      </c>
      <c r="K3678" s="46" t="n">
        <v>3677</v>
      </c>
      <c r="L3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9">
      <c r="A3679" s="229" t="n">
        <v>46288</v>
      </c>
      <c r="B3679" s="46" t="inlineStr">
        <is>
          <t>사용전검사</t>
        </is>
      </c>
      <c r="C3679" s="46" t="inlineStr">
        <is>
          <t>김포지역</t>
        </is>
      </c>
      <c r="D3679" s="46" t="inlineStr">
        <is>
          <t>새마을국수</t>
        </is>
      </c>
      <c r="E3679" s="46" t="n"/>
      <c r="F3679" s="46" t="inlineStr">
        <is>
          <t>초원지리</t>
        </is>
      </c>
      <c r="G3679" s="50" t="n"/>
      <c r="H3679" s="51" t="n"/>
      <c r="I3679" s="46" t="inlineStr">
        <is>
          <t>민재홍</t>
        </is>
      </c>
      <c r="K3679" s="46" t="n">
        <v>3678</v>
      </c>
      <c r="L3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0">
      <c r="A3680" s="229" t="n">
        <v>46288</v>
      </c>
      <c r="B3680" s="46" t="inlineStr">
        <is>
          <t>사용전검사</t>
        </is>
      </c>
      <c r="C3680" s="46" t="inlineStr">
        <is>
          <t>김포지역</t>
        </is>
      </c>
      <c r="D3680" s="46" t="inlineStr">
        <is>
          <t>한성엘엠티</t>
        </is>
      </c>
      <c r="E3680" s="46" t="n">
        <v>149</v>
      </c>
      <c r="F3680" s="46" t="inlineStr">
        <is>
          <t>갈산리</t>
        </is>
      </c>
      <c r="G3680" s="50" t="n"/>
      <c r="H3680" s="51" t="n"/>
      <c r="I3680" s="46" t="inlineStr">
        <is>
          <t>허창수</t>
        </is>
      </c>
      <c r="K3680" s="46" t="n">
        <v>3679</v>
      </c>
      <c r="L3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1">
      <c r="A3681" s="229" t="n">
        <v>46292</v>
      </c>
      <c r="B3681" s="46" t="inlineStr">
        <is>
          <t>정기검사</t>
        </is>
      </c>
      <c r="C3681" s="46" t="inlineStr">
        <is>
          <t>김포지역</t>
        </is>
      </c>
      <c r="D3681" s="46" t="inlineStr">
        <is>
          <t>웅신ㅍ르라자</t>
        </is>
      </c>
      <c r="E3681" s="46" t="inlineStr">
        <is>
          <t>950/250</t>
        </is>
      </c>
      <c r="F3681" s="46" t="inlineStr">
        <is>
          <t>구래동</t>
        </is>
      </c>
      <c r="G3681" s="50" t="n">
        <v>0.25</v>
      </c>
      <c r="H3681" s="51" t="n">
        <v>1430000</v>
      </c>
      <c r="I3681" s="46" t="n"/>
      <c r="K3681" s="46" t="n">
        <v>3680</v>
      </c>
      <c r="L3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2">
      <c r="A3682" s="229" t="n">
        <v>46293</v>
      </c>
      <c r="B3682" s="46" t="inlineStr">
        <is>
          <t>정기검사</t>
        </is>
      </c>
      <c r="C3682" s="46" t="inlineStr">
        <is>
          <t>부천지역</t>
        </is>
      </c>
      <c r="D3682" s="46" t="inlineStr">
        <is>
          <t>송현시스템</t>
        </is>
      </c>
      <c r="E3682" s="46" t="n">
        <v>150</v>
      </c>
      <c r="F3682" s="46" t="inlineStr">
        <is>
          <t>도당동</t>
        </is>
      </c>
      <c r="G3682" s="50" t="n">
        <v>0.5</v>
      </c>
      <c r="H3682" s="51" t="n">
        <v>424160</v>
      </c>
      <c r="I3682" s="46" t="inlineStr">
        <is>
          <t>허록종</t>
        </is>
      </c>
      <c r="K3682" s="46" t="n">
        <v>3681</v>
      </c>
      <c r="L3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3">
      <c r="A3683" s="229" t="n">
        <v>46293</v>
      </c>
      <c r="B3683" s="46" t="inlineStr">
        <is>
          <t>정기검사</t>
        </is>
      </c>
      <c r="C3683" s="46" t="inlineStr">
        <is>
          <t>부천지역</t>
        </is>
      </c>
      <c r="D3683" s="46" t="inlineStr">
        <is>
          <t>씨앤앤코스메틱</t>
        </is>
      </c>
      <c r="E3683" s="46" t="n">
        <v>120</v>
      </c>
      <c r="F3683" s="46" t="inlineStr">
        <is>
          <t>내동</t>
        </is>
      </c>
      <c r="G3683" s="50" t="n">
        <v>0.4166666666666667</v>
      </c>
      <c r="H3683" s="51" t="n">
        <v>206580</v>
      </c>
      <c r="I3683" s="46" t="inlineStr">
        <is>
          <t>정성관</t>
        </is>
      </c>
      <c r="K3683" s="46" t="n">
        <v>3682</v>
      </c>
      <c r="L3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4">
      <c r="A3684" s="229" t="n">
        <v>46293</v>
      </c>
      <c r="B3684" s="46" t="inlineStr">
        <is>
          <t>정기검사</t>
        </is>
      </c>
      <c r="C3684" s="46" t="inlineStr">
        <is>
          <t>부천지역</t>
        </is>
      </c>
      <c r="D3684" s="46" t="inlineStr">
        <is>
          <t>중앙리치빌</t>
        </is>
      </c>
      <c r="E3684" s="46" t="n">
        <v>300</v>
      </c>
      <c r="F3684" s="46" t="inlineStr">
        <is>
          <t>소사동</t>
        </is>
      </c>
      <c r="G3684" s="50" t="n">
        <v>0.3958333333333333</v>
      </c>
      <c r="H3684" s="51" t="n">
        <v>521730</v>
      </c>
      <c r="I3684" s="46" t="inlineStr">
        <is>
          <t>옹승완</t>
        </is>
      </c>
      <c r="K3684" s="46" t="n">
        <v>3683</v>
      </c>
      <c r="L3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5">
      <c r="A3685" s="229" t="n">
        <v>46293</v>
      </c>
      <c r="B3685" s="46" t="inlineStr">
        <is>
          <t>정기검사</t>
        </is>
      </c>
      <c r="C3685" s="46" t="inlineStr">
        <is>
          <t>부천지역</t>
        </is>
      </c>
      <c r="D3685" s="46" t="inlineStr">
        <is>
          <t>역곡하이뷰</t>
        </is>
      </c>
      <c r="E3685" s="46" t="inlineStr">
        <is>
          <t>700/227</t>
        </is>
      </c>
      <c r="F3685" s="46" t="inlineStr">
        <is>
          <t>역곡</t>
        </is>
      </c>
      <c r="G3685" s="50" t="n">
        <v>0.4375</v>
      </c>
      <c r="H3685" s="51" t="n">
        <v>1008480</v>
      </c>
      <c r="I3685" s="46" t="inlineStr">
        <is>
          <t>변종국</t>
        </is>
      </c>
      <c r="K3685" s="46" t="n">
        <v>3684</v>
      </c>
      <c r="L3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6">
      <c r="A3686" s="229" t="n">
        <v>46293</v>
      </c>
      <c r="B3686" s="46" t="inlineStr">
        <is>
          <t>정기검사</t>
        </is>
      </c>
      <c r="C3686" s="46" t="inlineStr">
        <is>
          <t>부천지역</t>
        </is>
      </c>
      <c r="D3686" s="46" t="inlineStr">
        <is>
          <t>프라임하이테크</t>
        </is>
      </c>
      <c r="E3686" s="46" t="n">
        <v>200</v>
      </c>
      <c r="F3686" s="46" t="inlineStr">
        <is>
          <t>원미동</t>
        </is>
      </c>
      <c r="G3686" s="50" t="n">
        <v>0.4583333333333333</v>
      </c>
      <c r="H3686" s="51" t="n">
        <v>456720</v>
      </c>
      <c r="I3686" s="46" t="inlineStr">
        <is>
          <t>이덕기</t>
        </is>
      </c>
      <c r="K3686" s="46" t="n">
        <v>3685</v>
      </c>
      <c r="L3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7">
      <c r="A3687" s="229" t="n">
        <v>46293</v>
      </c>
      <c r="B3687" s="46" t="inlineStr">
        <is>
          <t>정기검사</t>
        </is>
      </c>
      <c r="C3687" s="46" t="inlineStr">
        <is>
          <t>부천지역</t>
        </is>
      </c>
      <c r="D3687" s="46" t="inlineStr">
        <is>
          <t>엘디에스</t>
        </is>
      </c>
      <c r="E3687" s="46" t="n">
        <v>290</v>
      </c>
      <c r="F3687" s="46" t="inlineStr">
        <is>
          <t>내동</t>
        </is>
      </c>
      <c r="G3687" s="50" t="n">
        <v>0.4791666666666667</v>
      </c>
      <c r="H3687" s="51" t="n">
        <v>515130</v>
      </c>
      <c r="I3687" s="46" t="inlineStr">
        <is>
          <t>정성관</t>
        </is>
      </c>
      <c r="K3687" s="46" t="n">
        <v>3686</v>
      </c>
      <c r="L3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8">
      <c r="A3688" s="229" t="n">
        <v>46293</v>
      </c>
      <c r="B3688" s="46" t="inlineStr">
        <is>
          <t>정기검사</t>
        </is>
      </c>
      <c r="C3688" s="46" t="inlineStr">
        <is>
          <t>김포지역</t>
        </is>
      </c>
      <c r="D3688" s="46" t="inlineStr">
        <is>
          <t>시암리태양광</t>
        </is>
      </c>
      <c r="E3688" s="46" t="n">
        <v>48</v>
      </c>
      <c r="F3688" s="46" t="inlineStr">
        <is>
          <t>시암리</t>
        </is>
      </c>
      <c r="G3688" s="50" t="n">
        <v>0.4166666666666667</v>
      </c>
      <c r="H3688" s="51" t="n">
        <v>201410</v>
      </c>
      <c r="I3688" s="46" t="inlineStr">
        <is>
          <t>허창수</t>
        </is>
      </c>
      <c r="K3688" s="46" t="n">
        <v>3687</v>
      </c>
      <c r="L3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9">
      <c r="A3689" s="229" t="n">
        <v>46293</v>
      </c>
      <c r="B3689" s="46" t="inlineStr">
        <is>
          <t>정기검사</t>
        </is>
      </c>
      <c r="C3689" s="46" t="inlineStr">
        <is>
          <t>김포지역</t>
        </is>
      </c>
      <c r="D3689" s="46" t="inlineStr">
        <is>
          <t>나래프라자</t>
        </is>
      </c>
      <c r="E3689" s="46" t="inlineStr">
        <is>
          <t>750/250</t>
        </is>
      </c>
      <c r="F3689" s="46" t="inlineStr">
        <is>
          <t>장기동</t>
        </is>
      </c>
      <c r="G3689" s="50" t="n">
        <v>0.3958333333333333</v>
      </c>
      <c r="H3689" s="51" t="n">
        <v>1032240</v>
      </c>
      <c r="I3689" s="46" t="inlineStr">
        <is>
          <t>민재홍</t>
        </is>
      </c>
      <c r="K3689" s="46" t="n">
        <v>3688</v>
      </c>
      <c r="L3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0">
      <c r="A3690" s="229" t="n">
        <v>46293</v>
      </c>
      <c r="B3690" s="46" t="inlineStr">
        <is>
          <t>정기검사</t>
        </is>
      </c>
      <c r="C3690" s="46" t="inlineStr">
        <is>
          <t>김포지역</t>
        </is>
      </c>
      <c r="D3690" s="46" t="inlineStr">
        <is>
          <t>쎈겔</t>
        </is>
      </c>
      <c r="E3690" s="46" t="n">
        <v>290</v>
      </c>
      <c r="F3690" s="46" t="inlineStr">
        <is>
          <t>학운리</t>
        </is>
      </c>
      <c r="G3690" s="50" t="n">
        <v>0.5</v>
      </c>
      <c r="H3690" s="51" t="n">
        <v>515130</v>
      </c>
      <c r="I3690" s="46" t="inlineStr">
        <is>
          <t>한태희</t>
        </is>
      </c>
      <c r="K3690" s="46" t="n">
        <v>3689</v>
      </c>
      <c r="L3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1">
      <c r="A3691" s="229" t="n">
        <v>46293</v>
      </c>
      <c r="B3691" s="46" t="inlineStr">
        <is>
          <t>정기검사</t>
        </is>
      </c>
      <c r="C3691" s="46" t="inlineStr">
        <is>
          <t>김포지역</t>
        </is>
      </c>
      <c r="D3691" s="46" t="inlineStr">
        <is>
          <t>필터랩코리아</t>
        </is>
      </c>
      <c r="E3691" s="46" t="n">
        <v>290</v>
      </c>
      <c r="F3691" s="46" t="inlineStr">
        <is>
          <t>귀전리</t>
        </is>
      </c>
      <c r="G3691" s="50" t="n">
        <v>0.5833333333333334</v>
      </c>
      <c r="H3691" s="51" t="n">
        <v>515130</v>
      </c>
      <c r="I3691" s="46" t="inlineStr">
        <is>
          <t>서수형</t>
        </is>
      </c>
      <c r="K3691" s="46" t="n">
        <v>3690</v>
      </c>
      <c r="L3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2">
      <c r="A3692" s="229" t="n">
        <v>46293</v>
      </c>
      <c r="B3692" s="46" t="inlineStr">
        <is>
          <t>정기검사</t>
        </is>
      </c>
      <c r="C3692" s="46" t="inlineStr">
        <is>
          <t>김포지역</t>
        </is>
      </c>
      <c r="D3692" s="46" t="inlineStr">
        <is>
          <t>대광상사</t>
        </is>
      </c>
      <c r="E3692" s="46" t="n">
        <v>150</v>
      </c>
      <c r="F3692" s="46" t="inlineStr">
        <is>
          <t>대명리</t>
        </is>
      </c>
      <c r="G3692" s="50" t="n">
        <v>0.5</v>
      </c>
      <c r="H3692" s="51" t="n">
        <v>424160</v>
      </c>
      <c r="I3692" s="46" t="inlineStr">
        <is>
          <t>김영권</t>
        </is>
      </c>
      <c r="K3692" s="46" t="n">
        <v>3691</v>
      </c>
      <c r="L3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3">
      <c r="A3693" s="229" t="n">
        <v>46293</v>
      </c>
      <c r="B3693" s="46" t="inlineStr">
        <is>
          <t>정기검사</t>
        </is>
      </c>
      <c r="C3693" s="46" t="inlineStr">
        <is>
          <t>김포지역</t>
        </is>
      </c>
      <c r="D3693" s="46" t="inlineStr">
        <is>
          <t>한솔프라자</t>
        </is>
      </c>
      <c r="E3693" s="46" t="n">
        <v>500</v>
      </c>
      <c r="F3693" s="46" t="inlineStr">
        <is>
          <t>풍무동</t>
        </is>
      </c>
      <c r="G3693" s="50" t="n">
        <v>0.3958333333333333</v>
      </c>
      <c r="H3693" s="51" t="n">
        <v>737000</v>
      </c>
      <c r="I3693" s="46" t="inlineStr">
        <is>
          <t>한태희</t>
        </is>
      </c>
      <c r="K3693" s="46" t="n">
        <v>3692</v>
      </c>
      <c r="L3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4">
      <c r="A3694" s="229" t="n">
        <v>46293</v>
      </c>
      <c r="B3694" s="46" t="inlineStr">
        <is>
          <t>정기검사</t>
        </is>
      </c>
      <c r="C3694" s="46" t="inlineStr">
        <is>
          <t>김포지역</t>
        </is>
      </c>
      <c r="D3694" s="46" t="inlineStr">
        <is>
          <t>대유금속</t>
        </is>
      </c>
      <c r="E3694" s="46" t="n">
        <v>800</v>
      </c>
      <c r="F3694" s="46" t="inlineStr">
        <is>
          <t>쇄암리</t>
        </is>
      </c>
      <c r="G3694" s="50" t="n">
        <v>0.6666666666666666</v>
      </c>
      <c r="H3694" s="51" t="n">
        <v>838640</v>
      </c>
      <c r="I3694" s="46" t="inlineStr">
        <is>
          <t>송낙명</t>
        </is>
      </c>
      <c r="K3694" s="46" t="n">
        <v>3693</v>
      </c>
      <c r="L3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5">
      <c r="A3695" s="229" t="n">
        <v>46293</v>
      </c>
      <c r="B3695" s="46" t="inlineStr">
        <is>
          <t>정기검사</t>
        </is>
      </c>
      <c r="C3695" s="46" t="inlineStr">
        <is>
          <t>김포지역</t>
        </is>
      </c>
      <c r="D3695" s="46" t="inlineStr">
        <is>
          <t>에이티</t>
        </is>
      </c>
      <c r="E3695" s="46" t="n">
        <v>250</v>
      </c>
      <c r="F3695" s="46" t="n"/>
      <c r="G3695" s="50" t="n">
        <v>0.4583333333333333</v>
      </c>
      <c r="H3695" s="51" t="n">
        <v>489170</v>
      </c>
      <c r="I3695" s="46" t="inlineStr">
        <is>
          <t>허창수</t>
        </is>
      </c>
      <c r="K3695" s="46" t="n">
        <v>3694</v>
      </c>
      <c r="L3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6">
      <c r="A3696" s="229" t="n">
        <v>46293</v>
      </c>
      <c r="B3696" s="46" t="inlineStr">
        <is>
          <t>메모</t>
        </is>
      </c>
      <c r="C3696" s="46" t="inlineStr">
        <is>
          <t>부천지역</t>
        </is>
      </c>
      <c r="D3696" s="46" t="inlineStr">
        <is>
          <t>정신배휴가</t>
        </is>
      </c>
      <c r="E3696" s="46" t="inlineStr">
        <is>
          <t>정성관</t>
        </is>
      </c>
      <c r="F3696" s="46" t="n"/>
      <c r="G3696" s="50" t="n"/>
      <c r="H3696" s="51" t="n"/>
      <c r="I3696" s="46" t="n"/>
      <c r="K3696" s="46" t="n">
        <v>3695</v>
      </c>
      <c r="L3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7">
      <c r="A3697" s="229" t="n">
        <v>46293</v>
      </c>
      <c r="B3697" s="46" t="inlineStr">
        <is>
          <t>메모</t>
        </is>
      </c>
      <c r="C3697" s="46" t="inlineStr">
        <is>
          <t>부천지역</t>
        </is>
      </c>
      <c r="D3697" s="46" t="inlineStr">
        <is>
          <t>이종석휴가</t>
        </is>
      </c>
      <c r="E3697" s="46" t="n"/>
      <c r="F3697" s="46" t="n"/>
      <c r="G3697" s="50" t="n"/>
      <c r="H3697" s="51" t="n"/>
      <c r="I3697" s="46" t="n"/>
      <c r="K3697" s="46" t="n">
        <v>3696</v>
      </c>
      <c r="L3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8">
      <c r="A3698" s="229" t="n">
        <v>46293</v>
      </c>
      <c r="B3698" s="46" t="inlineStr">
        <is>
          <t>메모</t>
        </is>
      </c>
      <c r="C3698" s="46" t="inlineStr">
        <is>
          <t>부천지역</t>
        </is>
      </c>
      <c r="D3698" s="46" t="inlineStr">
        <is>
          <t>당효진휴가</t>
        </is>
      </c>
      <c r="E3698" s="46" t="inlineStr">
        <is>
          <t>변종국-허록종</t>
        </is>
      </c>
      <c r="F3698" s="46" t="n"/>
      <c r="G3698" s="50" t="n"/>
      <c r="H3698" s="51" t="n"/>
      <c r="I3698" s="46" t="n"/>
      <c r="K3698" s="46" t="n">
        <v>3697</v>
      </c>
      <c r="L3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9">
      <c r="A3699" s="229" t="n">
        <v>46293</v>
      </c>
      <c r="B3699" s="46" t="inlineStr">
        <is>
          <t>사용전검사</t>
        </is>
      </c>
      <c r="C3699" s="46" t="inlineStr">
        <is>
          <t>김포지역</t>
        </is>
      </c>
      <c r="D3699" s="46" t="inlineStr">
        <is>
          <t>모햇발전소</t>
        </is>
      </c>
      <c r="E3699" s="46" t="n">
        <v>107</v>
      </c>
      <c r="F3699" s="46" t="inlineStr">
        <is>
          <t>대명리</t>
        </is>
      </c>
      <c r="G3699" s="50" t="n"/>
      <c r="H3699" s="51" t="n"/>
      <c r="I3699" s="46" t="inlineStr">
        <is>
          <t>민재홍</t>
        </is>
      </c>
      <c r="K3699" s="46" t="n">
        <v>3698</v>
      </c>
      <c r="L3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0">
      <c r="A3700" s="229" t="n">
        <v>46293</v>
      </c>
      <c r="B3700" s="46" t="inlineStr">
        <is>
          <t>사용전검사</t>
        </is>
      </c>
      <c r="C3700" s="46" t="inlineStr">
        <is>
          <t>김포지역</t>
        </is>
      </c>
      <c r="D3700" s="46" t="inlineStr">
        <is>
          <t>모햇발전소</t>
        </is>
      </c>
      <c r="E3700" s="46" t="n">
        <v>108</v>
      </c>
      <c r="F3700" s="46" t="inlineStr">
        <is>
          <t>대명리</t>
        </is>
      </c>
      <c r="G3700" s="50" t="n"/>
      <c r="H3700" s="51" t="n"/>
      <c r="I3700" s="46" t="inlineStr">
        <is>
          <t>민재홍</t>
        </is>
      </c>
      <c r="K3700" s="46" t="n">
        <v>3699</v>
      </c>
      <c r="L3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1">
      <c r="A3701" s="229" t="n">
        <v>46293</v>
      </c>
      <c r="B3701" s="46" t="inlineStr">
        <is>
          <t>사용전검사</t>
        </is>
      </c>
      <c r="C3701" s="46" t="inlineStr">
        <is>
          <t>김포지역</t>
        </is>
      </c>
      <c r="D3701" s="46" t="inlineStr">
        <is>
          <t>성지2호</t>
        </is>
      </c>
      <c r="E3701" s="46" t="n">
        <v>188</v>
      </c>
      <c r="F3701" s="46" t="inlineStr">
        <is>
          <t>송마리</t>
        </is>
      </c>
      <c r="G3701" s="50" t="n"/>
      <c r="H3701" s="51" t="n"/>
      <c r="I3701" s="46" t="inlineStr">
        <is>
          <t>허창수</t>
        </is>
      </c>
      <c r="K3701" s="46" t="n">
        <v>3700</v>
      </c>
      <c r="L3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2">
      <c r="A3702" s="229" t="n">
        <v>46294</v>
      </c>
      <c r="B3702" s="46" t="inlineStr">
        <is>
          <t>정기검사</t>
        </is>
      </c>
      <c r="C3702" s="46" t="inlineStr">
        <is>
          <t>부천지역</t>
        </is>
      </c>
      <c r="D3702" s="46" t="inlineStr">
        <is>
          <t>다인시스템</t>
        </is>
      </c>
      <c r="E3702" s="46" t="inlineStr">
        <is>
          <t>950/360</t>
        </is>
      </c>
      <c r="F3702" s="46" t="inlineStr">
        <is>
          <t>중동</t>
        </is>
      </c>
      <c r="G3702" s="50" t="n">
        <v>0.3958333333333333</v>
      </c>
      <c r="H3702" s="51" t="n">
        <v>1116610</v>
      </c>
      <c r="I3702" s="46" t="inlineStr">
        <is>
          <t>이종석</t>
        </is>
      </c>
      <c r="K3702" s="46" t="n">
        <v>3701</v>
      </c>
      <c r="L3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3">
      <c r="A3703" s="229" t="n">
        <v>46294</v>
      </c>
      <c r="B3703" s="46" t="inlineStr">
        <is>
          <t>정기검사</t>
        </is>
      </c>
      <c r="C3703" s="46" t="inlineStr">
        <is>
          <t>부천지역</t>
        </is>
      </c>
      <c r="D3703" s="46" t="inlineStr">
        <is>
          <t>드림빌딩</t>
        </is>
      </c>
      <c r="E3703" s="46" t="n">
        <v>500</v>
      </c>
      <c r="F3703" s="46" t="inlineStr">
        <is>
          <t>도당동</t>
        </is>
      </c>
      <c r="G3703" s="50" t="n">
        <v>0.5</v>
      </c>
      <c r="H3703" s="51" t="n">
        <v>737000</v>
      </c>
      <c r="I3703" s="46" t="inlineStr">
        <is>
          <t>송낙명</t>
        </is>
      </c>
      <c r="K3703" s="46" t="n">
        <v>3702</v>
      </c>
      <c r="L3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4">
      <c r="A3704" s="229" t="n">
        <v>46294</v>
      </c>
      <c r="B3704" s="46" t="inlineStr">
        <is>
          <t>정기검사</t>
        </is>
      </c>
      <c r="C3704" s="46" t="inlineStr">
        <is>
          <t>부천지역</t>
        </is>
      </c>
      <c r="D3704" s="46" t="inlineStr">
        <is>
          <t>선일테크</t>
        </is>
      </c>
      <c r="E3704" s="46" t="n">
        <v>200</v>
      </c>
      <c r="F3704" s="46" t="inlineStr">
        <is>
          <t>내동</t>
        </is>
      </c>
      <c r="G3704" s="50" t="n">
        <v>0.5208333333333334</v>
      </c>
      <c r="H3704" s="51" t="n">
        <v>456720</v>
      </c>
      <c r="I3704" s="46" t="inlineStr">
        <is>
          <t>변종국</t>
        </is>
      </c>
      <c r="K3704" s="46" t="n">
        <v>3703</v>
      </c>
      <c r="L3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5">
      <c r="A3705" s="229" t="n">
        <v>46294</v>
      </c>
      <c r="B3705" s="46" t="inlineStr">
        <is>
          <t>정기검사</t>
        </is>
      </c>
      <c r="C3705" s="46" t="inlineStr">
        <is>
          <t>부천지역</t>
        </is>
      </c>
      <c r="D3705" s="46" t="inlineStr">
        <is>
          <t>덕산빌딩</t>
        </is>
      </c>
      <c r="E3705" s="46" t="n">
        <v>290</v>
      </c>
      <c r="F3705" s="46" t="inlineStr">
        <is>
          <t>역곡</t>
        </is>
      </c>
      <c r="G3705" s="50" t="n">
        <v>0.5416666666666666</v>
      </c>
      <c r="H3705" s="51" t="n">
        <v>515130</v>
      </c>
      <c r="I3705" s="46" t="inlineStr">
        <is>
          <t>옹승완</t>
        </is>
      </c>
      <c r="K3705" s="46" t="n">
        <v>3704</v>
      </c>
      <c r="L3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6">
      <c r="A3706" s="229" t="n">
        <v>46294</v>
      </c>
      <c r="B3706" s="46" t="inlineStr">
        <is>
          <t>정기검사</t>
        </is>
      </c>
      <c r="C3706" s="46" t="inlineStr">
        <is>
          <t>부천지역</t>
        </is>
      </c>
      <c r="D3706" s="46" t="inlineStr">
        <is>
          <t>이도</t>
        </is>
      </c>
      <c r="E3706" s="46" t="n">
        <v>250</v>
      </c>
      <c r="F3706" s="46" t="inlineStr">
        <is>
          <t>심곡동</t>
        </is>
      </c>
      <c r="G3706" s="50" t="n">
        <v>0.3958333333333333</v>
      </c>
      <c r="H3706" s="51" t="n">
        <v>489170</v>
      </c>
      <c r="I3706" s="46" t="inlineStr">
        <is>
          <t>허록종</t>
        </is>
      </c>
      <c r="K3706" s="46" t="n">
        <v>3705</v>
      </c>
      <c r="L3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7">
      <c r="A3707" s="229" t="n">
        <v>46294</v>
      </c>
      <c r="B3707" s="46" t="inlineStr">
        <is>
          <t>정기검사</t>
        </is>
      </c>
      <c r="C3707" s="46" t="inlineStr">
        <is>
          <t>부천지역</t>
        </is>
      </c>
      <c r="D3707" s="46" t="inlineStr">
        <is>
          <t>삼성전자판매</t>
        </is>
      </c>
      <c r="E3707" s="46" t="n">
        <v>500</v>
      </c>
      <c r="F3707" s="46" t="inlineStr">
        <is>
          <t>풍무동</t>
        </is>
      </c>
      <c r="G3707" s="50" t="n">
        <v>0.8541666666666666</v>
      </c>
      <c r="H3707" s="51" t="n">
        <v>958100</v>
      </c>
      <c r="I3707" s="46" t="inlineStr">
        <is>
          <t>허창수</t>
        </is>
      </c>
      <c r="K3707" s="46" t="n">
        <v>3706</v>
      </c>
      <c r="L3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8">
      <c r="A3708" s="229" t="n">
        <v>46294</v>
      </c>
      <c r="B3708" s="46" t="inlineStr">
        <is>
          <t>정기검사</t>
        </is>
      </c>
      <c r="C3708" s="46" t="inlineStr">
        <is>
          <t>김포지역</t>
        </is>
      </c>
      <c r="D3708" s="46" t="inlineStr">
        <is>
          <t>하우스디어반오피스텔</t>
        </is>
      </c>
      <c r="E3708" s="46" t="inlineStr">
        <is>
          <t>1350/400</t>
        </is>
      </c>
      <c r="F3708" s="46" t="inlineStr">
        <is>
          <t>구래동</t>
        </is>
      </c>
      <c r="G3708" s="50" t="n">
        <v>0.3958333333333333</v>
      </c>
      <c r="H3708" s="51" t="n">
        <v>1193280</v>
      </c>
      <c r="I3708" s="46" t="inlineStr">
        <is>
          <t>서수형</t>
        </is>
      </c>
      <c r="K3708" s="46" t="n">
        <v>3707</v>
      </c>
      <c r="L3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9">
      <c r="A3709" s="229" t="n">
        <v>46294</v>
      </c>
      <c r="B3709" s="46" t="inlineStr">
        <is>
          <t>정기검사</t>
        </is>
      </c>
      <c r="C3709" s="46" t="inlineStr">
        <is>
          <t>김포지역</t>
        </is>
      </c>
      <c r="D3709" s="46" t="inlineStr">
        <is>
          <t>세명산업</t>
        </is>
      </c>
      <c r="E3709" s="46" t="n">
        <v>800</v>
      </c>
      <c r="F3709" s="46" t="inlineStr">
        <is>
          <t>옹정리</t>
        </is>
      </c>
      <c r="G3709" s="50" t="n">
        <v>0.5</v>
      </c>
      <c r="H3709" s="51" t="n">
        <v>838640</v>
      </c>
      <c r="I3709" s="46" t="inlineStr">
        <is>
          <t>정신배</t>
        </is>
      </c>
      <c r="K3709" s="46" t="n">
        <v>3708</v>
      </c>
      <c r="L3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0">
      <c r="A3710" s="229" t="n">
        <v>46294</v>
      </c>
      <c r="B3710" s="46" t="inlineStr">
        <is>
          <t>정기검사</t>
        </is>
      </c>
      <c r="C3710" s="46" t="inlineStr">
        <is>
          <t>김포지역</t>
        </is>
      </c>
      <c r="D3710" s="46" t="inlineStr">
        <is>
          <t>재필태양광</t>
        </is>
      </c>
      <c r="E3710" s="46" t="n">
        <v>21</v>
      </c>
      <c r="F3710" s="46" t="inlineStr">
        <is>
          <t>대능리</t>
        </is>
      </c>
      <c r="G3710" s="50" t="n">
        <v>0.4583333333333333</v>
      </c>
      <c r="H3710" s="51" t="n">
        <v>172810</v>
      </c>
      <c r="I3710" s="46" t="inlineStr">
        <is>
          <t>허창수</t>
        </is>
      </c>
      <c r="K3710" s="46" t="n">
        <v>3709</v>
      </c>
      <c r="L3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1">
      <c r="A3711" s="229" t="n">
        <v>46294</v>
      </c>
      <c r="B3711" s="46" t="inlineStr">
        <is>
          <t>정기검사</t>
        </is>
      </c>
      <c r="C3711" s="46" t="inlineStr">
        <is>
          <t>김포지역</t>
        </is>
      </c>
      <c r="D3711" s="46" t="inlineStr">
        <is>
          <t>세일하이테크</t>
        </is>
      </c>
      <c r="E3711" s="46" t="n">
        <v>290</v>
      </c>
      <c r="F3711" s="46" t="inlineStr">
        <is>
          <t>송마리</t>
        </is>
      </c>
      <c r="G3711" s="50" t="n">
        <v>0.4791666666666667</v>
      </c>
      <c r="H3711" s="51" t="n">
        <v>515130</v>
      </c>
      <c r="I3711" s="46" t="inlineStr">
        <is>
          <t>허창수</t>
        </is>
      </c>
      <c r="K3711" s="46" t="n">
        <v>3710</v>
      </c>
      <c r="L3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2">
      <c r="A3712" s="229" t="n">
        <v>46294</v>
      </c>
      <c r="B3712" s="46" t="inlineStr">
        <is>
          <t>정기검사</t>
        </is>
      </c>
      <c r="C3712" s="46" t="inlineStr">
        <is>
          <t>김포지역</t>
        </is>
      </c>
      <c r="D3712" s="46" t="inlineStr">
        <is>
          <t>김포하우스디어반</t>
        </is>
      </c>
      <c r="E3712" s="46" t="inlineStr">
        <is>
          <t>전기차</t>
        </is>
      </c>
      <c r="F3712" s="46" t="inlineStr">
        <is>
          <t>구래동</t>
        </is>
      </c>
      <c r="G3712" s="50" t="n">
        <v>0.4166666666666667</v>
      </c>
      <c r="H3712" s="51" t="n">
        <v>81180</v>
      </c>
      <c r="I3712" s="46" t="inlineStr">
        <is>
          <t>서수형</t>
        </is>
      </c>
      <c r="K3712" s="46" t="n">
        <v>3711</v>
      </c>
      <c r="L3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3">
      <c r="A3713" s="229" t="n">
        <v>46294</v>
      </c>
      <c r="B3713" s="46" t="inlineStr">
        <is>
          <t>정기검사</t>
        </is>
      </c>
      <c r="C3713" s="46" t="inlineStr">
        <is>
          <t>김포지역</t>
        </is>
      </c>
      <c r="D3713" s="46" t="inlineStr">
        <is>
          <t>한강람우미린</t>
        </is>
      </c>
      <c r="E3713" s="46" t="inlineStr">
        <is>
          <t>5500/1250</t>
        </is>
      </c>
      <c r="F3713" s="46" t="inlineStr">
        <is>
          <t>구래동</t>
        </is>
      </c>
      <c r="G3713" s="50" t="n">
        <v>0.4166666666666667</v>
      </c>
      <c r="H3713" s="51" t="n">
        <v>1933910</v>
      </c>
      <c r="I3713" s="46" t="inlineStr">
        <is>
          <t>민재홍</t>
        </is>
      </c>
      <c r="K3713" s="46" t="n">
        <v>3712</v>
      </c>
      <c r="L3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4">
      <c r="A3714" s="229" t="n">
        <v>46294</v>
      </c>
      <c r="B3714" s="46" t="inlineStr">
        <is>
          <t>정기검사</t>
        </is>
      </c>
      <c r="C3714" s="46" t="inlineStr">
        <is>
          <t>김포지역</t>
        </is>
      </c>
      <c r="D3714" s="46" t="inlineStr">
        <is>
          <t>한강우미린</t>
        </is>
      </c>
      <c r="E3714" s="46" t="inlineStr">
        <is>
          <t>전기차</t>
        </is>
      </c>
      <c r="F3714" s="46" t="inlineStr">
        <is>
          <t>구래동</t>
        </is>
      </c>
      <c r="G3714" s="50" t="n"/>
      <c r="H3714" s="51" t="n">
        <v>199760</v>
      </c>
      <c r="I3714" s="46" t="inlineStr">
        <is>
          <t>민재홍</t>
        </is>
      </c>
      <c r="K3714" s="46" t="n">
        <v>3713</v>
      </c>
      <c r="L3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5">
      <c r="A3715" s="229" t="n">
        <v>46294</v>
      </c>
      <c r="B3715" s="46" t="inlineStr">
        <is>
          <t>정기검사</t>
        </is>
      </c>
      <c r="C3715" s="46" t="inlineStr">
        <is>
          <t>김포지역</t>
        </is>
      </c>
      <c r="D3715" s="46" t="inlineStr">
        <is>
          <t>천호캐스팅</t>
        </is>
      </c>
      <c r="E3715" s="46" t="n">
        <v>200</v>
      </c>
      <c r="F3715" s="46" t="inlineStr">
        <is>
          <t>석정리</t>
        </is>
      </c>
      <c r="G3715" s="50" t="n">
        <v>0.5833333333333334</v>
      </c>
      <c r="H3715" s="51" t="n">
        <v>456720</v>
      </c>
      <c r="I3715" s="46" t="inlineStr">
        <is>
          <t>정성관</t>
        </is>
      </c>
      <c r="K3715" s="46" t="n">
        <v>3714</v>
      </c>
      <c r="L3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6">
      <c r="A3716" s="229" t="n">
        <v>46294</v>
      </c>
      <c r="B3716" s="46" t="inlineStr">
        <is>
          <t>정기검사</t>
        </is>
      </c>
      <c r="C3716" s="46" t="inlineStr">
        <is>
          <t>김포지역</t>
        </is>
      </c>
      <c r="D3716" s="46" t="inlineStr">
        <is>
          <t>현대힐스테이트</t>
        </is>
      </c>
      <c r="E3716" s="46" t="inlineStr">
        <is>
          <t>전기차</t>
        </is>
      </c>
      <c r="F3716" s="46" t="inlineStr">
        <is>
          <t>고촌</t>
        </is>
      </c>
      <c r="G3716" s="50" t="n">
        <v>0.375</v>
      </c>
      <c r="H3716" s="51" t="n">
        <v>711700</v>
      </c>
      <c r="I3716" s="46" t="inlineStr">
        <is>
          <t>정신배</t>
        </is>
      </c>
      <c r="K3716" s="46" t="n">
        <v>3715</v>
      </c>
      <c r="L3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7">
      <c r="A3717" s="229" t="n">
        <v>46294</v>
      </c>
      <c r="B3717" s="46" t="inlineStr">
        <is>
          <t>정기검사</t>
        </is>
      </c>
      <c r="C3717" s="46" t="inlineStr">
        <is>
          <t>김포지역</t>
        </is>
      </c>
      <c r="D3717" s="46" t="inlineStr">
        <is>
          <t>불카누스</t>
        </is>
      </c>
      <c r="E3717" s="46" t="n">
        <v>600</v>
      </c>
      <c r="F3717" s="46" t="inlineStr">
        <is>
          <t>학운리</t>
        </is>
      </c>
      <c r="G3717" s="50" t="n">
        <v>0.5625</v>
      </c>
      <c r="H3717" s="51" t="n">
        <v>770880</v>
      </c>
      <c r="I3717" s="46" t="inlineStr">
        <is>
          <t>김영권</t>
        </is>
      </c>
      <c r="K3717" s="46" t="n">
        <v>3716</v>
      </c>
      <c r="L3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8">
      <c r="A3718" s="229" t="n">
        <v>46294</v>
      </c>
      <c r="B3718" s="46" t="inlineStr">
        <is>
          <t>사용전검사</t>
        </is>
      </c>
      <c r="C3718" s="46" t="inlineStr">
        <is>
          <t>부천지역</t>
        </is>
      </c>
      <c r="D3718" s="46" t="inlineStr">
        <is>
          <t>진행0</t>
        </is>
      </c>
      <c r="E3718" s="46" t="inlineStr">
        <is>
          <t>부분</t>
        </is>
      </c>
      <c r="F3718" s="46" t="n"/>
      <c r="G3718" s="50" t="n"/>
      <c r="H3718" s="51" t="n"/>
      <c r="I3718" s="46" t="inlineStr">
        <is>
          <t>이덕기</t>
        </is>
      </c>
      <c r="K3718" s="46" t="n">
        <v>3717</v>
      </c>
      <c r="L3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9">
      <c r="A3719" s="229" t="n">
        <v>46294</v>
      </c>
      <c r="B3719" s="46" t="inlineStr">
        <is>
          <t>메모</t>
        </is>
      </c>
      <c r="C3719" s="46" t="inlineStr">
        <is>
          <t>부천지역</t>
        </is>
      </c>
      <c r="D3719" s="46" t="inlineStr">
        <is>
          <t>당효진휴가</t>
        </is>
      </c>
      <c r="E3719" s="46" t="inlineStr">
        <is>
          <t>허록종-송낙명</t>
        </is>
      </c>
      <c r="F3719" s="46" t="n"/>
      <c r="G3719" s="50" t="n"/>
      <c r="H3719" s="51" t="n"/>
      <c r="I3719" s="46" t="n"/>
      <c r="K3719" s="46" t="n">
        <v>3718</v>
      </c>
      <c r="L3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0">
      <c r="A3720" s="229" t="n">
        <v>46294</v>
      </c>
      <c r="B3720" s="46" t="inlineStr">
        <is>
          <t>메모</t>
        </is>
      </c>
      <c r="C3720" s="46" t="inlineStr">
        <is>
          <t>부천지역</t>
        </is>
      </c>
      <c r="D3720" s="46" t="inlineStr">
        <is>
          <t>한태희휴가</t>
        </is>
      </c>
      <c r="E3720" s="46" t="n"/>
      <c r="F3720" s="46" t="n"/>
      <c r="G3720" s="50" t="n"/>
      <c r="H3720" s="51" t="n"/>
      <c r="I3720" s="46" t="n"/>
      <c r="K3720" s="46" t="n">
        <v>3719</v>
      </c>
      <c r="L3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1">
      <c r="A3721" s="229" t="n">
        <v>46295</v>
      </c>
      <c r="B3721" s="46" t="inlineStr">
        <is>
          <t>정기검사</t>
        </is>
      </c>
      <c r="C3721" s="46" t="inlineStr">
        <is>
          <t>부천지역</t>
        </is>
      </c>
      <c r="D3721" s="46" t="inlineStr">
        <is>
          <t>라투스</t>
        </is>
      </c>
      <c r="E3721" s="46" t="n">
        <v>290</v>
      </c>
      <c r="F3721" s="46" t="inlineStr">
        <is>
          <t>삼정동</t>
        </is>
      </c>
      <c r="G3721" s="50" t="n">
        <v>0.5</v>
      </c>
      <c r="H3721" s="51" t="n">
        <v>515130</v>
      </c>
      <c r="I3721" s="46" t="inlineStr">
        <is>
          <t>정신배</t>
        </is>
      </c>
      <c r="K3721" s="46" t="n">
        <v>3720</v>
      </c>
      <c r="L3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2">
      <c r="A3722" s="229" t="n">
        <v>46295</v>
      </c>
      <c r="B3722" s="46" t="inlineStr">
        <is>
          <t>정기검사</t>
        </is>
      </c>
      <c r="C3722" s="46" t="inlineStr">
        <is>
          <t>부천지역</t>
        </is>
      </c>
      <c r="D3722" s="46" t="inlineStr">
        <is>
          <t>우성정밀</t>
        </is>
      </c>
      <c r="E3722" s="46" t="n">
        <v>150</v>
      </c>
      <c r="F3722" s="46" t="inlineStr">
        <is>
          <t>도당동</t>
        </is>
      </c>
      <c r="G3722" s="50" t="n">
        <v>0.3958333333333333</v>
      </c>
      <c r="H3722" s="51" t="n">
        <v>424160</v>
      </c>
      <c r="I3722" s="46" t="inlineStr">
        <is>
          <t>변종국</t>
        </is>
      </c>
      <c r="K3722" s="46" t="n">
        <v>3721</v>
      </c>
      <c r="L3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3">
      <c r="A3723" s="229" t="n">
        <v>46295</v>
      </c>
      <c r="B3723" s="46" t="inlineStr">
        <is>
          <t>정기검사</t>
        </is>
      </c>
      <c r="C3723" s="46" t="inlineStr">
        <is>
          <t>부천지역</t>
        </is>
      </c>
      <c r="D3723" s="46" t="inlineStr">
        <is>
          <t>행송파크뷰</t>
        </is>
      </c>
      <c r="E3723" s="46" t="inlineStr">
        <is>
          <t>전기차</t>
        </is>
      </c>
      <c r="F3723" s="46" t="inlineStr">
        <is>
          <t>소사동</t>
        </is>
      </c>
      <c r="G3723" s="50" t="n">
        <v>0.4375</v>
      </c>
      <c r="H3723" s="51" t="n">
        <v>81180</v>
      </c>
      <c r="I3723" s="46" t="inlineStr">
        <is>
          <t>이종석</t>
        </is>
      </c>
      <c r="K3723" s="46" t="n">
        <v>3722</v>
      </c>
      <c r="L3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4">
      <c r="A3724" s="229" t="n">
        <v>46295</v>
      </c>
      <c r="B3724" s="46" t="inlineStr">
        <is>
          <t>정기검사</t>
        </is>
      </c>
      <c r="C3724" s="46" t="inlineStr">
        <is>
          <t>부천지역</t>
        </is>
      </c>
      <c r="D3724" s="46" t="inlineStr">
        <is>
          <t>해송파크뷰</t>
        </is>
      </c>
      <c r="E3724" s="46" t="inlineStr">
        <is>
          <t>전기차</t>
        </is>
      </c>
      <c r="F3724" s="46" t="n"/>
      <c r="G3724" s="50" t="n"/>
      <c r="H3724" s="51" t="n">
        <v>55770</v>
      </c>
      <c r="I3724" s="46" t="inlineStr">
        <is>
          <t>이종석</t>
        </is>
      </c>
      <c r="K3724" s="46" t="n">
        <v>3723</v>
      </c>
      <c r="L3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5">
      <c r="A3725" s="229" t="n">
        <v>46295</v>
      </c>
      <c r="B3725" s="46" t="inlineStr">
        <is>
          <t>정기검사</t>
        </is>
      </c>
      <c r="C3725" s="46" t="inlineStr">
        <is>
          <t>부천지역</t>
        </is>
      </c>
      <c r="D3725" s="46" t="inlineStr">
        <is>
          <t>해송파크뷰</t>
        </is>
      </c>
      <c r="E3725" s="46" t="inlineStr">
        <is>
          <t>950/364</t>
        </is>
      </c>
      <c r="F3725" s="46" t="inlineStr">
        <is>
          <t>소사동</t>
        </is>
      </c>
      <c r="G3725" s="50" t="n">
        <v>0.4375</v>
      </c>
      <c r="H3725" s="51" t="n">
        <v>1117380</v>
      </c>
      <c r="I3725" s="46" t="inlineStr">
        <is>
          <t>이종석</t>
        </is>
      </c>
      <c r="K3725" s="46" t="n">
        <v>3724</v>
      </c>
      <c r="L3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6">
      <c r="A3726" s="229" t="n">
        <v>46295</v>
      </c>
      <c r="B3726" s="46" t="inlineStr">
        <is>
          <t>정기검사</t>
        </is>
      </c>
      <c r="C3726" s="46" t="inlineStr">
        <is>
          <t>부천지역</t>
        </is>
      </c>
      <c r="D3726" s="46" t="inlineStr">
        <is>
          <t>소명여자중학교</t>
        </is>
      </c>
      <c r="E3726" s="46" t="inlineStr">
        <is>
          <t>전기차</t>
        </is>
      </c>
      <c r="F3726" s="46" t="inlineStr">
        <is>
          <t>소사동</t>
        </is>
      </c>
      <c r="G3726" s="50" t="n">
        <v>0.3958333333333333</v>
      </c>
      <c r="H3726" s="51" t="n">
        <v>81180</v>
      </c>
      <c r="I3726" s="46" t="inlineStr">
        <is>
          <t>송낙명</t>
        </is>
      </c>
      <c r="K3726" s="46" t="n">
        <v>3725</v>
      </c>
      <c r="L3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7">
      <c r="A3727" s="229" t="n">
        <v>46295</v>
      </c>
      <c r="B3727" s="46" t="inlineStr">
        <is>
          <t>정기검사</t>
        </is>
      </c>
      <c r="C3727" s="46" t="inlineStr">
        <is>
          <t>김포지역</t>
        </is>
      </c>
      <c r="D3727" s="46" t="inlineStr">
        <is>
          <t>전오</t>
        </is>
      </c>
      <c r="E3727" s="46" t="n">
        <v>900</v>
      </c>
      <c r="F3727" s="46" t="inlineStr">
        <is>
          <t>귀전리</t>
        </is>
      </c>
      <c r="G3727" s="50" t="n">
        <v>0.5625</v>
      </c>
      <c r="H3727" s="51" t="n">
        <v>872520</v>
      </c>
      <c r="I3727" s="46" t="inlineStr">
        <is>
          <t>김영권</t>
        </is>
      </c>
      <c r="K3727" s="46" t="n">
        <v>3726</v>
      </c>
      <c r="L3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8">
      <c r="A3728" s="229" t="n">
        <v>46295</v>
      </c>
      <c r="B3728" s="46" t="inlineStr">
        <is>
          <t>정기검사</t>
        </is>
      </c>
      <c r="C3728" s="46" t="inlineStr">
        <is>
          <t>김포지역</t>
        </is>
      </c>
      <c r="D3728" s="46" t="inlineStr">
        <is>
          <t>김포마송lh</t>
        </is>
      </c>
      <c r="E3728" s="46" t="inlineStr">
        <is>
          <t>1100/450</t>
        </is>
      </c>
      <c r="F3728" s="46" t="inlineStr">
        <is>
          <t>마송리</t>
        </is>
      </c>
      <c r="G3728" s="50" t="n">
        <v>0.4166666666666667</v>
      </c>
      <c r="H3728" s="51" t="n">
        <v>1167430</v>
      </c>
      <c r="I3728" s="46" t="inlineStr">
        <is>
          <t>한태희</t>
        </is>
      </c>
      <c r="K3728" s="46" t="n">
        <v>3727</v>
      </c>
      <c r="L3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9">
      <c r="A3729" s="229" t="n">
        <v>46295</v>
      </c>
      <c r="B3729" s="46" t="inlineStr">
        <is>
          <t>정기검사</t>
        </is>
      </c>
      <c r="C3729" s="46" t="inlineStr">
        <is>
          <t>김포지역</t>
        </is>
      </c>
      <c r="D3729" s="46" t="inlineStr">
        <is>
          <t>김포마송lh</t>
        </is>
      </c>
      <c r="E3729" s="46" t="inlineStr">
        <is>
          <t>전기차</t>
        </is>
      </c>
      <c r="F3729" s="46" t="inlineStr">
        <is>
          <t>마송리</t>
        </is>
      </c>
      <c r="G3729" s="50" t="n">
        <v>0.4166666666666667</v>
      </c>
      <c r="H3729" s="51" t="n">
        <v>191290</v>
      </c>
      <c r="I3729" s="46" t="inlineStr">
        <is>
          <t>한태희</t>
        </is>
      </c>
      <c r="K3729" s="46" t="n">
        <v>3728</v>
      </c>
      <c r="L3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0">
      <c r="A3730" s="229" t="n">
        <v>46295</v>
      </c>
      <c r="B3730" s="46" t="inlineStr">
        <is>
          <t>정기검사</t>
        </is>
      </c>
      <c r="C3730" s="46" t="inlineStr">
        <is>
          <t>김포지역</t>
        </is>
      </c>
      <c r="D3730" s="46" t="inlineStr">
        <is>
          <t>예미지오피스텔</t>
        </is>
      </c>
      <c r="E3730" s="46" t="inlineStr">
        <is>
          <t>900/600</t>
        </is>
      </c>
      <c r="F3730" s="46" t="inlineStr">
        <is>
          <t>구래동</t>
        </is>
      </c>
      <c r="G3730" s="50" t="n">
        <v>0.4166666666666667</v>
      </c>
      <c r="H3730" s="51" t="n">
        <v>1158410</v>
      </c>
      <c r="I3730" s="46" t="inlineStr">
        <is>
          <t>허록종</t>
        </is>
      </c>
      <c r="K3730" s="46" t="n">
        <v>3729</v>
      </c>
      <c r="L3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1">
      <c r="A3731" s="229" t="n">
        <v>46295</v>
      </c>
      <c r="B3731" s="46" t="inlineStr">
        <is>
          <t>정기검사</t>
        </is>
      </c>
      <c r="C3731" s="46" t="inlineStr">
        <is>
          <t>김포지역</t>
        </is>
      </c>
      <c r="D3731" s="46" t="inlineStr">
        <is>
          <t>김포농협</t>
        </is>
      </c>
      <c r="E3731" s="46" t="inlineStr">
        <is>
          <t>2000/390</t>
        </is>
      </c>
      <c r="F3731" s="46" t="inlineStr">
        <is>
          <t>걸포동</t>
        </is>
      </c>
      <c r="G3731" s="50" t="n">
        <v>0.25</v>
      </c>
      <c r="H3731" s="51" t="n">
        <v>1897610</v>
      </c>
      <c r="I3731" s="46" t="inlineStr">
        <is>
          <t>이덕기</t>
        </is>
      </c>
      <c r="K3731" s="46" t="n">
        <v>3730</v>
      </c>
      <c r="L3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2">
      <c r="A3732" s="229" t="n">
        <v>46295</v>
      </c>
      <c r="B3732" s="46" t="inlineStr">
        <is>
          <t>정기검사</t>
        </is>
      </c>
      <c r="C3732" s="46" t="inlineStr">
        <is>
          <t>김포지역</t>
        </is>
      </c>
      <c r="D3732" s="46" t="inlineStr">
        <is>
          <t>늘푸른</t>
        </is>
      </c>
      <c r="E3732" s="46" t="inlineStr">
        <is>
          <t>700/250</t>
        </is>
      </c>
      <c r="F3732" s="46" t="inlineStr">
        <is>
          <t>장기동</t>
        </is>
      </c>
      <c r="G3732" s="50" t="n">
        <v>0.3958333333333333</v>
      </c>
      <c r="H3732" s="51" t="n">
        <v>1015300</v>
      </c>
      <c r="I3732" s="46" t="inlineStr">
        <is>
          <t>옹승완</t>
        </is>
      </c>
      <c r="K3732" s="46" t="n">
        <v>3731</v>
      </c>
      <c r="L3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3">
      <c r="A3733" s="229" t="n">
        <v>46295</v>
      </c>
      <c r="B3733" s="46" t="inlineStr">
        <is>
          <t>사용전검사</t>
        </is>
      </c>
      <c r="C3733" s="46" t="inlineStr">
        <is>
          <t>부천지역</t>
        </is>
      </c>
      <c r="D3733" s="46" t="inlineStr">
        <is>
          <t>굴포천비점오염</t>
        </is>
      </c>
      <c r="E3733" s="46" t="n">
        <v>1800</v>
      </c>
      <c r="F3733" s="46" t="inlineStr">
        <is>
          <t>중동</t>
        </is>
      </c>
      <c r="G3733" s="50" t="n"/>
      <c r="H3733" s="51" t="n"/>
      <c r="I3733" s="46" t="inlineStr">
        <is>
          <t>허창수</t>
        </is>
      </c>
      <c r="K3733" s="46" t="n">
        <v>3732</v>
      </c>
      <c r="L3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4">
      <c r="A3734" s="229" t="n">
        <v>46295</v>
      </c>
      <c r="B3734" s="46" t="inlineStr">
        <is>
          <t>사용전검사</t>
        </is>
      </c>
      <c r="C3734" s="46" t="inlineStr">
        <is>
          <t>김포지역</t>
        </is>
      </c>
      <c r="D3734" s="46" t="inlineStr">
        <is>
          <t>삼신금속</t>
        </is>
      </c>
      <c r="E3734" s="46" t="n">
        <v>2000</v>
      </c>
      <c r="F3734" s="46" t="inlineStr">
        <is>
          <t>약암리</t>
        </is>
      </c>
      <c r="G3734" s="50" t="n"/>
      <c r="H3734" s="51" t="n"/>
      <c r="I3734" s="46" t="inlineStr">
        <is>
          <t>서수형</t>
        </is>
      </c>
      <c r="K3734" s="46" t="n">
        <v>3733</v>
      </c>
      <c r="L3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5">
      <c r="A3735" s="229" t="n">
        <v>46295</v>
      </c>
      <c r="B3735" s="46" t="inlineStr">
        <is>
          <t>사용전검사</t>
        </is>
      </c>
      <c r="C3735" s="46" t="inlineStr">
        <is>
          <t>김포지역</t>
        </is>
      </c>
      <c r="D3735" s="46" t="inlineStr">
        <is>
          <t>동현기공</t>
        </is>
      </c>
      <c r="E3735" s="46" t="n">
        <v>208</v>
      </c>
      <c r="F3735" s="46" t="inlineStr">
        <is>
          <t>석정리</t>
        </is>
      </c>
      <c r="G3735" s="50" t="n"/>
      <c r="H3735" s="51" t="n"/>
      <c r="I3735" s="46" t="inlineStr">
        <is>
          <t>허창수</t>
        </is>
      </c>
      <c r="K3735" s="46" t="n">
        <v>3734</v>
      </c>
      <c r="L3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6">
      <c r="A3736" s="229" t="n">
        <v>46295</v>
      </c>
      <c r="B3736" s="46" t="inlineStr">
        <is>
          <t>사용전검사</t>
        </is>
      </c>
      <c r="C3736" s="46" t="inlineStr">
        <is>
          <t>김포지역</t>
        </is>
      </c>
      <c r="D3736" s="46" t="inlineStr">
        <is>
          <t>신화하성태양광</t>
        </is>
      </c>
      <c r="E3736" s="46" t="n">
        <v>123</v>
      </c>
      <c r="F3736" s="46" t="inlineStr">
        <is>
          <t>마조리</t>
        </is>
      </c>
      <c r="G3736" s="50" t="n"/>
      <c r="H3736" s="51" t="n"/>
      <c r="I3736" s="46" t="inlineStr">
        <is>
          <t>민재홍</t>
        </is>
      </c>
      <c r="K3736" s="46" t="n">
        <v>3735</v>
      </c>
      <c r="L3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7">
      <c r="A3737" s="229" t="n">
        <v>46295</v>
      </c>
      <c r="B3737" s="46" t="inlineStr">
        <is>
          <t>사용전검사</t>
        </is>
      </c>
      <c r="C3737" s="46" t="inlineStr">
        <is>
          <t>김포지역</t>
        </is>
      </c>
      <c r="D3737" s="46" t="inlineStr">
        <is>
          <t>포내2리</t>
        </is>
      </c>
      <c r="E3737" s="46" t="n">
        <v>12</v>
      </c>
      <c r="F3737" s="46" t="inlineStr">
        <is>
          <t>포내리</t>
        </is>
      </c>
      <c r="G3737" s="50" t="n"/>
      <c r="H3737" s="51" t="n"/>
      <c r="I3737" s="46" t="inlineStr">
        <is>
          <t>옹승완</t>
        </is>
      </c>
      <c r="K3737" s="46" t="n">
        <v>3736</v>
      </c>
      <c r="L3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8">
      <c r="A3738" s="229" t="n">
        <v>46295</v>
      </c>
      <c r="B3738" s="46" t="inlineStr">
        <is>
          <t>사용전검사</t>
        </is>
      </c>
      <c r="C3738" s="46" t="inlineStr">
        <is>
          <t>김포지역</t>
        </is>
      </c>
      <c r="D3738" s="46" t="inlineStr">
        <is>
          <t>에스에이치</t>
        </is>
      </c>
      <c r="E3738" s="46" t="n">
        <v>170</v>
      </c>
      <c r="F3738" s="46" t="inlineStr">
        <is>
          <t>학운리</t>
        </is>
      </c>
      <c r="G3738" s="50" t="n"/>
      <c r="H3738" s="51" t="n"/>
      <c r="I3738" s="46" t="inlineStr">
        <is>
          <t>당효진</t>
        </is>
      </c>
      <c r="K3738" s="46" t="n">
        <v>3737</v>
      </c>
      <c r="L3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9">
      <c r="A3739" s="229" t="n">
        <v>46296</v>
      </c>
      <c r="B3739" s="46" t="inlineStr">
        <is>
          <t>정기검사</t>
        </is>
      </c>
      <c r="C3739" s="46" t="inlineStr">
        <is>
          <t>부천지역</t>
        </is>
      </c>
      <c r="D3739" s="46" t="inlineStr">
        <is>
          <t>승재밀니엄</t>
        </is>
      </c>
      <c r="E3739" s="46" t="inlineStr">
        <is>
          <t>750/235</t>
        </is>
      </c>
      <c r="F3739" s="46" t="inlineStr">
        <is>
          <t>상동</t>
        </is>
      </c>
      <c r="G3739" s="50" t="n">
        <v>0.3958333333333333</v>
      </c>
      <c r="H3739" s="51" t="n">
        <v>1100550</v>
      </c>
      <c r="I3739" s="46" t="inlineStr">
        <is>
          <t>정성관</t>
        </is>
      </c>
      <c r="K3739" s="46" t="n">
        <v>3738</v>
      </c>
      <c r="L3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0">
      <c r="A3740" s="229" t="n">
        <v>46296</v>
      </c>
      <c r="B3740" s="46" t="inlineStr">
        <is>
          <t>정기검사</t>
        </is>
      </c>
      <c r="C3740" s="46" t="inlineStr">
        <is>
          <t>부천지역</t>
        </is>
      </c>
      <c r="D3740" s="46" t="inlineStr">
        <is>
          <t>서문교회</t>
        </is>
      </c>
      <c r="E3740" s="46" t="n">
        <v>400</v>
      </c>
      <c r="F3740" s="46" t="inlineStr">
        <is>
          <t>상동</t>
        </is>
      </c>
      <c r="G3740" s="50" t="n">
        <v>0.5833333333333334</v>
      </c>
      <c r="H3740" s="51" t="n">
        <v>703120</v>
      </c>
      <c r="I3740" s="46" t="inlineStr">
        <is>
          <t>정신배</t>
        </is>
      </c>
      <c r="K3740" s="46" t="n">
        <v>3739</v>
      </c>
      <c r="L3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1">
      <c r="A3741" s="229" t="n">
        <v>46296</v>
      </c>
      <c r="B3741" s="46" t="inlineStr">
        <is>
          <t>정기검사</t>
        </is>
      </c>
      <c r="C3741" s="46" t="inlineStr">
        <is>
          <t>부천지역</t>
        </is>
      </c>
      <c r="D3741" s="46" t="inlineStr">
        <is>
          <t>미성주상복합</t>
        </is>
      </c>
      <c r="E3741" s="46" t="n">
        <v>500</v>
      </c>
      <c r="F3741" s="46" t="inlineStr">
        <is>
          <t>소사동</t>
        </is>
      </c>
      <c r="G3741" s="50" t="n">
        <v>0.3958333333333333</v>
      </c>
      <c r="H3741" s="51" t="n">
        <v>737000</v>
      </c>
      <c r="I3741" s="46" t="inlineStr">
        <is>
          <t>송낙명</t>
        </is>
      </c>
      <c r="K3741" s="46" t="n">
        <v>3740</v>
      </c>
      <c r="L3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2">
      <c r="A3742" s="229" t="n">
        <v>46296</v>
      </c>
      <c r="B3742" s="46" t="inlineStr">
        <is>
          <t>정기검사</t>
        </is>
      </c>
      <c r="C3742" s="46" t="inlineStr">
        <is>
          <t>김포지역</t>
        </is>
      </c>
      <c r="D3742" s="46" t="inlineStr">
        <is>
          <t>하이톤가구</t>
        </is>
      </c>
      <c r="E3742" s="46" t="n">
        <v>250</v>
      </c>
      <c r="F3742" s="46" t="inlineStr">
        <is>
          <t>마송리</t>
        </is>
      </c>
      <c r="G3742" s="50" t="n">
        <v>0.4791666666666667</v>
      </c>
      <c r="H3742" s="51" t="n">
        <v>489170</v>
      </c>
      <c r="I3742" s="46" t="inlineStr">
        <is>
          <t>서수형</t>
        </is>
      </c>
      <c r="K3742" s="46" t="n">
        <v>3741</v>
      </c>
      <c r="L3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3">
      <c r="A3743" s="229" t="n">
        <v>46296</v>
      </c>
      <c r="B3743" s="46" t="inlineStr">
        <is>
          <t>정기검사</t>
        </is>
      </c>
      <c r="C3743" s="46" t="inlineStr">
        <is>
          <t>김포지역</t>
        </is>
      </c>
      <c r="D3743" s="46" t="inlineStr">
        <is>
          <t>청원프라자</t>
        </is>
      </c>
      <c r="E3743" s="46" t="inlineStr">
        <is>
          <t>500/68</t>
        </is>
      </c>
      <c r="F3743" s="46" t="inlineStr">
        <is>
          <t>사우동</t>
        </is>
      </c>
      <c r="G3743" s="50" t="n">
        <v>0.3958333333333333</v>
      </c>
      <c r="H3743" s="51" t="n">
        <v>893640</v>
      </c>
      <c r="I3743" s="46" t="inlineStr">
        <is>
          <t>옹승완</t>
        </is>
      </c>
      <c r="K3743" s="46" t="n">
        <v>3742</v>
      </c>
      <c r="L3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4">
      <c r="A3744" s="229" t="n">
        <v>46296</v>
      </c>
      <c r="B3744" s="46" t="inlineStr">
        <is>
          <t>정기검사</t>
        </is>
      </c>
      <c r="C3744" s="46" t="inlineStr">
        <is>
          <t>김포지역</t>
        </is>
      </c>
      <c r="D3744" s="46" t="inlineStr">
        <is>
          <t>경일화학</t>
        </is>
      </c>
      <c r="E3744" s="46" t="n">
        <v>490</v>
      </c>
      <c r="F3744" s="46" t="inlineStr">
        <is>
          <t>송마리</t>
        </is>
      </c>
      <c r="G3744" s="50" t="n">
        <v>0.3958333333333333</v>
      </c>
      <c r="H3744" s="51" t="n">
        <v>733590</v>
      </c>
      <c r="I3744" s="46" t="inlineStr">
        <is>
          <t>변종국</t>
        </is>
      </c>
      <c r="K3744" s="46" t="n">
        <v>3743</v>
      </c>
      <c r="L3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5">
      <c r="A3745" s="229" t="n">
        <v>46296</v>
      </c>
      <c r="B3745" s="46" t="inlineStr">
        <is>
          <t>정기검사</t>
        </is>
      </c>
      <c r="C3745" s="46" t="inlineStr">
        <is>
          <t>김포지역</t>
        </is>
      </c>
      <c r="D3745" s="46" t="inlineStr">
        <is>
          <t>셔경금속</t>
        </is>
      </c>
      <c r="E3745" s="46" t="n">
        <v>250</v>
      </c>
      <c r="F3745" s="46" t="inlineStr">
        <is>
          <t>학운리</t>
        </is>
      </c>
      <c r="G3745" s="50" t="n">
        <v>0.4583333333333333</v>
      </c>
      <c r="H3745" s="51" t="n">
        <v>489170</v>
      </c>
      <c r="I3745" s="46" t="inlineStr">
        <is>
          <t>이덕기</t>
        </is>
      </c>
      <c r="K3745" s="46" t="n">
        <v>3744</v>
      </c>
      <c r="L3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6">
      <c r="A3746" s="229" t="n">
        <v>46296</v>
      </c>
      <c r="B3746" s="46" t="inlineStr">
        <is>
          <t>정기검사</t>
        </is>
      </c>
      <c r="C3746" s="46" t="inlineStr">
        <is>
          <t>김포지역</t>
        </is>
      </c>
      <c r="D3746" s="46" t="inlineStr">
        <is>
          <t>한국나이스</t>
        </is>
      </c>
      <c r="E3746" s="46" t="n">
        <v>700</v>
      </c>
      <c r="F3746" s="46" t="inlineStr">
        <is>
          <t>고양리</t>
        </is>
      </c>
      <c r="G3746" s="50" t="n">
        <v>0.4583333333333333</v>
      </c>
      <c r="H3746" s="51" t="n">
        <v>804760</v>
      </c>
      <c r="I3746" s="46" t="inlineStr">
        <is>
          <t>허록종</t>
        </is>
      </c>
      <c r="K3746" s="46" t="n">
        <v>3745</v>
      </c>
      <c r="L3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7">
      <c r="A3747" s="229" t="n">
        <v>46296</v>
      </c>
      <c r="B3747" s="46" t="inlineStr">
        <is>
          <t>사용전검사</t>
        </is>
      </c>
      <c r="C3747" s="46" t="inlineStr">
        <is>
          <t>부천지역</t>
        </is>
      </c>
      <c r="D3747" s="46" t="inlineStr">
        <is>
          <t>러키비키</t>
        </is>
      </c>
      <c r="E3747" s="46" t="n">
        <v>15</v>
      </c>
      <c r="F3747" s="46" t="inlineStr">
        <is>
          <t>역곡</t>
        </is>
      </c>
      <c r="G3747" s="50" t="n"/>
      <c r="H3747" s="51" t="n"/>
      <c r="I3747" s="46" t="inlineStr">
        <is>
          <t>정신배</t>
        </is>
      </c>
      <c r="K3747" s="46" t="n">
        <v>3746</v>
      </c>
      <c r="L3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8">
      <c r="A3748" s="229" t="n">
        <v>46296</v>
      </c>
      <c r="B3748" s="46" t="inlineStr">
        <is>
          <t>사용전검사</t>
        </is>
      </c>
      <c r="C3748" s="46" t="inlineStr">
        <is>
          <t>부천지역</t>
        </is>
      </c>
      <c r="D3748" s="46" t="inlineStr">
        <is>
          <t>중동한라마을</t>
        </is>
      </c>
      <c r="E3748" s="46" t="n">
        <v>5</v>
      </c>
      <c r="F3748" s="46" t="inlineStr">
        <is>
          <t>중동</t>
        </is>
      </c>
      <c r="G3748" s="50" t="n"/>
      <c r="H3748" s="51" t="n"/>
      <c r="I3748" s="46" t="inlineStr">
        <is>
          <t>한태희</t>
        </is>
      </c>
      <c r="K3748" s="46" t="n">
        <v>3747</v>
      </c>
      <c r="L3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9">
      <c r="A3749" s="229" t="n">
        <v>46296</v>
      </c>
      <c r="B3749" s="46" t="inlineStr">
        <is>
          <t>메모</t>
        </is>
      </c>
      <c r="C3749" s="46" t="inlineStr">
        <is>
          <t>부천지역</t>
        </is>
      </c>
      <c r="D3749" s="46" t="inlineStr">
        <is>
          <t>김영권건강</t>
        </is>
      </c>
      <c r="E3749" s="46" t="n"/>
      <c r="F3749" s="46" t="n"/>
      <c r="G3749" s="50" t="n"/>
      <c r="H3749" s="51" t="n"/>
      <c r="I3749" s="46" t="n"/>
      <c r="K3749" s="46" t="n">
        <v>3748</v>
      </c>
      <c r="L3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0">
      <c r="A3750" s="229" t="n">
        <v>46296</v>
      </c>
      <c r="B3750" s="46" t="inlineStr">
        <is>
          <t>사용전검사</t>
        </is>
      </c>
      <c r="C3750" s="46" t="inlineStr">
        <is>
          <t>김포지역</t>
        </is>
      </c>
      <c r="D3750" s="46" t="inlineStr">
        <is>
          <t>현성태양광</t>
        </is>
      </c>
      <c r="E3750" s="46" t="n">
        <v>45</v>
      </c>
      <c r="F3750" s="46" t="inlineStr">
        <is>
          <t>가현리</t>
        </is>
      </c>
      <c r="G3750" s="50" t="n"/>
      <c r="H3750" s="51" t="n"/>
      <c r="I3750" s="46" t="inlineStr">
        <is>
          <t>당효진</t>
        </is>
      </c>
      <c r="K3750" s="46" t="n">
        <v>3749</v>
      </c>
      <c r="L3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1">
      <c r="A3751" s="229" t="n">
        <v>46296</v>
      </c>
      <c r="B3751" s="46" t="inlineStr">
        <is>
          <t>사용전검사</t>
        </is>
      </c>
      <c r="C3751" s="46" t="inlineStr">
        <is>
          <t>김포지역</t>
        </is>
      </c>
      <c r="D3751" s="46" t="inlineStr">
        <is>
          <t>뉴플로우</t>
        </is>
      </c>
      <c r="E3751" s="46" t="n">
        <v>120</v>
      </c>
      <c r="F3751" s="46" t="inlineStr">
        <is>
          <t>율생리</t>
        </is>
      </c>
      <c r="G3751" s="50" t="n"/>
      <c r="H3751" s="51" t="n"/>
      <c r="I3751" s="46" t="inlineStr">
        <is>
          <t>민재홍</t>
        </is>
      </c>
      <c r="K3751" s="46" t="n">
        <v>3750</v>
      </c>
      <c r="L3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2">
      <c r="A3752" s="229" t="n">
        <v>46296</v>
      </c>
      <c r="B3752" s="46" t="inlineStr">
        <is>
          <t>사용전검사</t>
        </is>
      </c>
      <c r="C3752" s="46" t="inlineStr">
        <is>
          <t>김포지역</t>
        </is>
      </c>
      <c r="D3752" s="46" t="inlineStr">
        <is>
          <t>이부환태양광</t>
        </is>
      </c>
      <c r="E3752" s="46" t="n">
        <v>120</v>
      </c>
      <c r="F3752" s="46" t="inlineStr">
        <is>
          <t>율생리</t>
        </is>
      </c>
      <c r="G3752" s="50" t="n"/>
      <c r="H3752" s="51" t="n"/>
      <c r="I3752" s="46" t="inlineStr">
        <is>
          <t>민재홍</t>
        </is>
      </c>
      <c r="K3752" s="46" t="n">
        <v>3751</v>
      </c>
      <c r="L3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3">
      <c r="A3753" s="229" t="n">
        <v>46296</v>
      </c>
      <c r="B3753" s="46" t="inlineStr">
        <is>
          <t>사용전검사</t>
        </is>
      </c>
      <c r="C3753" s="46" t="inlineStr">
        <is>
          <t>김포지역</t>
        </is>
      </c>
      <c r="D3753" s="46" t="inlineStr">
        <is>
          <t>해오름</t>
        </is>
      </c>
      <c r="E3753" s="46" t="n">
        <v>120</v>
      </c>
      <c r="F3753" s="46" t="inlineStr">
        <is>
          <t>상마리</t>
        </is>
      </c>
      <c r="G3753" s="50" t="n"/>
      <c r="H3753" s="51" t="n"/>
      <c r="I3753" s="46" t="inlineStr">
        <is>
          <t>이종석</t>
        </is>
      </c>
      <c r="K3753" s="46" t="n">
        <v>3752</v>
      </c>
      <c r="L3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4">
      <c r="A3754" s="229" t="n">
        <v>46296</v>
      </c>
      <c r="B3754" s="46" t="inlineStr">
        <is>
          <t>사용전검사</t>
        </is>
      </c>
      <c r="C3754" s="46" t="inlineStr">
        <is>
          <t>김포지역</t>
        </is>
      </c>
      <c r="D3754" s="46" t="inlineStr">
        <is>
          <t>채비</t>
        </is>
      </c>
      <c r="E3754" s="46" t="n">
        <v>212</v>
      </c>
      <c r="F3754" s="46" t="inlineStr">
        <is>
          <t>석탄리</t>
        </is>
      </c>
      <c r="G3754" s="50" t="n"/>
      <c r="H3754" s="51" t="n"/>
      <c r="I3754" s="46" t="inlineStr">
        <is>
          <t>허창수</t>
        </is>
      </c>
      <c r="K3754" s="46" t="n">
        <v>3753</v>
      </c>
      <c r="L3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5">
      <c r="A3755" s="229" t="n">
        <v>46296</v>
      </c>
      <c r="B3755" s="46" t="inlineStr">
        <is>
          <t>사용전검사</t>
        </is>
      </c>
      <c r="C3755" s="46" t="inlineStr">
        <is>
          <t>김포지역</t>
        </is>
      </c>
      <c r="D3755" s="46" t="inlineStr">
        <is>
          <t>코리아스피드칼라</t>
        </is>
      </c>
      <c r="E3755" s="46" t="n">
        <v>380</v>
      </c>
      <c r="F3755" s="46" t="inlineStr">
        <is>
          <t>학운리</t>
        </is>
      </c>
      <c r="G3755" s="50" t="n"/>
      <c r="H3755" s="51" t="n"/>
      <c r="I3755" s="46" t="inlineStr">
        <is>
          <t>이덕기</t>
        </is>
      </c>
      <c r="K3755" s="46" t="n">
        <v>3754</v>
      </c>
      <c r="L3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6">
      <c r="A3756" s="229" t="n">
        <v>46296</v>
      </c>
      <c r="B3756" s="46" t="inlineStr">
        <is>
          <t>사용전검사</t>
        </is>
      </c>
      <c r="C3756" s="46" t="inlineStr">
        <is>
          <t>김포지역</t>
        </is>
      </c>
      <c r="D3756" s="46" t="inlineStr">
        <is>
          <t>경진태양광</t>
        </is>
      </c>
      <c r="E3756" s="46" t="n">
        <v>116</v>
      </c>
      <c r="F3756" s="46" t="inlineStr">
        <is>
          <t>도사리</t>
        </is>
      </c>
      <c r="G3756" s="50" t="n"/>
      <c r="H3756" s="51" t="n"/>
      <c r="I3756" s="46" t="inlineStr">
        <is>
          <t>당효진</t>
        </is>
      </c>
      <c r="K3756" s="46" t="n">
        <v>3755</v>
      </c>
      <c r="L3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7">
      <c r="A3757" s="229" t="n">
        <v>46297</v>
      </c>
      <c r="B3757" s="46" t="inlineStr">
        <is>
          <t>정기검사</t>
        </is>
      </c>
      <c r="C3757" s="46" t="inlineStr">
        <is>
          <t>부천지역</t>
        </is>
      </c>
      <c r="D3757" s="46" t="inlineStr">
        <is>
          <t>서진프라자</t>
        </is>
      </c>
      <c r="E3757" s="46" t="n">
        <v>500</v>
      </c>
      <c r="F3757" s="46" t="inlineStr">
        <is>
          <t>상동</t>
        </is>
      </c>
      <c r="G3757" s="50" t="n">
        <v>0.3958333333333333</v>
      </c>
      <c r="H3757" s="51" t="n">
        <v>737000</v>
      </c>
      <c r="I3757" s="46" t="inlineStr">
        <is>
          <t>한태희</t>
        </is>
      </c>
      <c r="K3757" s="46" t="n">
        <v>3756</v>
      </c>
      <c r="L3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8">
      <c r="A3758" s="229" t="n">
        <v>46297</v>
      </c>
      <c r="B3758" s="46" t="inlineStr">
        <is>
          <t>정기검사</t>
        </is>
      </c>
      <c r="C3758" s="46" t="inlineStr">
        <is>
          <t>부천지역</t>
        </is>
      </c>
      <c r="D3758" s="46" t="inlineStr">
        <is>
          <t>상아모터스</t>
        </is>
      </c>
      <c r="E3758" s="46" t="n">
        <v>400</v>
      </c>
      <c r="F3758" s="46" t="inlineStr">
        <is>
          <t>도당동</t>
        </is>
      </c>
      <c r="G3758" s="50" t="n">
        <v>0.4791666666666667</v>
      </c>
      <c r="H3758" s="51" t="n">
        <v>703120</v>
      </c>
      <c r="I3758" s="46" t="inlineStr">
        <is>
          <t>송낙명</t>
        </is>
      </c>
      <c r="K3758" s="46" t="n">
        <v>3757</v>
      </c>
      <c r="L3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9">
      <c r="A3759" s="229" t="n">
        <v>46297</v>
      </c>
      <c r="B3759" s="46" t="inlineStr">
        <is>
          <t>정기검사</t>
        </is>
      </c>
      <c r="C3759" s="46" t="inlineStr">
        <is>
          <t>부천지역</t>
        </is>
      </c>
      <c r="D3759" s="46" t="inlineStr">
        <is>
          <t>부천종합운동장</t>
        </is>
      </c>
      <c r="E3759" s="46" t="n">
        <v>150</v>
      </c>
      <c r="F3759" s="46" t="inlineStr">
        <is>
          <t>춘의동</t>
        </is>
      </c>
      <c r="G3759" s="50" t="n">
        <v>0.5625</v>
      </c>
      <c r="H3759" s="51" t="n">
        <v>399300</v>
      </c>
      <c r="I3759" s="46" t="inlineStr">
        <is>
          <t>이종석</t>
        </is>
      </c>
      <c r="K3759" s="46" t="n">
        <v>3758</v>
      </c>
      <c r="L3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0">
      <c r="A3760" s="229" t="n">
        <v>46297</v>
      </c>
      <c r="B3760" s="46" t="inlineStr">
        <is>
          <t>정기검사</t>
        </is>
      </c>
      <c r="C3760" s="46" t="inlineStr">
        <is>
          <t>부천지역</t>
        </is>
      </c>
      <c r="D3760" s="46" t="inlineStr">
        <is>
          <t>이테스</t>
        </is>
      </c>
      <c r="E3760" s="46" t="inlineStr">
        <is>
          <t>전기차</t>
        </is>
      </c>
      <c r="F3760" s="46" t="inlineStr">
        <is>
          <t>도당동</t>
        </is>
      </c>
      <c r="G3760" s="50" t="n">
        <v>0.4791666666666667</v>
      </c>
      <c r="H3760" s="51" t="n">
        <v>55770</v>
      </c>
      <c r="I3760" s="46" t="inlineStr">
        <is>
          <t>변종국</t>
        </is>
      </c>
      <c r="K3760" s="46" t="n">
        <v>3759</v>
      </c>
      <c r="L3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1">
      <c r="A3761" s="229" t="n">
        <v>46297</v>
      </c>
      <c r="B3761" s="46" t="inlineStr">
        <is>
          <t>정기검사</t>
        </is>
      </c>
      <c r="C3761" s="46" t="inlineStr">
        <is>
          <t>김포지역</t>
        </is>
      </c>
      <c r="D3761" s="46" t="inlineStr">
        <is>
          <t>신도피앤지</t>
        </is>
      </c>
      <c r="E3761" s="46" t="n">
        <v>500</v>
      </c>
      <c r="F3761" s="46" t="inlineStr">
        <is>
          <t>풍무동</t>
        </is>
      </c>
      <c r="G3761" s="50" t="n">
        <v>0.5416666666666666</v>
      </c>
      <c r="H3761" s="51" t="n">
        <v>737000</v>
      </c>
      <c r="I3761" s="46" t="inlineStr">
        <is>
          <t>이덕기</t>
        </is>
      </c>
      <c r="K3761" s="46" t="n">
        <v>3760</v>
      </c>
      <c r="L3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2">
      <c r="A3762" s="229" t="n">
        <v>46297</v>
      </c>
      <c r="B3762" s="46" t="inlineStr">
        <is>
          <t>정기검사</t>
        </is>
      </c>
      <c r="C3762" s="46" t="inlineStr">
        <is>
          <t>김포지역</t>
        </is>
      </c>
      <c r="D3762" s="46" t="inlineStr">
        <is>
          <t>삼미레이져</t>
        </is>
      </c>
      <c r="E3762" s="46" t="n">
        <v>227</v>
      </c>
      <c r="F3762" s="46" t="inlineStr">
        <is>
          <t>구래동</t>
        </is>
      </c>
      <c r="G3762" s="50" t="n">
        <v>0.5833333333333334</v>
      </c>
      <c r="H3762" s="51" t="n">
        <v>389180</v>
      </c>
      <c r="I3762" s="46" t="inlineStr">
        <is>
          <t>당효진</t>
        </is>
      </c>
      <c r="K3762" s="46" t="n">
        <v>3761</v>
      </c>
      <c r="L3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3">
      <c r="A3763" s="229" t="n">
        <v>46297</v>
      </c>
      <c r="B3763" s="46" t="inlineStr">
        <is>
          <t>정기검사</t>
        </is>
      </c>
      <c r="C3763" s="46" t="inlineStr">
        <is>
          <t>김포지역</t>
        </is>
      </c>
      <c r="D3763" s="46" t="inlineStr">
        <is>
          <t>달미랑</t>
        </is>
      </c>
      <c r="E3763" s="46" t="n">
        <v>290</v>
      </c>
      <c r="F3763" s="46" t="inlineStr">
        <is>
          <t>구래동</t>
        </is>
      </c>
      <c r="G3763" s="50" t="n">
        <v>0.5625</v>
      </c>
      <c r="H3763" s="51" t="n">
        <v>515130</v>
      </c>
      <c r="I3763" s="46" t="inlineStr">
        <is>
          <t>정신배</t>
        </is>
      </c>
      <c r="K3763" s="46" t="n">
        <v>3762</v>
      </c>
      <c r="L3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4">
      <c r="A3764" s="229" t="n">
        <v>46297</v>
      </c>
      <c r="B3764" s="46" t="inlineStr">
        <is>
          <t>정기검사</t>
        </is>
      </c>
      <c r="C3764" s="46" t="inlineStr">
        <is>
          <t>김포지역</t>
        </is>
      </c>
      <c r="D3764" s="46" t="inlineStr">
        <is>
          <t>엘지유플러스</t>
        </is>
      </c>
      <c r="E3764" s="46" t="inlineStr">
        <is>
          <t>전기차</t>
        </is>
      </c>
      <c r="F3764" s="46" t="inlineStr">
        <is>
          <t>구래동</t>
        </is>
      </c>
      <c r="G3764" s="50" t="n">
        <v>0.4791666666666667</v>
      </c>
      <c r="H3764" s="51" t="n">
        <v>81180</v>
      </c>
      <c r="I3764" s="46" t="inlineStr">
        <is>
          <t>정성관</t>
        </is>
      </c>
      <c r="K3764" s="46" t="n">
        <v>3763</v>
      </c>
      <c r="L3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5">
      <c r="A3765" s="229" t="n">
        <v>46297</v>
      </c>
      <c r="B3765" s="46" t="inlineStr">
        <is>
          <t>정기검사</t>
        </is>
      </c>
      <c r="C3765" s="46" t="inlineStr">
        <is>
          <t>김포지역</t>
        </is>
      </c>
      <c r="D3765" s="46" t="inlineStr">
        <is>
          <t>케이이파워</t>
        </is>
      </c>
      <c r="E3765" s="46" t="n">
        <v>150</v>
      </c>
      <c r="F3765" s="46" t="inlineStr">
        <is>
          <t>송마리</t>
        </is>
      </c>
      <c r="G3765" s="50" t="n">
        <v>0.4791666666666667</v>
      </c>
      <c r="H3765" s="51" t="n">
        <v>424160</v>
      </c>
      <c r="I3765" s="46" t="inlineStr">
        <is>
          <t>김영권</t>
        </is>
      </c>
      <c r="K3765" s="46" t="n">
        <v>3764</v>
      </c>
      <c r="L3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6">
      <c r="A3766" s="229" t="n">
        <v>46297</v>
      </c>
      <c r="B3766" s="46" t="inlineStr">
        <is>
          <t>정기검사</t>
        </is>
      </c>
      <c r="C3766" s="46" t="inlineStr">
        <is>
          <t>김포지역</t>
        </is>
      </c>
      <c r="D3766" s="46" t="inlineStr">
        <is>
          <t>풍무역플라자</t>
        </is>
      </c>
      <c r="E3766" s="46" t="inlineStr">
        <is>
          <t>1500/509</t>
        </is>
      </c>
      <c r="F3766" s="46" t="inlineStr">
        <is>
          <t>풍무동</t>
        </is>
      </c>
      <c r="G3766" s="50" t="n">
        <v>0.2708333333333333</v>
      </c>
      <c r="H3766" s="51" t="n">
        <v>1622940</v>
      </c>
      <c r="I3766" s="46" t="inlineStr">
        <is>
          <t>이덕기</t>
        </is>
      </c>
      <c r="K3766" s="46" t="n">
        <v>3765</v>
      </c>
      <c r="L3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7">
      <c r="A3767" s="229" t="n">
        <v>46297</v>
      </c>
      <c r="B3767" s="46" t="inlineStr">
        <is>
          <t>정기검사</t>
        </is>
      </c>
      <c r="C3767" s="46" t="inlineStr">
        <is>
          <t>김포지역</t>
        </is>
      </c>
      <c r="D3767" s="46" t="inlineStr">
        <is>
          <t>풍무역플라자</t>
        </is>
      </c>
      <c r="E3767" s="46" t="n">
        <v>750</v>
      </c>
      <c r="F3767" s="46" t="inlineStr">
        <is>
          <t>풍무동</t>
        </is>
      </c>
      <c r="G3767" s="50" t="n">
        <v>0.2708333333333333</v>
      </c>
      <c r="H3767" s="51" t="n">
        <v>1068210</v>
      </c>
      <c r="I3767" s="46" t="inlineStr">
        <is>
          <t>이덕기</t>
        </is>
      </c>
      <c r="K3767" s="46" t="n">
        <v>3766</v>
      </c>
      <c r="L3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8">
      <c r="A3768" s="229" t="n">
        <v>46297</v>
      </c>
      <c r="B3768" s="46" t="inlineStr">
        <is>
          <t>정기검사</t>
        </is>
      </c>
      <c r="C3768" s="46" t="inlineStr">
        <is>
          <t>김포지역</t>
        </is>
      </c>
      <c r="D3768" s="46" t="inlineStr">
        <is>
          <t>기산프라스틱</t>
        </is>
      </c>
      <c r="E3768" s="46" t="n">
        <v>200</v>
      </c>
      <c r="F3768" s="46" t="inlineStr">
        <is>
          <t>옹정리</t>
        </is>
      </c>
      <c r="G3768" s="50" t="n">
        <v>0.4791666666666667</v>
      </c>
      <c r="H3768" s="51" t="n">
        <v>456720</v>
      </c>
      <c r="I3768" s="46" t="inlineStr">
        <is>
          <t>이덕기</t>
        </is>
      </c>
      <c r="K3768" s="46" t="n">
        <v>3767</v>
      </c>
      <c r="L3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9">
      <c r="A3769" s="229" t="n">
        <v>46297</v>
      </c>
      <c r="B3769" s="46" t="inlineStr">
        <is>
          <t>사용전검사</t>
        </is>
      </c>
      <c r="C3769" s="46" t="inlineStr">
        <is>
          <t>부천지역</t>
        </is>
      </c>
      <c r="D3769" s="46" t="inlineStr">
        <is>
          <t>부천종합운동장</t>
        </is>
      </c>
      <c r="E3769" s="46" t="n">
        <v>500</v>
      </c>
      <c r="F3769" s="46" t="inlineStr">
        <is>
          <t>춘의동</t>
        </is>
      </c>
      <c r="G3769" s="50" t="n"/>
      <c r="H3769" s="51" t="n"/>
      <c r="I3769" s="46" t="inlineStr">
        <is>
          <t>이종석</t>
        </is>
      </c>
      <c r="K3769" s="46" t="n">
        <v>3768</v>
      </c>
      <c r="L3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0">
      <c r="A3770" s="229" t="n">
        <v>46297</v>
      </c>
      <c r="B3770" s="46" t="inlineStr">
        <is>
          <t>사용전검사</t>
        </is>
      </c>
      <c r="C3770" s="46" t="inlineStr">
        <is>
          <t>김포지역</t>
        </is>
      </c>
      <c r="D3770" s="46" t="inlineStr">
        <is>
          <t>케이원</t>
        </is>
      </c>
      <c r="E3770" s="46" t="inlineStr">
        <is>
          <t>부분</t>
        </is>
      </c>
      <c r="F3770" s="46" t="inlineStr">
        <is>
          <t>학운리</t>
        </is>
      </c>
      <c r="G3770" s="50" t="n"/>
      <c r="H3770" s="51" t="n"/>
      <c r="I3770" s="46" t="inlineStr">
        <is>
          <t>허록종</t>
        </is>
      </c>
      <c r="K3770" s="46" t="n">
        <v>3769</v>
      </c>
      <c r="L3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1">
      <c r="A3771" s="229" t="n">
        <v>46297</v>
      </c>
      <c r="B3771" s="46" t="inlineStr">
        <is>
          <t>사용전검사</t>
        </is>
      </c>
      <c r="C3771" s="46" t="inlineStr">
        <is>
          <t>김포지역</t>
        </is>
      </c>
      <c r="D3771" s="46" t="inlineStr">
        <is>
          <t>동현</t>
        </is>
      </c>
      <c r="E3771" s="46" t="n">
        <v>86</v>
      </c>
      <c r="F3771" s="46" t="inlineStr">
        <is>
          <t>석탄리</t>
        </is>
      </c>
      <c r="G3771" s="50" t="n"/>
      <c r="H3771" s="51" t="n"/>
      <c r="I3771" s="46" t="inlineStr">
        <is>
          <t>허창수</t>
        </is>
      </c>
      <c r="K3771" s="46" t="n">
        <v>3770</v>
      </c>
      <c r="L3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2">
      <c r="A3772" s="229" t="n">
        <v>46297</v>
      </c>
      <c r="B3772" s="46" t="inlineStr">
        <is>
          <t>사용전검사</t>
        </is>
      </c>
      <c r="C3772" s="46" t="inlineStr">
        <is>
          <t>김포지역</t>
        </is>
      </c>
      <c r="D3772" s="46" t="inlineStr">
        <is>
          <t>미래태양광</t>
        </is>
      </c>
      <c r="E3772" s="46" t="n">
        <v>44</v>
      </c>
      <c r="F3772" s="46" t="inlineStr">
        <is>
          <t>학운리</t>
        </is>
      </c>
      <c r="G3772" s="50" t="n"/>
      <c r="H3772" s="51" t="n"/>
      <c r="I3772" s="46" t="inlineStr">
        <is>
          <t>허록종</t>
        </is>
      </c>
      <c r="K3772" s="46" t="n">
        <v>3771</v>
      </c>
      <c r="L3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3">
      <c r="A3773" s="229" t="n">
        <v>46298</v>
      </c>
      <c r="B3773" s="46" t="inlineStr">
        <is>
          <t>정기검사</t>
        </is>
      </c>
      <c r="C3773" s="46" t="inlineStr">
        <is>
          <t>부천지역</t>
        </is>
      </c>
      <c r="D3773" s="46" t="inlineStr">
        <is>
          <t>아이피디</t>
        </is>
      </c>
      <c r="E3773" s="46" t="n">
        <v>2750</v>
      </c>
      <c r="F3773" s="46" t="inlineStr">
        <is>
          <t>도당동</t>
        </is>
      </c>
      <c r="G3773" s="50" t="n">
        <v>0.4166666666666667</v>
      </c>
      <c r="H3773" s="51" t="n">
        <v>1511070</v>
      </c>
      <c r="I3773" s="46" t="n"/>
      <c r="K3773" s="46" t="n">
        <v>3772</v>
      </c>
      <c r="L3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4">
      <c r="A3774" s="229" t="n">
        <v>46298</v>
      </c>
      <c r="B3774" s="46" t="inlineStr">
        <is>
          <t>정기검사</t>
        </is>
      </c>
      <c r="C3774" s="46" t="inlineStr">
        <is>
          <t>부천지역</t>
        </is>
      </c>
      <c r="D3774" s="46" t="inlineStr">
        <is>
          <t>대일소재</t>
        </is>
      </c>
      <c r="E3774" s="46" t="n">
        <v>950</v>
      </c>
      <c r="F3774" s="46" t="inlineStr">
        <is>
          <t>내동</t>
        </is>
      </c>
      <c r="G3774" s="50" t="n">
        <v>0.5833333333333334</v>
      </c>
      <c r="H3774" s="51" t="n">
        <v>1156210</v>
      </c>
      <c r="I3774" s="46" t="inlineStr">
        <is>
          <t>이종석</t>
        </is>
      </c>
      <c r="K3774" s="46" t="n">
        <v>3773</v>
      </c>
      <c r="L3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5">
      <c r="A3775" s="229" t="n">
        <v>46298</v>
      </c>
      <c r="B3775" s="46" t="inlineStr">
        <is>
          <t>정기검사</t>
        </is>
      </c>
      <c r="C3775" s="46" t="inlineStr">
        <is>
          <t>김포지역</t>
        </is>
      </c>
      <c r="D3775" s="46" t="inlineStr">
        <is>
          <t>김포시의회</t>
        </is>
      </c>
      <c r="E3775" s="46" t="inlineStr">
        <is>
          <t>500/290</t>
        </is>
      </c>
      <c r="F3775" s="46" t="inlineStr">
        <is>
          <t>사우동</t>
        </is>
      </c>
      <c r="G3775" s="50" t="n">
        <v>0.6041666666666666</v>
      </c>
      <c r="H3775" s="51" t="n">
        <v>1247180</v>
      </c>
      <c r="I3775" s="46" t="inlineStr">
        <is>
          <t>변종국</t>
        </is>
      </c>
      <c r="K3775" s="46" t="n">
        <v>3774</v>
      </c>
      <c r="L3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6">
      <c r="A3776" s="229" t="n">
        <v>46298</v>
      </c>
      <c r="B3776" s="46" t="inlineStr">
        <is>
          <t>메모</t>
        </is>
      </c>
      <c r="C3776" s="46" t="inlineStr">
        <is>
          <t>부천지역</t>
        </is>
      </c>
      <c r="D3776" s="46" t="inlineStr">
        <is>
          <t>서수형휴가</t>
        </is>
      </c>
      <c r="E3776" s="46" t="n"/>
      <c r="F3776" s="46" t="n"/>
      <c r="G3776" s="50" t="n"/>
      <c r="H3776" s="51" t="n"/>
      <c r="I3776" s="46" t="n"/>
      <c r="K3776" s="46" t="n">
        <v>3775</v>
      </c>
      <c r="L3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7">
      <c r="A3777" s="229" t="n">
        <v>46298</v>
      </c>
      <c r="B3777" s="46" t="inlineStr">
        <is>
          <t>메모</t>
        </is>
      </c>
      <c r="C3777" s="46" t="inlineStr">
        <is>
          <t>부천지역</t>
        </is>
      </c>
      <c r="D3777" s="46" t="inlineStr">
        <is>
          <t>한태희휴가</t>
        </is>
      </c>
      <c r="E3777" s="46" t="n"/>
      <c r="F3777" s="46" t="n"/>
      <c r="G3777" s="50" t="n"/>
      <c r="H3777" s="51" t="n"/>
      <c r="I3777" s="46" t="n"/>
      <c r="K3777" s="46" t="n">
        <v>3776</v>
      </c>
      <c r="L3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8">
      <c r="A3778" s="229" t="n">
        <v>46298</v>
      </c>
      <c r="B3778" s="46" t="inlineStr">
        <is>
          <t>메모</t>
        </is>
      </c>
      <c r="C3778" s="46" t="inlineStr">
        <is>
          <t>부천지역</t>
        </is>
      </c>
      <c r="D3778" s="46" t="inlineStr">
        <is>
          <t>옹승완</t>
        </is>
      </c>
      <c r="E3778" s="46" t="n"/>
      <c r="F3778" s="46" t="n"/>
      <c r="G3778" s="50" t="n"/>
      <c r="H3778" s="51" t="n"/>
      <c r="I3778" s="46" t="n"/>
      <c r="K3778" s="46" t="n">
        <v>3777</v>
      </c>
      <c r="L3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9">
      <c r="A3779" s="229" t="n">
        <v>46298</v>
      </c>
      <c r="B3779" s="46" t="inlineStr">
        <is>
          <t>메모</t>
        </is>
      </c>
      <c r="C3779" s="46" t="inlineStr">
        <is>
          <t>부천지역</t>
        </is>
      </c>
      <c r="D3779" s="46" t="inlineStr">
        <is>
          <t>허창수휴가</t>
        </is>
      </c>
      <c r="E3779" s="46" t="n"/>
      <c r="F3779" s="46" t="n"/>
      <c r="G3779" s="50" t="n"/>
      <c r="H3779" s="51" t="n"/>
      <c r="I3779" s="46" t="n"/>
      <c r="K3779" s="46" t="n">
        <v>3778</v>
      </c>
      <c r="L3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0">
      <c r="A3780" s="229" t="n">
        <v>46298</v>
      </c>
      <c r="B3780" s="46" t="inlineStr">
        <is>
          <t>메모</t>
        </is>
      </c>
      <c r="C3780" s="46" t="inlineStr">
        <is>
          <t>부천지역</t>
        </is>
      </c>
      <c r="D3780" s="46" t="inlineStr">
        <is>
          <t>민재홍휴가</t>
        </is>
      </c>
      <c r="E3780" s="46" t="n"/>
      <c r="F3780" s="46" t="n"/>
      <c r="G3780" s="50" t="n"/>
      <c r="H3780" s="51" t="n"/>
      <c r="I3780" s="46" t="n"/>
      <c r="K3780" s="46" t="n">
        <v>3779</v>
      </c>
      <c r="L3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1">
      <c r="A3781" s="229" t="n">
        <v>46299</v>
      </c>
      <c r="B3781" s="46" t="inlineStr">
        <is>
          <t>메모</t>
        </is>
      </c>
      <c r="C3781" s="46" t="inlineStr">
        <is>
          <t>부천지역</t>
        </is>
      </c>
      <c r="D3781" s="46" t="inlineStr">
        <is>
          <t>서수형휴가</t>
        </is>
      </c>
      <c r="E3781" s="46" t="n"/>
      <c r="F3781" s="46" t="n"/>
      <c r="G3781" s="50" t="n"/>
      <c r="H3781" s="51" t="n"/>
      <c r="I3781" s="46" t="n"/>
      <c r="K3781" s="46" t="n">
        <v>3780</v>
      </c>
      <c r="L3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2">
      <c r="A3782" s="229" t="n">
        <v>46299</v>
      </c>
      <c r="B3782" s="46" t="inlineStr">
        <is>
          <t>메모</t>
        </is>
      </c>
      <c r="C3782" s="46" t="inlineStr">
        <is>
          <t>부천지역</t>
        </is>
      </c>
      <c r="D3782" s="46" t="inlineStr">
        <is>
          <t>허창수휴가</t>
        </is>
      </c>
      <c r="E3782" s="46" t="n"/>
      <c r="F3782" s="46" t="n"/>
      <c r="G3782" s="50" t="n"/>
      <c r="H3782" s="51" t="n"/>
      <c r="I3782" s="46" t="n"/>
      <c r="K3782" s="46" t="n">
        <v>3781</v>
      </c>
      <c r="L3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3">
      <c r="A3783" s="229" t="n">
        <v>46299</v>
      </c>
      <c r="B3783" s="46" t="inlineStr">
        <is>
          <t>사용전검사</t>
        </is>
      </c>
      <c r="C3783" s="46" t="inlineStr">
        <is>
          <t>김포지역</t>
        </is>
      </c>
      <c r="D3783" s="46" t="inlineStr">
        <is>
          <t>케이에스엠</t>
        </is>
      </c>
      <c r="E3783" s="46" t="n">
        <v>1000</v>
      </c>
      <c r="F3783" s="46" t="inlineStr">
        <is>
          <t>송마리</t>
        </is>
      </c>
      <c r="G3783" s="50" t="n"/>
      <c r="H3783" s="51" t="n"/>
      <c r="I3783" s="46" t="n"/>
      <c r="K3783" s="46" t="n">
        <v>3782</v>
      </c>
      <c r="L3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4">
      <c r="A3784" s="229" t="n">
        <v>46300</v>
      </c>
      <c r="B3784" s="46" t="inlineStr">
        <is>
          <t>메모</t>
        </is>
      </c>
      <c r="C3784" s="46" t="inlineStr">
        <is>
          <t>부천지역</t>
        </is>
      </c>
      <c r="D3784" s="46" t="inlineStr">
        <is>
          <t>서수형휴가</t>
        </is>
      </c>
      <c r="E3784" s="46" t="n"/>
      <c r="F3784" s="46" t="n"/>
      <c r="G3784" s="50" t="n"/>
      <c r="H3784" s="51" t="n"/>
      <c r="I3784" s="46" t="n"/>
      <c r="K3784" s="46" t="n">
        <v>3783</v>
      </c>
      <c r="L3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5">
      <c r="A3785" s="229" t="n">
        <v>46301</v>
      </c>
      <c r="B3785" s="46" t="inlineStr">
        <is>
          <t>정기검사</t>
        </is>
      </c>
      <c r="C3785" s="46" t="inlineStr">
        <is>
          <t>부천지역</t>
        </is>
      </c>
      <c r="D3785" s="46" t="inlineStr">
        <is>
          <t>아름다운나날아파트</t>
        </is>
      </c>
      <c r="E3785" s="46" t="inlineStr">
        <is>
          <t>400/155</t>
        </is>
      </c>
      <c r="F3785" s="46" t="inlineStr">
        <is>
          <t>심곡동</t>
        </is>
      </c>
      <c r="G3785" s="50" t="n">
        <v>0.3958333333333333</v>
      </c>
      <c r="H3785" s="51" t="n">
        <v>885500</v>
      </c>
      <c r="I3785" s="46" t="inlineStr">
        <is>
          <t>당효진</t>
        </is>
      </c>
      <c r="K3785" s="46" t="n">
        <v>3784</v>
      </c>
      <c r="L3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6">
      <c r="A3786" s="229" t="n">
        <v>46301</v>
      </c>
      <c r="B3786" s="46" t="inlineStr">
        <is>
          <t>정기검사</t>
        </is>
      </c>
      <c r="C3786" s="46" t="inlineStr">
        <is>
          <t>부천지역</t>
        </is>
      </c>
      <c r="D3786" s="46" t="inlineStr">
        <is>
          <t>대동프라자</t>
        </is>
      </c>
      <c r="E3786" s="46" t="inlineStr">
        <is>
          <t>500/104</t>
        </is>
      </c>
      <c r="F3786" s="46" t="inlineStr">
        <is>
          <t>상동</t>
        </is>
      </c>
      <c r="G3786" s="50" t="n">
        <v>0.3958333333333333</v>
      </c>
      <c r="H3786" s="51" t="n">
        <v>904310</v>
      </c>
      <c r="I3786" s="46" t="inlineStr">
        <is>
          <t>허록종</t>
        </is>
      </c>
      <c r="K3786" s="46" t="n">
        <v>3785</v>
      </c>
      <c r="L3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7">
      <c r="A3787" s="229" t="n">
        <v>46301</v>
      </c>
      <c r="B3787" s="46" t="inlineStr">
        <is>
          <t>정기검사</t>
        </is>
      </c>
      <c r="C3787" s="46" t="inlineStr">
        <is>
          <t>부천지역</t>
        </is>
      </c>
      <c r="D3787" s="46" t="inlineStr">
        <is>
          <t>영우푸드</t>
        </is>
      </c>
      <c r="E3787" s="46" t="n">
        <v>280</v>
      </c>
      <c r="F3787" s="46" t="inlineStr">
        <is>
          <t>삼정동</t>
        </is>
      </c>
      <c r="G3787" s="50" t="n">
        <v>0.4791666666666667</v>
      </c>
      <c r="H3787" s="51" t="n">
        <v>508640</v>
      </c>
      <c r="I3787" s="46" t="inlineStr">
        <is>
          <t>송낙명</t>
        </is>
      </c>
      <c r="K3787" s="46" t="n">
        <v>3786</v>
      </c>
      <c r="L3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8">
      <c r="A3788" s="229" t="n">
        <v>46301</v>
      </c>
      <c r="B3788" s="46" t="inlineStr">
        <is>
          <t>정기검사</t>
        </is>
      </c>
      <c r="C3788" s="46" t="inlineStr">
        <is>
          <t>부천지역</t>
        </is>
      </c>
      <c r="D3788" s="46" t="inlineStr">
        <is>
          <t>금화정공</t>
        </is>
      </c>
      <c r="E3788" s="46" t="n">
        <v>290</v>
      </c>
      <c r="F3788" s="46" t="inlineStr">
        <is>
          <t>춘의동</t>
        </is>
      </c>
      <c r="G3788" s="50" t="n">
        <v>0.625</v>
      </c>
      <c r="H3788" s="51" t="n">
        <v>515130</v>
      </c>
      <c r="I3788" s="46" t="inlineStr">
        <is>
          <t>변종국</t>
        </is>
      </c>
      <c r="K3788" s="46" t="n">
        <v>3787</v>
      </c>
      <c r="L3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9">
      <c r="A3789" s="229" t="n">
        <v>46301</v>
      </c>
      <c r="B3789" s="46" t="inlineStr">
        <is>
          <t>정기검사</t>
        </is>
      </c>
      <c r="C3789" s="46" t="inlineStr">
        <is>
          <t>부천지역</t>
        </is>
      </c>
      <c r="D3789" s="46" t="inlineStr">
        <is>
          <t>서해철도</t>
        </is>
      </c>
      <c r="E3789" s="46" t="n"/>
      <c r="F3789" s="46" t="inlineStr">
        <is>
          <t>소사동</t>
        </is>
      </c>
      <c r="G3789" s="50" t="n"/>
      <c r="H3789" s="51" t="n">
        <v>1386000</v>
      </c>
      <c r="I3789" s="46" t="inlineStr">
        <is>
          <t>이덕기</t>
        </is>
      </c>
      <c r="K3789" s="46" t="n">
        <v>3788</v>
      </c>
      <c r="L3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0">
      <c r="A3790" s="229" t="n">
        <v>46301</v>
      </c>
      <c r="B3790" s="46" t="inlineStr">
        <is>
          <t>정기검사</t>
        </is>
      </c>
      <c r="C3790" s="46" t="inlineStr">
        <is>
          <t>김포지역</t>
        </is>
      </c>
      <c r="D3790" s="46" t="inlineStr">
        <is>
          <t>신원문고</t>
        </is>
      </c>
      <c r="E3790" s="46" t="n">
        <v>295</v>
      </c>
      <c r="F3790" s="46" t="inlineStr">
        <is>
          <t>율생리</t>
        </is>
      </c>
      <c r="G3790" s="50" t="n">
        <v>0.5416666666666666</v>
      </c>
      <c r="H3790" s="51" t="n">
        <v>518430</v>
      </c>
      <c r="I3790" s="46" t="inlineStr">
        <is>
          <t>이종석</t>
        </is>
      </c>
      <c r="K3790" s="46" t="n">
        <v>3789</v>
      </c>
      <c r="L3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1">
      <c r="A3791" s="229" t="n">
        <v>46301</v>
      </c>
      <c r="B3791" s="46" t="inlineStr">
        <is>
          <t>정기검사</t>
        </is>
      </c>
      <c r="C3791" s="46" t="inlineStr">
        <is>
          <t>김포지역</t>
        </is>
      </c>
      <c r="D3791" s="46" t="inlineStr">
        <is>
          <t>지이티루하</t>
        </is>
      </c>
      <c r="E3791" s="46" t="n">
        <v>700</v>
      </c>
      <c r="F3791" s="46" t="inlineStr">
        <is>
          <t>도사리</t>
        </is>
      </c>
      <c r="G3791" s="50" t="n">
        <v>0.5416666666666666</v>
      </c>
      <c r="H3791" s="51" t="n">
        <v>804760</v>
      </c>
      <c r="I3791" s="46" t="inlineStr">
        <is>
          <t>정성관</t>
        </is>
      </c>
      <c r="K3791" s="46" t="n">
        <v>3790</v>
      </c>
      <c r="L3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2">
      <c r="A3792" s="229" t="n">
        <v>46301</v>
      </c>
      <c r="B3792" s="46" t="inlineStr">
        <is>
          <t>정기검사</t>
        </is>
      </c>
      <c r="C3792" s="46" t="inlineStr">
        <is>
          <t>김포지역</t>
        </is>
      </c>
      <c r="D3792" s="46" t="inlineStr">
        <is>
          <t>yz테크</t>
        </is>
      </c>
      <c r="E3792" s="46" t="n">
        <v>290</v>
      </c>
      <c r="F3792" s="46" t="inlineStr">
        <is>
          <t>학운리</t>
        </is>
      </c>
      <c r="G3792" s="50" t="n">
        <v>0.3958333333333333</v>
      </c>
      <c r="H3792" s="51" t="n">
        <v>515130</v>
      </c>
      <c r="I3792" s="46" t="inlineStr">
        <is>
          <t>김영권</t>
        </is>
      </c>
      <c r="K3792" s="46" t="n">
        <v>3791</v>
      </c>
      <c r="L3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3">
      <c r="A3793" s="229" t="n">
        <v>46301</v>
      </c>
      <c r="B3793" s="46" t="inlineStr">
        <is>
          <t>정기검사</t>
        </is>
      </c>
      <c r="C3793" s="46" t="inlineStr">
        <is>
          <t>김포지역</t>
        </is>
      </c>
      <c r="D3793" s="46" t="inlineStr">
        <is>
          <t>서울테크</t>
        </is>
      </c>
      <c r="E3793" s="46" t="n">
        <v>290</v>
      </c>
      <c r="F3793" s="46" t="inlineStr">
        <is>
          <t>학운리</t>
        </is>
      </c>
      <c r="G3793" s="50" t="n">
        <v>0.5416666666666666</v>
      </c>
      <c r="H3793" s="51" t="n">
        <v>515130</v>
      </c>
      <c r="I3793" s="46" t="inlineStr">
        <is>
          <t>옹승완</t>
        </is>
      </c>
      <c r="K3793" s="46" t="n">
        <v>3792</v>
      </c>
      <c r="L3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4">
      <c r="A3794" s="229" t="n">
        <v>46301</v>
      </c>
      <c r="B3794" s="46" t="inlineStr">
        <is>
          <t>사용전검사</t>
        </is>
      </c>
      <c r="C3794" s="46" t="inlineStr">
        <is>
          <t>부천지역</t>
        </is>
      </c>
      <c r="D3794" s="46" t="inlineStr">
        <is>
          <t>여이푸드</t>
        </is>
      </c>
      <c r="E3794" s="46" t="n">
        <v>43</v>
      </c>
      <c r="F3794" s="46" t="inlineStr">
        <is>
          <t>내동</t>
        </is>
      </c>
      <c r="G3794" s="50" t="n"/>
      <c r="H3794" s="51" t="n"/>
      <c r="I3794" s="46" t="inlineStr">
        <is>
          <t>한태희</t>
        </is>
      </c>
      <c r="K3794" s="46" t="n">
        <v>3793</v>
      </c>
      <c r="L3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5">
      <c r="A3795" s="229" t="n">
        <v>46301</v>
      </c>
      <c r="B3795" s="46" t="inlineStr">
        <is>
          <t>사용전검사</t>
        </is>
      </c>
      <c r="C3795" s="46" t="inlineStr">
        <is>
          <t>부천지역</t>
        </is>
      </c>
      <c r="D3795" s="46" t="inlineStr">
        <is>
          <t>에벤저스</t>
        </is>
      </c>
      <c r="E3795" s="46" t="n">
        <v>3</v>
      </c>
      <c r="F3795" s="46" t="inlineStr">
        <is>
          <t>역곡동</t>
        </is>
      </c>
      <c r="G3795" s="50" t="n"/>
      <c r="H3795" s="51" t="n"/>
      <c r="I3795" s="46" t="inlineStr">
        <is>
          <t>허록종</t>
        </is>
      </c>
      <c r="K3795" s="46" t="n">
        <v>3794</v>
      </c>
      <c r="L3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6">
      <c r="A3796" s="229" t="n">
        <v>46301</v>
      </c>
      <c r="B3796" s="46" t="inlineStr">
        <is>
          <t>사용전검사</t>
        </is>
      </c>
      <c r="C3796" s="46" t="inlineStr">
        <is>
          <t>부천지역</t>
        </is>
      </c>
      <c r="D3796" s="46" t="inlineStr">
        <is>
          <t>호운래</t>
        </is>
      </c>
      <c r="E3796" s="46" t="n">
        <v>20</v>
      </c>
      <c r="F3796" s="46" t="inlineStr">
        <is>
          <t>심곡본동</t>
        </is>
      </c>
      <c r="G3796" s="50" t="n"/>
      <c r="H3796" s="51" t="n"/>
      <c r="I3796" s="46" t="inlineStr">
        <is>
          <t>변종국</t>
        </is>
      </c>
      <c r="K3796" s="46" t="n">
        <v>3795</v>
      </c>
      <c r="L3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7">
      <c r="A3797" s="229" t="n">
        <v>46301</v>
      </c>
      <c r="B3797" s="46" t="inlineStr">
        <is>
          <t>메모</t>
        </is>
      </c>
      <c r="C3797" s="46" t="inlineStr">
        <is>
          <t>부천지역</t>
        </is>
      </c>
      <c r="D3797" s="46" t="inlineStr">
        <is>
          <t>서수형휴가</t>
        </is>
      </c>
      <c r="E3797" s="46" t="inlineStr">
        <is>
          <t>변종국-송낙명</t>
        </is>
      </c>
      <c r="F3797" s="46" t="n"/>
      <c r="G3797" s="50" t="n"/>
      <c r="H3797" s="51" t="n"/>
      <c r="I3797" s="46" t="n"/>
      <c r="K3797" s="46" t="n">
        <v>3796</v>
      </c>
      <c r="L3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8">
      <c r="A3798" s="229" t="n">
        <v>46301</v>
      </c>
      <c r="B3798" s="46" t="inlineStr">
        <is>
          <t>메모</t>
        </is>
      </c>
      <c r="C3798" s="46" t="inlineStr">
        <is>
          <t>부천지역</t>
        </is>
      </c>
      <c r="D3798" s="46" t="inlineStr">
        <is>
          <t>허창수휴가</t>
        </is>
      </c>
      <c r="E3798" s="46" t="n"/>
      <c r="F3798" s="46" t="n"/>
      <c r="G3798" s="50" t="n"/>
      <c r="H3798" s="51" t="n"/>
      <c r="I3798" s="46" t="n"/>
      <c r="K3798" s="46" t="n">
        <v>3797</v>
      </c>
      <c r="L3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9">
      <c r="A3799" s="229" t="n">
        <v>46301</v>
      </c>
      <c r="B3799" s="46" t="inlineStr">
        <is>
          <t>사용전검사</t>
        </is>
      </c>
      <c r="C3799" s="46" t="inlineStr">
        <is>
          <t>부천지역</t>
        </is>
      </c>
      <c r="D3799" s="46" t="inlineStr">
        <is>
          <t>협성공업</t>
        </is>
      </c>
      <c r="E3799" s="46" t="inlineStr">
        <is>
          <t>변변</t>
        </is>
      </c>
      <c r="F3799" s="46" t="inlineStr">
        <is>
          <t>도당동</t>
        </is>
      </c>
      <c r="G3799" s="50" t="n"/>
      <c r="H3799" s="51" t="n"/>
      <c r="I3799" s="46" t="inlineStr">
        <is>
          <t>한태희</t>
        </is>
      </c>
      <c r="K3799" s="46" t="n">
        <v>3798</v>
      </c>
      <c r="L3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0">
      <c r="A3800" s="229" t="n">
        <v>46301</v>
      </c>
      <c r="B3800" s="46" t="inlineStr">
        <is>
          <t>사용전검사</t>
        </is>
      </c>
      <c r="C3800" s="46" t="inlineStr">
        <is>
          <t>김포지역</t>
        </is>
      </c>
      <c r="D3800" s="46" t="inlineStr">
        <is>
          <t>한울</t>
        </is>
      </c>
      <c r="E3800" s="46" t="inlineStr">
        <is>
          <t>부분</t>
        </is>
      </c>
      <c r="F3800" s="46" t="n"/>
      <c r="G3800" s="50" t="n"/>
      <c r="H3800" s="51" t="n"/>
      <c r="I3800" s="46" t="inlineStr">
        <is>
          <t>정신배</t>
        </is>
      </c>
      <c r="K3800" s="46" t="n">
        <v>3799</v>
      </c>
      <c r="L3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1">
      <c r="A3801" s="229" t="n">
        <v>46301</v>
      </c>
      <c r="B3801" s="46" t="inlineStr">
        <is>
          <t>사용전검사</t>
        </is>
      </c>
      <c r="C3801" s="46" t="inlineStr">
        <is>
          <t>김포지역</t>
        </is>
      </c>
      <c r="D3801" s="46" t="inlineStr">
        <is>
          <t>라인즈</t>
        </is>
      </c>
      <c r="E3801" s="46" t="n">
        <v>176</v>
      </c>
      <c r="F3801" s="46" t="inlineStr">
        <is>
          <t>학운리</t>
        </is>
      </c>
      <c r="G3801" s="50" t="n"/>
      <c r="H3801" s="51" t="n"/>
      <c r="I3801" s="46" t="inlineStr">
        <is>
          <t>한태희</t>
        </is>
      </c>
      <c r="K3801" s="46" t="n">
        <v>3800</v>
      </c>
      <c r="L3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2">
      <c r="A3802" s="229" t="n">
        <v>46302</v>
      </c>
      <c r="B3802" s="46" t="inlineStr">
        <is>
          <t>정기검사</t>
        </is>
      </c>
      <c r="C3802" s="46" t="inlineStr">
        <is>
          <t>부천지역</t>
        </is>
      </c>
      <c r="D3802" s="46" t="inlineStr">
        <is>
          <t>호텔에스알</t>
        </is>
      </c>
      <c r="E3802" s="46" t="n">
        <v>400</v>
      </c>
      <c r="F3802" s="46" t="inlineStr">
        <is>
          <t>원미동</t>
        </is>
      </c>
      <c r="G3802" s="50" t="n">
        <v>0.5416666666666666</v>
      </c>
      <c r="H3802" s="51" t="n">
        <v>703120</v>
      </c>
      <c r="I3802" s="46" t="inlineStr">
        <is>
          <t>허록종</t>
        </is>
      </c>
      <c r="K3802" s="46" t="n">
        <v>3801</v>
      </c>
      <c r="L3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3">
      <c r="A3803" s="229" t="n">
        <v>46302</v>
      </c>
      <c r="B3803" s="46" t="inlineStr">
        <is>
          <t>정기검사</t>
        </is>
      </c>
      <c r="C3803" s="46" t="inlineStr">
        <is>
          <t>부천지역</t>
        </is>
      </c>
      <c r="D3803" s="46" t="inlineStr">
        <is>
          <t>웰빙신선부천</t>
        </is>
      </c>
      <c r="E3803" s="46" t="n">
        <v>200</v>
      </c>
      <c r="F3803" s="46" t="inlineStr">
        <is>
          <t>고강동</t>
        </is>
      </c>
      <c r="G3803" s="50" t="n">
        <v>0.2916666666666667</v>
      </c>
      <c r="H3803" s="51" t="n">
        <v>593670</v>
      </c>
      <c r="I3803" s="46" t="inlineStr">
        <is>
          <t>허록종</t>
        </is>
      </c>
      <c r="K3803" s="46" t="n">
        <v>3802</v>
      </c>
      <c r="L3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4">
      <c r="A3804" s="229" t="n">
        <v>46302</v>
      </c>
      <c r="B3804" s="46" t="inlineStr">
        <is>
          <t>정기검사</t>
        </is>
      </c>
      <c r="C3804" s="46" t="inlineStr">
        <is>
          <t>부천지역</t>
        </is>
      </c>
      <c r="D3804" s="46" t="inlineStr">
        <is>
          <t>가나에너지</t>
        </is>
      </c>
      <c r="E3804" s="46" t="n">
        <v>300</v>
      </c>
      <c r="F3804" s="46" t="inlineStr">
        <is>
          <t>도당동</t>
        </is>
      </c>
      <c r="G3804" s="50" t="n">
        <v>0.5277777777777778</v>
      </c>
      <c r="H3804" s="51" t="n">
        <v>521730</v>
      </c>
      <c r="I3804" s="46" t="inlineStr">
        <is>
          <t>송낙명</t>
        </is>
      </c>
      <c r="K3804" s="46" t="n">
        <v>3803</v>
      </c>
      <c r="L3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5">
      <c r="A3805" s="229" t="n">
        <v>46302</v>
      </c>
      <c r="B3805" s="46" t="inlineStr">
        <is>
          <t>정기검사</t>
        </is>
      </c>
      <c r="C3805" s="46" t="inlineStr">
        <is>
          <t>김포지역</t>
        </is>
      </c>
      <c r="D3805" s="46" t="inlineStr">
        <is>
          <t>김포대주유소</t>
        </is>
      </c>
      <c r="E3805" s="46" t="n">
        <v>15</v>
      </c>
      <c r="F3805" s="46" t="inlineStr">
        <is>
          <t>포내리</t>
        </is>
      </c>
      <c r="G3805" s="50" t="n">
        <v>0.5833333333333334</v>
      </c>
      <c r="H3805" s="51" t="n">
        <v>92950</v>
      </c>
      <c r="I3805" s="46" t="inlineStr">
        <is>
          <t>이종석</t>
        </is>
      </c>
      <c r="K3805" s="46" t="n">
        <v>3804</v>
      </c>
      <c r="L3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6">
      <c r="A3806" s="229" t="n">
        <v>46302</v>
      </c>
      <c r="B3806" s="46" t="inlineStr">
        <is>
          <t>정기검사</t>
        </is>
      </c>
      <c r="C3806" s="46" t="inlineStr">
        <is>
          <t>김포지역</t>
        </is>
      </c>
      <c r="D3806" s="46" t="inlineStr">
        <is>
          <t>삼창기연</t>
        </is>
      </c>
      <c r="E3806" s="46" t="n">
        <v>600</v>
      </c>
      <c r="F3806" s="46" t="inlineStr">
        <is>
          <t>대멍리</t>
        </is>
      </c>
      <c r="G3806" s="50" t="n">
        <v>0.4791666666666667</v>
      </c>
      <c r="H3806" s="51" t="n">
        <v>770880</v>
      </c>
      <c r="I3806" s="46" t="inlineStr">
        <is>
          <t>변종국</t>
        </is>
      </c>
      <c r="K3806" s="46" t="n">
        <v>3805</v>
      </c>
      <c r="L3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7">
      <c r="A3807" s="229" t="n">
        <v>46302</v>
      </c>
      <c r="B3807" s="46" t="inlineStr">
        <is>
          <t>정기검사</t>
        </is>
      </c>
      <c r="C3807" s="46" t="inlineStr">
        <is>
          <t>김포지역</t>
        </is>
      </c>
      <c r="D3807" s="46" t="inlineStr">
        <is>
          <t>에일린뜰</t>
        </is>
      </c>
      <c r="E3807" s="46" t="inlineStr">
        <is>
          <t>전기차</t>
        </is>
      </c>
      <c r="F3807" s="46" t="inlineStr">
        <is>
          <t>마산동</t>
        </is>
      </c>
      <c r="G3807" s="50" t="n">
        <v>0.3958333333333333</v>
      </c>
      <c r="H3807" s="51" t="n">
        <v>132000</v>
      </c>
      <c r="I3807" s="46" t="inlineStr">
        <is>
          <t>당효진</t>
        </is>
      </c>
      <c r="K3807" s="46" t="n">
        <v>3806</v>
      </c>
      <c r="L3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8">
      <c r="A3808" s="229" t="n">
        <v>46302</v>
      </c>
      <c r="B3808" s="46" t="inlineStr">
        <is>
          <t>정기검사</t>
        </is>
      </c>
      <c r="C3808" s="46" t="inlineStr">
        <is>
          <t>김포지역</t>
        </is>
      </c>
      <c r="D3808" s="46" t="inlineStr">
        <is>
          <t>김포청소년수련원</t>
        </is>
      </c>
      <c r="E3808" s="46" t="inlineStr">
        <is>
          <t>전기차</t>
        </is>
      </c>
      <c r="F3808" s="46" t="inlineStr">
        <is>
          <t>고막리</t>
        </is>
      </c>
      <c r="G3808" s="50" t="n">
        <v>0.4583333333333333</v>
      </c>
      <c r="H3808" s="51" t="n">
        <v>237600</v>
      </c>
      <c r="I3808" s="46" t="inlineStr">
        <is>
          <t>민재홍</t>
        </is>
      </c>
      <c r="K3808" s="46" t="n">
        <v>3807</v>
      </c>
      <c r="L3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9">
      <c r="A3809" s="229" t="n">
        <v>46302</v>
      </c>
      <c r="B3809" s="46" t="inlineStr">
        <is>
          <t>정기검사</t>
        </is>
      </c>
      <c r="C3809" s="46" t="inlineStr">
        <is>
          <t>김포지역</t>
        </is>
      </c>
      <c r="D3809" s="46" t="inlineStr">
        <is>
          <t>김포청소년수련원</t>
        </is>
      </c>
      <c r="E3809" s="46" t="inlineStr">
        <is>
          <t>850/182</t>
        </is>
      </c>
      <c r="F3809" s="46" t="inlineStr">
        <is>
          <t>고막리</t>
        </is>
      </c>
      <c r="G3809" s="50" t="n">
        <v>0.4583333333333333</v>
      </c>
      <c r="H3809" s="51" t="n">
        <v>1045990</v>
      </c>
      <c r="I3809" s="46" t="inlineStr">
        <is>
          <t>민재홍</t>
        </is>
      </c>
      <c r="K3809" s="46" t="n">
        <v>3808</v>
      </c>
      <c r="L3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0">
      <c r="A3810" s="229" t="n">
        <v>46302</v>
      </c>
      <c r="B3810" s="46" t="inlineStr">
        <is>
          <t>정기검사</t>
        </is>
      </c>
      <c r="C3810" s="46" t="inlineStr">
        <is>
          <t>김포지역</t>
        </is>
      </c>
      <c r="D3810" s="46" t="inlineStr">
        <is>
          <t>한강리더스</t>
        </is>
      </c>
      <c r="E3810" s="46" t="n">
        <v>600</v>
      </c>
      <c r="F3810" s="46" t="inlineStr">
        <is>
          <t>구래동</t>
        </is>
      </c>
      <c r="G3810" s="50" t="n">
        <v>0.3958333333333333</v>
      </c>
      <c r="H3810" s="51" t="n">
        <v>770880</v>
      </c>
      <c r="I3810" s="46" t="inlineStr">
        <is>
          <t>김영권</t>
        </is>
      </c>
      <c r="K3810" s="46" t="n">
        <v>3809</v>
      </c>
      <c r="L3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1">
      <c r="A3811" s="229" t="n">
        <v>46302</v>
      </c>
      <c r="B3811" s="46" t="inlineStr">
        <is>
          <t>사용전검사</t>
        </is>
      </c>
      <c r="C3811" s="46" t="inlineStr">
        <is>
          <t>부천지역</t>
        </is>
      </c>
      <c r="D3811" s="46" t="inlineStr">
        <is>
          <t>극동건설</t>
        </is>
      </c>
      <c r="E3811" s="46" t="n">
        <v>500</v>
      </c>
      <c r="F3811" s="46" t="inlineStr">
        <is>
          <t>원종동</t>
        </is>
      </c>
      <c r="G3811" s="50" t="n"/>
      <c r="H3811" s="51" t="n"/>
      <c r="I3811" s="46" t="inlineStr">
        <is>
          <t>허창수</t>
        </is>
      </c>
      <c r="K3811" s="46" t="n">
        <v>3810</v>
      </c>
      <c r="L3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2">
      <c r="A3812" s="229" t="n">
        <v>46302</v>
      </c>
      <c r="B3812" s="46" t="inlineStr">
        <is>
          <t>사용전검사</t>
        </is>
      </c>
      <c r="C3812" s="46" t="inlineStr">
        <is>
          <t>부천지역</t>
        </is>
      </c>
      <c r="D3812" s="46" t="inlineStr">
        <is>
          <t>일신건영</t>
        </is>
      </c>
      <c r="E3812" s="46" t="inlineStr">
        <is>
          <t>1200/455</t>
        </is>
      </c>
      <c r="F3812" s="46" t="inlineStr">
        <is>
          <t>원종동</t>
        </is>
      </c>
      <c r="G3812" s="50" t="n"/>
      <c r="H3812" s="51" t="n"/>
      <c r="I3812" s="46" t="inlineStr">
        <is>
          <t>한태희</t>
        </is>
      </c>
      <c r="K3812" s="46" t="n">
        <v>3811</v>
      </c>
      <c r="L3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3">
      <c r="A3813" s="229" t="n">
        <v>46302</v>
      </c>
      <c r="B3813" s="46" t="inlineStr">
        <is>
          <t>사용전검사</t>
        </is>
      </c>
      <c r="C3813" s="46" t="inlineStr">
        <is>
          <t>부천지역</t>
        </is>
      </c>
      <c r="D3813" s="46" t="inlineStr">
        <is>
          <t>하나종합건설</t>
        </is>
      </c>
      <c r="E3813" s="46" t="n">
        <v>150</v>
      </c>
      <c r="F3813" s="46" t="n"/>
      <c r="G3813" s="50" t="n"/>
      <c r="H3813" s="51" t="n"/>
      <c r="I3813" s="46" t="inlineStr">
        <is>
          <t>허창수</t>
        </is>
      </c>
      <c r="K3813" s="46" t="n">
        <v>3812</v>
      </c>
      <c r="L3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4">
      <c r="A3814" s="229" t="n">
        <v>46302</v>
      </c>
      <c r="B3814" s="46" t="inlineStr">
        <is>
          <t>메모</t>
        </is>
      </c>
      <c r="C3814" s="46" t="inlineStr">
        <is>
          <t>부천지역</t>
        </is>
      </c>
      <c r="D3814" s="46" t="inlineStr">
        <is>
          <t>이덕기 오후반차(15시~)</t>
        </is>
      </c>
      <c r="E3814" s="46" t="n"/>
      <c r="F3814" s="46" t="n"/>
      <c r="G3814" s="50" t="n"/>
      <c r="H3814" s="51" t="n"/>
      <c r="I3814" s="46" t="n"/>
      <c r="K3814" s="46" t="n">
        <v>3813</v>
      </c>
      <c r="L3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5">
      <c r="A3815" s="229" t="n">
        <v>46302</v>
      </c>
      <c r="B3815" s="46" t="inlineStr">
        <is>
          <t>메모</t>
        </is>
      </c>
      <c r="C3815" s="46" t="inlineStr">
        <is>
          <t>부천지역</t>
        </is>
      </c>
      <c r="D3815" s="46" t="inlineStr">
        <is>
          <t>정성관 건강검진</t>
        </is>
      </c>
      <c r="E3815" s="46" t="inlineStr">
        <is>
          <t>정신배-변종국</t>
        </is>
      </c>
      <c r="F3815" s="46" t="n"/>
      <c r="G3815" s="50" t="n"/>
      <c r="H3815" s="51" t="n"/>
      <c r="I3815" s="46" t="n"/>
      <c r="K3815" s="46" t="n">
        <v>3814</v>
      </c>
      <c r="L3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6">
      <c r="A3816" s="229" t="n">
        <v>46302</v>
      </c>
      <c r="B3816" s="46" t="inlineStr">
        <is>
          <t>메모</t>
        </is>
      </c>
      <c r="C3816" s="46" t="inlineStr">
        <is>
          <t>부천지역</t>
        </is>
      </c>
      <c r="D3816" s="46" t="inlineStr">
        <is>
          <t>서수형휴가</t>
        </is>
      </c>
      <c r="E3816" s="46" t="n"/>
      <c r="F3816" s="46" t="n"/>
      <c r="G3816" s="50" t="n"/>
      <c r="H3816" s="51" t="n"/>
      <c r="I3816" s="46" t="n"/>
      <c r="K3816" s="46" t="n">
        <v>3815</v>
      </c>
      <c r="L3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7">
      <c r="A3817" s="229" t="n">
        <v>46302</v>
      </c>
      <c r="B3817" s="46" t="inlineStr">
        <is>
          <t>사용전검사</t>
        </is>
      </c>
      <c r="C3817" s="46" t="inlineStr">
        <is>
          <t>김포지역</t>
        </is>
      </c>
      <c r="D3817" s="46" t="inlineStr">
        <is>
          <t>모햇발전소</t>
        </is>
      </c>
      <c r="E3817" s="46" t="n">
        <v>160</v>
      </c>
      <c r="F3817" s="46" t="inlineStr">
        <is>
          <t>학운리</t>
        </is>
      </c>
      <c r="G3817" s="50" t="n"/>
      <c r="H3817" s="51" t="n"/>
      <c r="I3817" s="46" t="inlineStr">
        <is>
          <t>정신배</t>
        </is>
      </c>
      <c r="K3817" s="46" t="n">
        <v>3816</v>
      </c>
      <c r="L3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8">
      <c r="A3818" s="229" t="n">
        <v>46302</v>
      </c>
      <c r="B3818" s="46" t="inlineStr">
        <is>
          <t>사용전검사</t>
        </is>
      </c>
      <c r="C3818" s="46" t="inlineStr">
        <is>
          <t>김포지역</t>
        </is>
      </c>
      <c r="D3818" s="46" t="inlineStr">
        <is>
          <t>지현태양광</t>
        </is>
      </c>
      <c r="E3818" s="46" t="n">
        <v>259</v>
      </c>
      <c r="F3818" s="46" t="inlineStr">
        <is>
          <t>대벽리</t>
        </is>
      </c>
      <c r="G3818" s="50" t="n"/>
      <c r="H3818" s="51" t="n"/>
      <c r="I3818" s="46" t="inlineStr">
        <is>
          <t>변종국</t>
        </is>
      </c>
      <c r="K3818" s="46" t="n">
        <v>3817</v>
      </c>
      <c r="L3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9">
      <c r="A3819" s="229" t="n">
        <v>46302</v>
      </c>
      <c r="B3819" s="46" t="inlineStr">
        <is>
          <t>사용전검사</t>
        </is>
      </c>
      <c r="C3819" s="46" t="inlineStr">
        <is>
          <t>김포지역</t>
        </is>
      </c>
      <c r="D3819" s="46" t="inlineStr">
        <is>
          <t>광춘태양광</t>
        </is>
      </c>
      <c r="E3819" s="46" t="n">
        <v>13</v>
      </c>
      <c r="F3819" s="46" t="inlineStr">
        <is>
          <t>봉성리</t>
        </is>
      </c>
      <c r="G3819" s="50" t="n"/>
      <c r="H3819" s="51" t="n"/>
      <c r="I3819" s="46" t="inlineStr">
        <is>
          <t>옹승완</t>
        </is>
      </c>
      <c r="K3819" s="46" t="n">
        <v>3818</v>
      </c>
      <c r="L3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0">
      <c r="A3820" s="229" t="n">
        <v>46302</v>
      </c>
      <c r="B3820" s="46" t="inlineStr">
        <is>
          <t>사용전검사</t>
        </is>
      </c>
      <c r="C3820" s="46" t="inlineStr">
        <is>
          <t>김포지역</t>
        </is>
      </c>
      <c r="D3820" s="46" t="inlineStr">
        <is>
          <t>김포시청</t>
        </is>
      </c>
      <c r="E3820" s="46" t="inlineStr">
        <is>
          <t>부분</t>
        </is>
      </c>
      <c r="F3820" s="46" t="n"/>
      <c r="G3820" s="50" t="n"/>
      <c r="H3820" s="51" t="n"/>
      <c r="I3820" s="46" t="inlineStr">
        <is>
          <t>이덕기</t>
        </is>
      </c>
      <c r="K3820" s="46" t="n">
        <v>3819</v>
      </c>
      <c r="L3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1">
      <c r="A3821" s="229" t="n">
        <v>46303</v>
      </c>
      <c r="B3821" s="46" t="inlineStr">
        <is>
          <t>정기검사</t>
        </is>
      </c>
      <c r="C3821" s="46" t="inlineStr">
        <is>
          <t>부천지역</t>
        </is>
      </c>
      <c r="D3821" s="46" t="inlineStr">
        <is>
          <t>백광이엔티</t>
        </is>
      </c>
      <c r="E3821" s="46" t="n">
        <v>150</v>
      </c>
      <c r="F3821" s="46" t="inlineStr">
        <is>
          <t>도당동</t>
        </is>
      </c>
      <c r="G3821" s="50" t="n">
        <v>0.4791666666666667</v>
      </c>
      <c r="H3821" s="51" t="n">
        <v>424160</v>
      </c>
      <c r="I3821" s="46" t="inlineStr">
        <is>
          <t>송낙명</t>
        </is>
      </c>
      <c r="K3821" s="46" t="n">
        <v>3820</v>
      </c>
      <c r="L3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2">
      <c r="A3822" s="229" t="n">
        <v>46303</v>
      </c>
      <c r="B3822" s="46" t="inlineStr">
        <is>
          <t>정기검사</t>
        </is>
      </c>
      <c r="C3822" s="46" t="inlineStr">
        <is>
          <t>부천지역</t>
        </is>
      </c>
      <c r="D3822" s="46" t="inlineStr">
        <is>
          <t>코스모롤리탄</t>
        </is>
      </c>
      <c r="E3822" s="46" t="inlineStr">
        <is>
          <t>전기차</t>
        </is>
      </c>
      <c r="F3822" s="46" t="inlineStr">
        <is>
          <t>중동</t>
        </is>
      </c>
      <c r="G3822" s="50" t="n">
        <v>0.3958333333333333</v>
      </c>
      <c r="H3822" s="51" t="n">
        <v>98120</v>
      </c>
      <c r="I3822" s="46" t="inlineStr">
        <is>
          <t>이종석</t>
        </is>
      </c>
      <c r="K3822" s="46" t="n">
        <v>3821</v>
      </c>
      <c r="L3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3">
      <c r="A3823" s="229" t="n">
        <v>46303</v>
      </c>
      <c r="B3823" s="46" t="inlineStr">
        <is>
          <t>정기검사</t>
        </is>
      </c>
      <c r="C3823" s="46" t="inlineStr">
        <is>
          <t>김포지역</t>
        </is>
      </c>
      <c r="D3823" s="46" t="inlineStr">
        <is>
          <t>김포르리랜서오피슽텔</t>
        </is>
      </c>
      <c r="E3823" s="46" t="inlineStr">
        <is>
          <t>400/105</t>
        </is>
      </c>
      <c r="F3823" s="46" t="inlineStr">
        <is>
          <t>사우동</t>
        </is>
      </c>
      <c r="G3823" s="50" t="n">
        <v>0.3958333333333333</v>
      </c>
      <c r="H3823" s="51" t="n">
        <v>870760</v>
      </c>
      <c r="I3823" s="46" t="inlineStr">
        <is>
          <t>당효진</t>
        </is>
      </c>
      <c r="K3823" s="46" t="n">
        <v>3822</v>
      </c>
      <c r="L3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4">
      <c r="A3824" s="229" t="n">
        <v>46303</v>
      </c>
      <c r="B3824" s="46" t="inlineStr">
        <is>
          <t>정기검사</t>
        </is>
      </c>
      <c r="C3824" s="46" t="inlineStr">
        <is>
          <t>김포지역</t>
        </is>
      </c>
      <c r="D3824" s="46" t="inlineStr">
        <is>
          <t>대한중전기</t>
        </is>
      </c>
      <c r="E3824" s="46" t="n">
        <v>750</v>
      </c>
      <c r="F3824" s="46" t="inlineStr">
        <is>
          <t>송마리</t>
        </is>
      </c>
      <c r="G3824" s="50" t="n">
        <v>0.5138888888888888</v>
      </c>
      <c r="H3824" s="51" t="n">
        <v>821700</v>
      </c>
      <c r="I3824" s="46" t="inlineStr">
        <is>
          <t>변종국</t>
        </is>
      </c>
      <c r="K3824" s="46" t="n">
        <v>3823</v>
      </c>
      <c r="L3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5">
      <c r="A3825" s="229" t="n">
        <v>46303</v>
      </c>
      <c r="B3825" s="46" t="inlineStr">
        <is>
          <t>정기검사</t>
        </is>
      </c>
      <c r="C3825" s="46" t="inlineStr">
        <is>
          <t>김포지역</t>
        </is>
      </c>
      <c r="D3825" s="46" t="inlineStr">
        <is>
          <t>와이산업</t>
        </is>
      </c>
      <c r="E3825" s="46" t="n">
        <v>178</v>
      </c>
      <c r="F3825" s="46" t="inlineStr">
        <is>
          <t>송마리</t>
        </is>
      </c>
      <c r="G3825" s="50" t="n">
        <v>0.4166666666666667</v>
      </c>
      <c r="H3825" s="51" t="n">
        <v>337480</v>
      </c>
      <c r="I3825" s="46" t="inlineStr">
        <is>
          <t>서수형</t>
        </is>
      </c>
      <c r="K3825" s="46" t="n">
        <v>3824</v>
      </c>
      <c r="L3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6">
      <c r="A3826" s="229" t="n">
        <v>46303</v>
      </c>
      <c r="B3826" s="46" t="inlineStr">
        <is>
          <t>정기검사</t>
        </is>
      </c>
      <c r="C3826" s="46" t="inlineStr">
        <is>
          <t>김포지역</t>
        </is>
      </c>
      <c r="D3826" s="46" t="inlineStr">
        <is>
          <t>케이에스</t>
        </is>
      </c>
      <c r="E3826" s="46" t="n">
        <v>250</v>
      </c>
      <c r="F3826" s="46" t="inlineStr">
        <is>
          <t>송마리</t>
        </is>
      </c>
      <c r="G3826" s="50" t="n">
        <v>0.4583333333333333</v>
      </c>
      <c r="H3826" s="51" t="n">
        <v>489170</v>
      </c>
      <c r="I3826" s="46" t="inlineStr">
        <is>
          <t>변종국</t>
        </is>
      </c>
      <c r="K3826" s="46" t="n">
        <v>3825</v>
      </c>
      <c r="L3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7">
      <c r="A3827" s="229" t="n">
        <v>46303</v>
      </c>
      <c r="B3827" s="46" t="inlineStr">
        <is>
          <t>정기검사</t>
        </is>
      </c>
      <c r="C3827" s="46" t="inlineStr">
        <is>
          <t>김포지역</t>
        </is>
      </c>
      <c r="D3827" s="46" t="inlineStr">
        <is>
          <t>정우베스트</t>
        </is>
      </c>
      <c r="E3827" s="46" t="n">
        <v>140</v>
      </c>
      <c r="F3827" s="46" t="inlineStr">
        <is>
          <t>학운리</t>
        </is>
      </c>
      <c r="G3827" s="50" t="n">
        <v>0.5208333333333334</v>
      </c>
      <c r="H3827" s="51" t="n">
        <v>223740</v>
      </c>
      <c r="I3827" s="46" t="inlineStr">
        <is>
          <t>이덕기</t>
        </is>
      </c>
      <c r="K3827" s="46" t="n">
        <v>3826</v>
      </c>
      <c r="L3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8">
      <c r="A3828" s="229" t="n">
        <v>46303</v>
      </c>
      <c r="B3828" s="46" t="inlineStr">
        <is>
          <t>정기검사</t>
        </is>
      </c>
      <c r="C3828" s="46" t="inlineStr">
        <is>
          <t>김포지역</t>
        </is>
      </c>
      <c r="D3828" s="46" t="inlineStr">
        <is>
          <t>서워피앤씨</t>
        </is>
      </c>
      <c r="E3828" s="46" t="n">
        <v>120</v>
      </c>
      <c r="F3828" s="46" t="inlineStr">
        <is>
          <t>동을산리</t>
        </is>
      </c>
      <c r="G3828" s="50" t="n">
        <v>0.3958333333333333</v>
      </c>
      <c r="H3828" s="51" t="n">
        <v>206580</v>
      </c>
      <c r="I3828" s="46" t="inlineStr">
        <is>
          <t>김영권</t>
        </is>
      </c>
      <c r="K3828" s="46" t="n">
        <v>3827</v>
      </c>
      <c r="L3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9">
      <c r="A3829" s="229" t="n">
        <v>46303</v>
      </c>
      <c r="B3829" s="46" t="inlineStr">
        <is>
          <t>사용전검사</t>
        </is>
      </c>
      <c r="C3829" s="46" t="inlineStr">
        <is>
          <t>부천지역</t>
        </is>
      </c>
      <c r="D3829" s="46" t="inlineStr">
        <is>
          <t>약대동행정</t>
        </is>
      </c>
      <c r="E3829" s="46" t="n">
        <v>6</v>
      </c>
      <c r="F3829" s="46" t="inlineStr">
        <is>
          <t>약대동</t>
        </is>
      </c>
      <c r="G3829" s="50" t="n"/>
      <c r="H3829" s="51" t="n"/>
      <c r="I3829" s="46" t="inlineStr">
        <is>
          <t>정신배</t>
        </is>
      </c>
      <c r="K3829" s="46" t="n">
        <v>3828</v>
      </c>
      <c r="L3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0">
      <c r="A3830" s="229" t="n">
        <v>46303</v>
      </c>
      <c r="B3830" s="46" t="inlineStr">
        <is>
          <t>사용전검사</t>
        </is>
      </c>
      <c r="C3830" s="46" t="inlineStr">
        <is>
          <t>부천지역</t>
        </is>
      </c>
      <c r="D3830" s="46" t="inlineStr">
        <is>
          <t>크라운당구장</t>
        </is>
      </c>
      <c r="E3830" s="46" t="n">
        <v>30</v>
      </c>
      <c r="F3830" s="46" t="inlineStr">
        <is>
          <t>송내동</t>
        </is>
      </c>
      <c r="G3830" s="50" t="n"/>
      <c r="H3830" s="51" t="n"/>
      <c r="I3830" s="46" t="inlineStr">
        <is>
          <t>허창수</t>
        </is>
      </c>
      <c r="K3830" s="46" t="n">
        <v>3829</v>
      </c>
      <c r="L3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1">
      <c r="A3831" s="229" t="n">
        <v>46303</v>
      </c>
      <c r="B3831" s="46" t="inlineStr">
        <is>
          <t>사용전검사</t>
        </is>
      </c>
      <c r="C3831" s="46" t="inlineStr">
        <is>
          <t>부천지역</t>
        </is>
      </c>
      <c r="D3831" s="46" t="inlineStr">
        <is>
          <t>장권우</t>
        </is>
      </c>
      <c r="E3831" s="46" t="inlineStr">
        <is>
          <t>변변</t>
        </is>
      </c>
      <c r="F3831" s="46" t="inlineStr">
        <is>
          <t>내동</t>
        </is>
      </c>
      <c r="G3831" s="50" t="n"/>
      <c r="H3831" s="51" t="n"/>
      <c r="I3831" s="46" t="inlineStr">
        <is>
          <t>변종국</t>
        </is>
      </c>
      <c r="K3831" s="46" t="n">
        <v>3830</v>
      </c>
      <c r="L3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2">
      <c r="A3832" s="229" t="n">
        <v>46303</v>
      </c>
      <c r="B3832" s="46" t="inlineStr">
        <is>
          <t>메모</t>
        </is>
      </c>
      <c r="C3832" s="46" t="inlineStr">
        <is>
          <t>부천지역</t>
        </is>
      </c>
      <c r="D3832" s="46" t="inlineStr">
        <is>
          <t>허록종휴가</t>
        </is>
      </c>
      <c r="E3832" s="46" t="n"/>
      <c r="F3832" s="46" t="n"/>
      <c r="G3832" s="50" t="n"/>
      <c r="H3832" s="51" t="n"/>
      <c r="I3832" s="46" t="n"/>
      <c r="K3832" s="46" t="n">
        <v>3831</v>
      </c>
      <c r="L3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3">
      <c r="A3833" s="229" t="n">
        <v>46303</v>
      </c>
      <c r="B3833" s="46" t="inlineStr">
        <is>
          <t>메모</t>
        </is>
      </c>
      <c r="C3833" s="46" t="inlineStr">
        <is>
          <t>부천지역</t>
        </is>
      </c>
      <c r="D3833" s="46" t="inlineStr">
        <is>
          <t>한태희 휴가</t>
        </is>
      </c>
      <c r="E3833" s="46" t="n"/>
      <c r="F3833" s="46" t="n"/>
      <c r="G3833" s="50" t="n"/>
      <c r="H3833" s="51" t="n"/>
      <c r="I3833" s="46" t="n"/>
      <c r="K3833" s="46" t="n">
        <v>3832</v>
      </c>
      <c r="L3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4">
      <c r="A3834" s="229" t="n">
        <v>46303</v>
      </c>
      <c r="B3834" s="46" t="inlineStr">
        <is>
          <t>메모</t>
        </is>
      </c>
      <c r="C3834" s="46" t="inlineStr">
        <is>
          <t>부천지역</t>
        </is>
      </c>
      <c r="D3834" s="46" t="inlineStr">
        <is>
          <t>정성관 휴가</t>
        </is>
      </c>
      <c r="E3834" s="46" t="inlineStr">
        <is>
          <t>정신배-이종석</t>
        </is>
      </c>
      <c r="F3834" s="46" t="n"/>
      <c r="G3834" s="50" t="n"/>
      <c r="H3834" s="51" t="n"/>
      <c r="I3834" s="46" t="n"/>
      <c r="K3834" s="46" t="n">
        <v>3833</v>
      </c>
      <c r="L3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5">
      <c r="A3835" s="229" t="n">
        <v>46303</v>
      </c>
      <c r="B3835" s="46" t="inlineStr">
        <is>
          <t>메모</t>
        </is>
      </c>
      <c r="C3835" s="46" t="inlineStr">
        <is>
          <t>부천지역</t>
        </is>
      </c>
      <c r="D3835" s="46" t="inlineStr">
        <is>
          <t>민재홍 휴가</t>
        </is>
      </c>
      <c r="E3835" s="46" t="n"/>
      <c r="F3835" s="46" t="n"/>
      <c r="G3835" s="50" t="n"/>
      <c r="H3835" s="51" t="n"/>
      <c r="I3835" s="46" t="n"/>
      <c r="K3835" s="46" t="n">
        <v>3834</v>
      </c>
      <c r="L3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6">
      <c r="A3836" s="229" t="n">
        <v>46303</v>
      </c>
      <c r="B3836" s="46" t="inlineStr">
        <is>
          <t>사용전검사</t>
        </is>
      </c>
      <c r="C3836" s="46" t="inlineStr">
        <is>
          <t>김포지역</t>
        </is>
      </c>
      <c r="D3836" s="46" t="inlineStr">
        <is>
          <t>우진태양광</t>
        </is>
      </c>
      <c r="E3836" s="46" t="n">
        <v>218</v>
      </c>
      <c r="F3836" s="46" t="inlineStr">
        <is>
          <t>옹정리</t>
        </is>
      </c>
      <c r="G3836" s="50" t="n"/>
      <c r="H3836" s="51" t="n"/>
      <c r="I3836" s="46" t="inlineStr">
        <is>
          <t>옹승완</t>
        </is>
      </c>
      <c r="K3836" s="46" t="n">
        <v>3835</v>
      </c>
      <c r="L3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7">
      <c r="A3837" s="229" t="n">
        <v>46303</v>
      </c>
      <c r="B3837" s="46" t="inlineStr">
        <is>
          <t>사용전검사</t>
        </is>
      </c>
      <c r="C3837" s="46" t="inlineStr">
        <is>
          <t>김포지역</t>
        </is>
      </c>
      <c r="D3837" s="46" t="inlineStr">
        <is>
          <t>김포프리랜서</t>
        </is>
      </c>
      <c r="E3837" s="46" t="n">
        <v>400</v>
      </c>
      <c r="F3837" s="46" t="inlineStr">
        <is>
          <t>사우동</t>
        </is>
      </c>
      <c r="G3837" s="50" t="n"/>
      <c r="H3837" s="51" t="n"/>
      <c r="I3837" s="46" t="inlineStr">
        <is>
          <t>당효진</t>
        </is>
      </c>
      <c r="K3837" s="46" t="n">
        <v>3836</v>
      </c>
      <c r="L3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8">
      <c r="A3838" s="229" t="n">
        <v>46304</v>
      </c>
      <c r="B3838" s="46" t="inlineStr">
        <is>
          <t>메모</t>
        </is>
      </c>
      <c r="C3838" s="46" t="inlineStr">
        <is>
          <t>부천지역</t>
        </is>
      </c>
      <c r="D3838" s="46" t="inlineStr">
        <is>
          <t>이덕기휴가</t>
        </is>
      </c>
      <c r="E3838" s="46" t="n"/>
      <c r="F3838" s="46" t="n"/>
      <c r="G3838" s="50" t="n"/>
      <c r="H3838" s="51" t="n"/>
      <c r="I3838" s="46" t="n"/>
      <c r="K3838" s="46" t="n">
        <v>3837</v>
      </c>
      <c r="L3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9">
      <c r="A3839" s="229" t="n">
        <v>46304</v>
      </c>
      <c r="B3839" s="46" t="inlineStr">
        <is>
          <t>메모</t>
        </is>
      </c>
      <c r="C3839" s="46" t="inlineStr">
        <is>
          <t>부천지역</t>
        </is>
      </c>
      <c r="D3839" s="46" t="inlineStr">
        <is>
          <t>정성관 휴가</t>
        </is>
      </c>
      <c r="E3839" s="46" t="n"/>
      <c r="F3839" s="46" t="n"/>
      <c r="G3839" s="50" t="n"/>
      <c r="H3839" s="51" t="n"/>
      <c r="I3839" s="46" t="n"/>
      <c r="K3839" s="46" t="n">
        <v>3838</v>
      </c>
      <c r="L3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0">
      <c r="A3840" s="229" t="n">
        <v>46305</v>
      </c>
      <c r="B3840" s="46" t="inlineStr">
        <is>
          <t>메모</t>
        </is>
      </c>
      <c r="C3840" s="46" t="inlineStr">
        <is>
          <t>부천지역</t>
        </is>
      </c>
      <c r="D3840" s="46" t="inlineStr">
        <is>
          <t>민재홍 휴가</t>
        </is>
      </c>
      <c r="E3840" s="46" t="n"/>
      <c r="F3840" s="46" t="n"/>
      <c r="G3840" s="50" t="n"/>
      <c r="H3840" s="51" t="n"/>
      <c r="I3840" s="46" t="n"/>
      <c r="K3840" s="46" t="n">
        <v>3839</v>
      </c>
      <c r="L3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1">
      <c r="A3841" s="229" t="n">
        <v>46305</v>
      </c>
      <c r="B3841" s="46" t="inlineStr">
        <is>
          <t>메모</t>
        </is>
      </c>
      <c r="C3841" s="46" t="inlineStr">
        <is>
          <t>부천지역</t>
        </is>
      </c>
      <c r="D3841" s="46" t="inlineStr">
        <is>
          <t>이덕기휴가</t>
        </is>
      </c>
      <c r="E3841" s="46" t="n"/>
      <c r="F3841" s="46" t="n"/>
      <c r="G3841" s="50" t="n"/>
      <c r="H3841" s="51" t="n"/>
      <c r="I3841" s="46" t="n"/>
      <c r="K3841" s="46" t="n">
        <v>3840</v>
      </c>
      <c r="L3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2">
      <c r="A3842" s="229" t="n">
        <v>46305</v>
      </c>
      <c r="B3842" s="46" t="inlineStr">
        <is>
          <t>메모</t>
        </is>
      </c>
      <c r="C3842" s="46" t="inlineStr">
        <is>
          <t>부천지역</t>
        </is>
      </c>
      <c r="D3842" s="46" t="inlineStr">
        <is>
          <t>변종국휴가</t>
        </is>
      </c>
      <c r="E3842" s="46" t="n"/>
      <c r="F3842" s="46" t="n"/>
      <c r="G3842" s="50" t="n"/>
      <c r="H3842" s="51" t="n"/>
      <c r="I3842" s="46" t="n"/>
      <c r="K3842" s="46" t="n">
        <v>3841</v>
      </c>
      <c r="L3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3">
      <c r="A3843" s="229" t="n">
        <v>46306</v>
      </c>
      <c r="B3843" s="46" t="inlineStr">
        <is>
          <t>정기검사</t>
        </is>
      </c>
      <c r="C3843" s="46" t="inlineStr">
        <is>
          <t>부천지역</t>
        </is>
      </c>
      <c r="D3843" s="46" t="inlineStr">
        <is>
          <t>중동프라자</t>
        </is>
      </c>
      <c r="E3843" s="46" t="inlineStr">
        <is>
          <t>950/315</t>
        </is>
      </c>
      <c r="F3843" s="46" t="inlineStr">
        <is>
          <t>중동</t>
        </is>
      </c>
      <c r="G3843" s="50" t="n">
        <v>0.2916666666666667</v>
      </c>
      <c r="H3843" s="51" t="n">
        <v>1439020</v>
      </c>
      <c r="I3843" s="46" t="n"/>
      <c r="K3843" s="46" t="n">
        <v>3842</v>
      </c>
      <c r="L3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4">
      <c r="A3844" s="229" t="n">
        <v>46306</v>
      </c>
      <c r="B3844" s="46" t="inlineStr">
        <is>
          <t>사용전검사</t>
        </is>
      </c>
      <c r="C3844" s="46" t="inlineStr">
        <is>
          <t>부천지역</t>
        </is>
      </c>
      <c r="D3844" s="46" t="inlineStr">
        <is>
          <t>중동프라자</t>
        </is>
      </c>
      <c r="E3844" s="46" t="n">
        <v>950</v>
      </c>
      <c r="F3844" s="46" t="inlineStr">
        <is>
          <t>중동</t>
        </is>
      </c>
      <c r="G3844" s="50" t="n"/>
      <c r="H3844" s="51" t="n"/>
      <c r="I3844" s="46" t="n"/>
      <c r="K3844" s="46" t="n">
        <v>3843</v>
      </c>
      <c r="L3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5">
      <c r="A3845" s="229" t="n">
        <v>46306</v>
      </c>
      <c r="B3845" s="46" t="inlineStr">
        <is>
          <t>사용전검사</t>
        </is>
      </c>
      <c r="C3845" s="46" t="inlineStr">
        <is>
          <t>부천지역</t>
        </is>
      </c>
      <c r="D3845" s="46" t="inlineStr">
        <is>
          <t>오정구청</t>
        </is>
      </c>
      <c r="E3845" s="46" t="n">
        <v>1500</v>
      </c>
      <c r="F3845" s="46" t="inlineStr">
        <is>
          <t>오정동</t>
        </is>
      </c>
      <c r="G3845" s="50" t="n"/>
      <c r="H3845" s="51" t="n"/>
      <c r="I3845" s="46" t="n"/>
      <c r="K3845" s="46" t="n">
        <v>3844</v>
      </c>
      <c r="L3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6">
      <c r="A3846" s="229" t="n">
        <v>46306</v>
      </c>
      <c r="B3846" s="46" t="inlineStr">
        <is>
          <t>사용전검사</t>
        </is>
      </c>
      <c r="C3846" s="46" t="inlineStr">
        <is>
          <t>부천지역</t>
        </is>
      </c>
      <c r="D3846" s="46" t="inlineStr">
        <is>
          <t>부안초</t>
        </is>
      </c>
      <c r="E3846" s="46" t="n">
        <v>750</v>
      </c>
      <c r="F3846" s="46" t="inlineStr">
        <is>
          <t>범박동</t>
        </is>
      </c>
      <c r="G3846" s="50" t="n"/>
      <c r="H3846" s="51" t="n"/>
      <c r="I3846" s="46" t="n"/>
      <c r="K3846" s="46" t="n">
        <v>3845</v>
      </c>
      <c r="L3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7">
      <c r="A3847" s="229" t="n">
        <v>46306</v>
      </c>
      <c r="B3847" s="46" t="inlineStr">
        <is>
          <t>메모</t>
        </is>
      </c>
      <c r="C3847" s="46" t="inlineStr">
        <is>
          <t>부천지역</t>
        </is>
      </c>
      <c r="D3847" s="46" t="inlineStr">
        <is>
          <t>변종국휴가</t>
        </is>
      </c>
      <c r="E3847" s="46" t="n"/>
      <c r="F3847" s="46" t="n"/>
      <c r="G3847" s="50" t="n"/>
      <c r="H3847" s="51" t="n"/>
      <c r="I3847" s="46" t="n"/>
      <c r="K3847" s="46" t="n">
        <v>3846</v>
      </c>
      <c r="L3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8">
      <c r="A3848" s="229" t="n">
        <v>46306</v>
      </c>
      <c r="B3848" s="46" t="inlineStr">
        <is>
          <t>메모</t>
        </is>
      </c>
      <c r="C3848" s="46" t="inlineStr">
        <is>
          <t>부천지역</t>
        </is>
      </c>
      <c r="D3848" s="46" t="inlineStr">
        <is>
          <t>한태희휴가</t>
        </is>
      </c>
      <c r="E3848" s="46" t="n"/>
      <c r="F3848" s="46" t="n"/>
      <c r="G3848" s="50" t="n"/>
      <c r="H3848" s="51" t="n"/>
      <c r="I3848" s="46" t="n"/>
      <c r="K3848" s="46" t="n">
        <v>3847</v>
      </c>
      <c r="L3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9">
      <c r="A3849" s="229" t="n">
        <v>46306</v>
      </c>
      <c r="B3849" s="46" t="inlineStr">
        <is>
          <t>메모</t>
        </is>
      </c>
      <c r="C3849" s="46" t="inlineStr">
        <is>
          <t>부천지역</t>
        </is>
      </c>
      <c r="D3849" s="46" t="inlineStr">
        <is>
          <t>이덕기휴가</t>
        </is>
      </c>
      <c r="E3849" s="46" t="n"/>
      <c r="F3849" s="46" t="n"/>
      <c r="G3849" s="50" t="n"/>
      <c r="H3849" s="51" t="n"/>
      <c r="I3849" s="46" t="n"/>
      <c r="K3849" s="46" t="n">
        <v>3848</v>
      </c>
      <c r="L3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0">
      <c r="A3850" s="229" t="n">
        <v>46306</v>
      </c>
      <c r="B3850" s="46" t="inlineStr">
        <is>
          <t>사용전검사</t>
        </is>
      </c>
      <c r="C3850" s="46" t="inlineStr">
        <is>
          <t>김포지역</t>
        </is>
      </c>
      <c r="D3850" s="46" t="inlineStr">
        <is>
          <t>부림글로벌</t>
        </is>
      </c>
      <c r="E3850" s="46" t="n">
        <v>71</v>
      </c>
      <c r="F3850" s="46" t="inlineStr">
        <is>
          <t>가현리</t>
        </is>
      </c>
      <c r="G3850" s="50" t="n"/>
      <c r="H3850" s="51" t="n"/>
      <c r="I3850" s="46" t="n"/>
      <c r="K3850" s="46" t="n">
        <v>3849</v>
      </c>
      <c r="L3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1">
      <c r="A3851" s="229" t="n">
        <v>46307</v>
      </c>
      <c r="B3851" s="46" t="inlineStr">
        <is>
          <t>정기검사</t>
        </is>
      </c>
      <c r="C3851" s="46" t="inlineStr">
        <is>
          <t>부천지역</t>
        </is>
      </c>
      <c r="D3851" s="46" t="inlineStr">
        <is>
          <t>동인화학</t>
        </is>
      </c>
      <c r="E3851" s="46" t="n">
        <v>290</v>
      </c>
      <c r="F3851" s="46" t="inlineStr">
        <is>
          <t>삼정동</t>
        </is>
      </c>
      <c r="G3851" s="50" t="n">
        <v>0.5416666666666666</v>
      </c>
      <c r="H3851" s="51" t="n">
        <v>515130</v>
      </c>
      <c r="I3851" s="46" t="inlineStr">
        <is>
          <t>허창수</t>
        </is>
      </c>
      <c r="K3851" s="46" t="n">
        <v>3850</v>
      </c>
      <c r="L3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2">
      <c r="A3852" s="229" t="n">
        <v>46307</v>
      </c>
      <c r="B3852" s="46" t="inlineStr">
        <is>
          <t>정기검사</t>
        </is>
      </c>
      <c r="C3852" s="46" t="inlineStr">
        <is>
          <t>부천지역</t>
        </is>
      </c>
      <c r="D3852" s="46" t="inlineStr">
        <is>
          <t>맘모스타워</t>
        </is>
      </c>
      <c r="E3852" s="46" t="inlineStr">
        <is>
          <t>전기차</t>
        </is>
      </c>
      <c r="F3852" s="46" t="inlineStr">
        <is>
          <t>상동</t>
        </is>
      </c>
      <c r="G3852" s="50" t="n">
        <v>0.3958333333333333</v>
      </c>
      <c r="H3852" s="51" t="n">
        <v>72710</v>
      </c>
      <c r="I3852" s="46" t="inlineStr">
        <is>
          <t>옹승완</t>
        </is>
      </c>
      <c r="K3852" s="46" t="n">
        <v>3851</v>
      </c>
      <c r="L3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3">
      <c r="A3853" s="229" t="n">
        <v>46307</v>
      </c>
      <c r="B3853" s="46" t="inlineStr">
        <is>
          <t>정기검사</t>
        </is>
      </c>
      <c r="C3853" s="46" t="inlineStr">
        <is>
          <t>부천지역</t>
        </is>
      </c>
      <c r="D3853" s="46" t="inlineStr">
        <is>
          <t>맘모스타워</t>
        </is>
      </c>
      <c r="E3853" s="46" t="inlineStr">
        <is>
          <t>950/182</t>
        </is>
      </c>
      <c r="F3853" s="46" t="inlineStr">
        <is>
          <t>상동</t>
        </is>
      </c>
      <c r="G3853" s="50" t="n">
        <v>0.3958333333333333</v>
      </c>
      <c r="H3853" s="51" t="n">
        <v>1079870</v>
      </c>
      <c r="I3853" s="46" t="inlineStr">
        <is>
          <t>옹승완</t>
        </is>
      </c>
      <c r="K3853" s="46" t="n">
        <v>3852</v>
      </c>
      <c r="L3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4">
      <c r="A3854" s="229" t="n">
        <v>46307</v>
      </c>
      <c r="B3854" s="46" t="inlineStr">
        <is>
          <t>정기검사</t>
        </is>
      </c>
      <c r="C3854" s="46" t="inlineStr">
        <is>
          <t>부천지역</t>
        </is>
      </c>
      <c r="D3854" s="46" t="inlineStr">
        <is>
          <t>순천향대학</t>
        </is>
      </c>
      <c r="E3854" s="46" t="inlineStr">
        <is>
          <t>전기차</t>
        </is>
      </c>
      <c r="F3854" s="46" t="inlineStr">
        <is>
          <t>상동</t>
        </is>
      </c>
      <c r="G3854" s="50" t="n">
        <v>0.5625</v>
      </c>
      <c r="H3854" s="51" t="n">
        <v>356180</v>
      </c>
      <c r="I3854" s="46" t="inlineStr">
        <is>
          <t>김영권</t>
        </is>
      </c>
      <c r="K3854" s="46" t="n">
        <v>3853</v>
      </c>
      <c r="L3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5">
      <c r="A3855" s="229" t="n">
        <v>46307</v>
      </c>
      <c r="B3855" s="46" t="inlineStr">
        <is>
          <t>정기검사</t>
        </is>
      </c>
      <c r="C3855" s="46" t="inlineStr">
        <is>
          <t>부천지역</t>
        </is>
      </c>
      <c r="D3855" s="46" t="inlineStr">
        <is>
          <t>일도 RMC</t>
        </is>
      </c>
      <c r="E3855" s="46" t="n">
        <v>150</v>
      </c>
      <c r="F3855" s="46" t="inlineStr">
        <is>
          <t>도당동</t>
        </is>
      </c>
      <c r="G3855" s="50" t="n">
        <v>0.4791666666666667</v>
      </c>
      <c r="H3855" s="51" t="n">
        <v>424160</v>
      </c>
      <c r="I3855" s="46" t="inlineStr">
        <is>
          <t>송낙명</t>
        </is>
      </c>
      <c r="K3855" s="46" t="n">
        <v>3854</v>
      </c>
      <c r="L3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6">
      <c r="A3856" s="229" t="n">
        <v>46307</v>
      </c>
      <c r="B3856" s="46" t="inlineStr">
        <is>
          <t>정기검사</t>
        </is>
      </c>
      <c r="C3856" s="46" t="inlineStr">
        <is>
          <t>부천지역</t>
        </is>
      </c>
      <c r="D3856" s="46" t="inlineStr">
        <is>
          <t>부천호텔</t>
        </is>
      </c>
      <c r="E3856" s="46" t="n">
        <v>870</v>
      </c>
      <c r="F3856" s="46" t="inlineStr">
        <is>
          <t>상동</t>
        </is>
      </c>
      <c r="G3856" s="50" t="n">
        <v>0.3958333333333333</v>
      </c>
      <c r="H3856" s="51" t="n">
        <v>987360</v>
      </c>
      <c r="I3856" s="46" t="inlineStr">
        <is>
          <t>이종석</t>
        </is>
      </c>
      <c r="K3856" s="46" t="n">
        <v>3855</v>
      </c>
      <c r="L3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7">
      <c r="A3857" s="229" t="n">
        <v>46307</v>
      </c>
      <c r="B3857" s="46" t="inlineStr">
        <is>
          <t>정기검사</t>
        </is>
      </c>
      <c r="C3857" s="46" t="inlineStr">
        <is>
          <t>부천지역</t>
        </is>
      </c>
      <c r="D3857" s="46" t="inlineStr">
        <is>
          <t>부천호텔</t>
        </is>
      </c>
      <c r="E3857" s="46" t="inlineStr">
        <is>
          <t>전기차</t>
        </is>
      </c>
      <c r="F3857" s="46" t="inlineStr">
        <is>
          <t>상동</t>
        </is>
      </c>
      <c r="G3857" s="50" t="n">
        <v>0.3958333333333333</v>
      </c>
      <c r="H3857" s="51" t="n">
        <v>64240</v>
      </c>
      <c r="I3857" s="46" t="inlineStr">
        <is>
          <t>이종석</t>
        </is>
      </c>
      <c r="K3857" s="46" t="n">
        <v>3856</v>
      </c>
      <c r="L3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8">
      <c r="A3858" s="229" t="n">
        <v>46307</v>
      </c>
      <c r="B3858" s="46" t="inlineStr">
        <is>
          <t>정기검사</t>
        </is>
      </c>
      <c r="C3858" s="46" t="inlineStr">
        <is>
          <t>부천지역</t>
        </is>
      </c>
      <c r="D3858" s="46" t="inlineStr">
        <is>
          <t>원종시장</t>
        </is>
      </c>
      <c r="E3858" s="46" t="n">
        <v>300</v>
      </c>
      <c r="F3858" s="46" t="inlineStr">
        <is>
          <t>원종동</t>
        </is>
      </c>
      <c r="G3858" s="50" t="n">
        <v>0.6041666666666666</v>
      </c>
      <c r="H3858" s="51" t="n">
        <v>521730</v>
      </c>
      <c r="I3858" s="46" t="inlineStr">
        <is>
          <t>민재홍</t>
        </is>
      </c>
      <c r="K3858" s="46" t="n">
        <v>3857</v>
      </c>
      <c r="L3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9">
      <c r="A3859" s="229" t="n">
        <v>46307</v>
      </c>
      <c r="B3859" s="46" t="inlineStr">
        <is>
          <t>정기검사</t>
        </is>
      </c>
      <c r="C3859" s="46" t="inlineStr">
        <is>
          <t>김포지역</t>
        </is>
      </c>
      <c r="D3859" s="46" t="inlineStr">
        <is>
          <t>신안실크벨리상가</t>
        </is>
      </c>
      <c r="E3859" s="46" t="inlineStr">
        <is>
          <t>950/82</t>
        </is>
      </c>
      <c r="F3859" s="46" t="inlineStr">
        <is>
          <t>감정동</t>
        </is>
      </c>
      <c r="G3859" s="50" t="n">
        <v>0.3958333333333333</v>
      </c>
      <c r="H3859" s="51" t="n">
        <v>1050280</v>
      </c>
      <c r="I3859" s="46" t="inlineStr">
        <is>
          <t>허록종</t>
        </is>
      </c>
      <c r="K3859" s="46" t="n">
        <v>3858</v>
      </c>
      <c r="L3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0">
      <c r="A3860" s="229" t="n">
        <v>46307</v>
      </c>
      <c r="B3860" s="46" t="inlineStr">
        <is>
          <t>정기검사</t>
        </is>
      </c>
      <c r="C3860" s="46" t="inlineStr">
        <is>
          <t>김포지역</t>
        </is>
      </c>
      <c r="D3860" s="46" t="inlineStr">
        <is>
          <t>이솔빌딩</t>
        </is>
      </c>
      <c r="E3860" s="46" t="inlineStr">
        <is>
          <t>400/150</t>
        </is>
      </c>
      <c r="F3860" s="46" t="inlineStr">
        <is>
          <t>장기동</t>
        </is>
      </c>
      <c r="G3860" s="50" t="n">
        <v>0.3958333333333333</v>
      </c>
      <c r="H3860" s="51" t="n">
        <v>879670</v>
      </c>
      <c r="I3860" s="46" t="inlineStr">
        <is>
          <t>정성관</t>
        </is>
      </c>
      <c r="K3860" s="46" t="n">
        <v>3859</v>
      </c>
      <c r="L3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1">
      <c r="A3861" s="229" t="n">
        <v>46307</v>
      </c>
      <c r="B3861" s="46" t="inlineStr">
        <is>
          <t>정기검사</t>
        </is>
      </c>
      <c r="C3861" s="46" t="inlineStr">
        <is>
          <t>김포지역</t>
        </is>
      </c>
      <c r="D3861" s="46" t="inlineStr">
        <is>
          <t>유카스주유소</t>
        </is>
      </c>
      <c r="E3861" s="46" t="n">
        <v>50</v>
      </c>
      <c r="F3861" s="46" t="inlineStr">
        <is>
          <t>누산리</t>
        </is>
      </c>
      <c r="G3861" s="50" t="n">
        <v>0.4375</v>
      </c>
      <c r="H3861" s="51" t="n">
        <v>288200</v>
      </c>
      <c r="I3861" s="46" t="inlineStr">
        <is>
          <t>당효진</t>
        </is>
      </c>
      <c r="K3861" s="46" t="n">
        <v>3860</v>
      </c>
      <c r="L3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2">
      <c r="A3862" s="229" t="n">
        <v>46307</v>
      </c>
      <c r="B3862" s="46" t="inlineStr">
        <is>
          <t>정기검사</t>
        </is>
      </c>
      <c r="C3862" s="46" t="inlineStr">
        <is>
          <t>김포지역</t>
        </is>
      </c>
      <c r="D3862" s="46" t="inlineStr">
        <is>
          <t>인투알</t>
        </is>
      </c>
      <c r="E3862" s="46" t="n">
        <v>95</v>
      </c>
      <c r="F3862" s="46" t="inlineStr">
        <is>
          <t>학운리</t>
        </is>
      </c>
      <c r="G3862" s="50" t="n">
        <v>0.5416666666666666</v>
      </c>
      <c r="H3862" s="51" t="n">
        <v>287100</v>
      </c>
      <c r="I3862" s="46" t="inlineStr">
        <is>
          <t>당효진</t>
        </is>
      </c>
      <c r="K3862" s="46" t="n">
        <v>3861</v>
      </c>
      <c r="L3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3">
      <c r="A3863" s="229" t="n">
        <v>46307</v>
      </c>
      <c r="B3863" s="46" t="inlineStr">
        <is>
          <t>정기검사</t>
        </is>
      </c>
      <c r="C3863" s="46" t="inlineStr">
        <is>
          <t>김포지역</t>
        </is>
      </c>
      <c r="D3863" s="46" t="inlineStr">
        <is>
          <t>지엘케이</t>
        </is>
      </c>
      <c r="E3863" s="46" t="n">
        <v>295</v>
      </c>
      <c r="F3863" s="46" t="inlineStr">
        <is>
          <t>학운리</t>
        </is>
      </c>
      <c r="G3863" s="50" t="n">
        <v>0.3958333333333333</v>
      </c>
      <c r="H3863" s="51" t="n">
        <v>518430</v>
      </c>
      <c r="I3863" s="46" t="inlineStr">
        <is>
          <t>변종국</t>
        </is>
      </c>
      <c r="K3863" s="46" t="n">
        <v>3862</v>
      </c>
      <c r="L3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4">
      <c r="A3864" s="229" t="n">
        <v>46307</v>
      </c>
      <c r="B3864" s="46" t="inlineStr">
        <is>
          <t>정기검사</t>
        </is>
      </c>
      <c r="C3864" s="46" t="inlineStr">
        <is>
          <t>김포지역</t>
        </is>
      </c>
      <c r="D3864" s="46" t="inlineStr">
        <is>
          <t>우진퍼니처</t>
        </is>
      </c>
      <c r="E3864" s="46" t="n">
        <v>300</v>
      </c>
      <c r="F3864" s="46" t="inlineStr">
        <is>
          <t>쇄암리</t>
        </is>
      </c>
      <c r="G3864" s="50" t="n">
        <v>0.4791666666666667</v>
      </c>
      <c r="H3864" s="51" t="n">
        <v>521730</v>
      </c>
      <c r="I3864" s="46" t="inlineStr">
        <is>
          <t>정신배</t>
        </is>
      </c>
      <c r="K3864" s="46" t="n">
        <v>3863</v>
      </c>
      <c r="L3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5">
      <c r="A3865" s="229" t="n">
        <v>46307</v>
      </c>
      <c r="B3865" s="46" t="inlineStr">
        <is>
          <t>정기검사</t>
        </is>
      </c>
      <c r="C3865" s="46" t="inlineStr">
        <is>
          <t>김포지역</t>
        </is>
      </c>
      <c r="D3865" s="46" t="inlineStr">
        <is>
          <t>천연목재</t>
        </is>
      </c>
      <c r="E3865" s="46" t="n">
        <v>890</v>
      </c>
      <c r="F3865" s="46" t="inlineStr">
        <is>
          <t>갈산리</t>
        </is>
      </c>
      <c r="G3865" s="50" t="n">
        <v>0.4791666666666667</v>
      </c>
      <c r="H3865" s="51" t="n">
        <v>869110</v>
      </c>
      <c r="I3865" s="46" t="inlineStr">
        <is>
          <t>서수형</t>
        </is>
      </c>
      <c r="K3865" s="46" t="n">
        <v>3864</v>
      </c>
      <c r="L3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6">
      <c r="A3866" s="229" t="n">
        <v>46307</v>
      </c>
      <c r="B3866" s="46" t="inlineStr">
        <is>
          <t>사용전검사</t>
        </is>
      </c>
      <c r="C3866" s="46" t="inlineStr">
        <is>
          <t>부천지역</t>
        </is>
      </c>
      <c r="D3866" s="46" t="inlineStr">
        <is>
          <t>소신여객</t>
        </is>
      </c>
      <c r="E3866" s="46" t="inlineStr">
        <is>
          <t>변변</t>
        </is>
      </c>
      <c r="F3866" s="46" t="n"/>
      <c r="G3866" s="50" t="n"/>
      <c r="H3866" s="51" t="n"/>
      <c r="I3866" s="46" t="inlineStr">
        <is>
          <t>허창수</t>
        </is>
      </c>
      <c r="K3866" s="46" t="n">
        <v>3865</v>
      </c>
      <c r="L3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7">
      <c r="A3867" s="229" t="n">
        <v>46307</v>
      </c>
      <c r="B3867" s="46" t="inlineStr">
        <is>
          <t>사용전검사</t>
        </is>
      </c>
      <c r="C3867" s="46" t="inlineStr">
        <is>
          <t>부천지역</t>
        </is>
      </c>
      <c r="D3867" s="46" t="inlineStr">
        <is>
          <t>옥길근린공원</t>
        </is>
      </c>
      <c r="E3867" s="46" t="n">
        <v>85</v>
      </c>
      <c r="F3867" s="46" t="inlineStr">
        <is>
          <t>옥길동</t>
        </is>
      </c>
      <c r="G3867" s="50" t="n"/>
      <c r="H3867" s="51" t="n"/>
      <c r="I3867" s="46" t="inlineStr">
        <is>
          <t>민재홍</t>
        </is>
      </c>
      <c r="K3867" s="46" t="n">
        <v>3866</v>
      </c>
      <c r="L3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8">
      <c r="A3868" s="229" t="n">
        <v>46307</v>
      </c>
      <c r="B3868" s="46" t="inlineStr">
        <is>
          <t>메모</t>
        </is>
      </c>
      <c r="C3868" s="46" t="inlineStr">
        <is>
          <t>부천지역</t>
        </is>
      </c>
      <c r="D3868" s="46" t="inlineStr">
        <is>
          <t>이덕기휴가</t>
        </is>
      </c>
      <c r="E3868" s="46" t="n"/>
      <c r="F3868" s="46" t="n"/>
      <c r="G3868" s="50" t="n"/>
      <c r="H3868" s="51" t="n"/>
      <c r="I3868" s="46" t="n"/>
      <c r="K3868" s="46" t="n">
        <v>3867</v>
      </c>
      <c r="L3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9">
      <c r="A3869" s="229" t="n">
        <v>46307</v>
      </c>
      <c r="B3869" s="46" t="inlineStr">
        <is>
          <t>사용전검사</t>
        </is>
      </c>
      <c r="C3869" s="46" t="inlineStr">
        <is>
          <t>김포지역</t>
        </is>
      </c>
      <c r="D3869" s="46" t="inlineStr">
        <is>
          <t>선덕태양광</t>
        </is>
      </c>
      <c r="E3869" s="46" t="n">
        <v>59</v>
      </c>
      <c r="F3869" s="46" t="inlineStr">
        <is>
          <t>개곡리</t>
        </is>
      </c>
      <c r="G3869" s="50" t="n"/>
      <c r="H3869" s="51" t="n"/>
      <c r="I3869" s="46" t="inlineStr">
        <is>
          <t>변종국</t>
        </is>
      </c>
      <c r="K3869" s="46" t="n">
        <v>3868</v>
      </c>
      <c r="L3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0">
      <c r="A3870" s="229" t="n">
        <v>46307</v>
      </c>
      <c r="B3870" s="46" t="inlineStr">
        <is>
          <t>사용전검사</t>
        </is>
      </c>
      <c r="C3870" s="46" t="inlineStr">
        <is>
          <t>김포지역</t>
        </is>
      </c>
      <c r="D3870" s="46" t="inlineStr">
        <is>
          <t>대벽태양광</t>
        </is>
      </c>
      <c r="E3870" s="46" t="n">
        <v>408</v>
      </c>
      <c r="F3870" s="46" t="inlineStr">
        <is>
          <t>약암리</t>
        </is>
      </c>
      <c r="G3870" s="50" t="n"/>
      <c r="H3870" s="51" t="n"/>
      <c r="I3870" s="46" t="inlineStr">
        <is>
          <t>정신배</t>
        </is>
      </c>
      <c r="K3870" s="46" t="n">
        <v>3869</v>
      </c>
      <c r="L3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1">
      <c r="A3871" s="229" t="n">
        <v>46307</v>
      </c>
      <c r="B3871" s="46" t="inlineStr">
        <is>
          <t>사용전검사</t>
        </is>
      </c>
      <c r="C3871" s="46" t="inlineStr">
        <is>
          <t>김포지역</t>
        </is>
      </c>
      <c r="D3871" s="46" t="inlineStr">
        <is>
          <t>엠에스텐</t>
        </is>
      </c>
      <c r="E3871" s="46" t="n">
        <v>150</v>
      </c>
      <c r="F3871" s="46" t="inlineStr">
        <is>
          <t>풍무동</t>
        </is>
      </c>
      <c r="G3871" s="50" t="n"/>
      <c r="H3871" s="51" t="n"/>
      <c r="I3871" s="46" t="inlineStr">
        <is>
          <t>한태희</t>
        </is>
      </c>
      <c r="K3871" s="46" t="n">
        <v>3870</v>
      </c>
      <c r="L3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2">
      <c r="A3872" s="229" t="n">
        <v>46307</v>
      </c>
      <c r="B3872" s="46" t="inlineStr">
        <is>
          <t>사용전검사</t>
        </is>
      </c>
      <c r="C3872" s="46" t="inlineStr">
        <is>
          <t>김포지역</t>
        </is>
      </c>
      <c r="D3872" s="46" t="inlineStr">
        <is>
          <t>상동폴리태양광</t>
        </is>
      </c>
      <c r="E3872" s="46" t="n">
        <v>67</v>
      </c>
      <c r="F3872" s="46" t="inlineStr">
        <is>
          <t>옹정리</t>
        </is>
      </c>
      <c r="G3872" s="50" t="n"/>
      <c r="H3872" s="51" t="n"/>
      <c r="I3872" s="46" t="inlineStr">
        <is>
          <t>당효진</t>
        </is>
      </c>
      <c r="K3872" s="46" t="n">
        <v>3871</v>
      </c>
      <c r="L3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3">
      <c r="A3873" s="229" t="n">
        <v>46308</v>
      </c>
      <c r="B3873" s="46" t="inlineStr">
        <is>
          <t>정기검사</t>
        </is>
      </c>
      <c r="C3873" s="46" t="inlineStr">
        <is>
          <t>부천지역</t>
        </is>
      </c>
      <c r="D3873" s="46" t="inlineStr">
        <is>
          <t>연화마을쌍용</t>
        </is>
      </c>
      <c r="E3873" s="46" t="inlineStr">
        <is>
          <t>950/285</t>
        </is>
      </c>
      <c r="F3873" s="46" t="inlineStr">
        <is>
          <t>상동</t>
        </is>
      </c>
      <c r="G3873" s="50" t="n">
        <v>0.4166666666666667</v>
      </c>
      <c r="H3873" s="51" t="n">
        <v>1110340</v>
      </c>
      <c r="I3873" s="46" t="inlineStr">
        <is>
          <t>이종석</t>
        </is>
      </c>
      <c r="K3873" s="46" t="n">
        <v>3872</v>
      </c>
      <c r="L3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4">
      <c r="A3874" s="229" t="n">
        <v>46308</v>
      </c>
      <c r="B3874" s="46" t="inlineStr">
        <is>
          <t>정기검사</t>
        </is>
      </c>
      <c r="C3874" s="46" t="inlineStr">
        <is>
          <t>부천지역</t>
        </is>
      </c>
      <c r="D3874" s="46" t="inlineStr">
        <is>
          <t>연화마을쌍용</t>
        </is>
      </c>
      <c r="E3874" s="46" t="inlineStr">
        <is>
          <t>전기차</t>
        </is>
      </c>
      <c r="F3874" s="46" t="n"/>
      <c r="G3874" s="50" t="n"/>
      <c r="H3874" s="51" t="n">
        <v>123530</v>
      </c>
      <c r="I3874" s="46" t="inlineStr">
        <is>
          <t>이종석</t>
        </is>
      </c>
      <c r="K3874" s="46" t="n">
        <v>3873</v>
      </c>
      <c r="L3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5">
      <c r="A3875" s="229" t="n">
        <v>46308</v>
      </c>
      <c r="B3875" s="46" t="inlineStr">
        <is>
          <t>정기검사</t>
        </is>
      </c>
      <c r="C3875" s="46" t="inlineStr">
        <is>
          <t>부천지역</t>
        </is>
      </c>
      <c r="D3875" s="46" t="inlineStr">
        <is>
          <t>일죽224</t>
        </is>
      </c>
      <c r="E3875" s="46" t="n">
        <v>300</v>
      </c>
      <c r="F3875" s="46" t="inlineStr">
        <is>
          <t>심곡본동</t>
        </is>
      </c>
      <c r="G3875" s="50" t="n">
        <v>0.6041666666666666</v>
      </c>
      <c r="H3875" s="51" t="n">
        <v>521730</v>
      </c>
      <c r="I3875" s="46" t="inlineStr">
        <is>
          <t>당효진</t>
        </is>
      </c>
      <c r="K3875" s="46" t="n">
        <v>3874</v>
      </c>
      <c r="L3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6">
      <c r="A3876" s="229" t="n">
        <v>46308</v>
      </c>
      <c r="B3876" s="46" t="inlineStr">
        <is>
          <t>정기검사</t>
        </is>
      </c>
      <c r="C3876" s="46" t="inlineStr">
        <is>
          <t>부천지역</t>
        </is>
      </c>
      <c r="D3876" s="46" t="inlineStr">
        <is>
          <t>월드레르디앙</t>
        </is>
      </c>
      <c r="E3876" s="46" t="inlineStr">
        <is>
          <t>1117/436</t>
        </is>
      </c>
      <c r="F3876" s="46" t="inlineStr">
        <is>
          <t>중동</t>
        </is>
      </c>
      <c r="G3876" s="50" t="n">
        <v>0.4791666666666667</v>
      </c>
      <c r="H3876" s="51" t="n">
        <v>1922580</v>
      </c>
      <c r="I3876" s="46" t="inlineStr">
        <is>
          <t>민재홍</t>
        </is>
      </c>
      <c r="K3876" s="46" t="n">
        <v>3875</v>
      </c>
      <c r="L3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7">
      <c r="A3877" s="229" t="n">
        <v>46308</v>
      </c>
      <c r="B3877" s="46" t="inlineStr">
        <is>
          <t>정기검사</t>
        </is>
      </c>
      <c r="C3877" s="46" t="inlineStr">
        <is>
          <t>부천지역</t>
        </is>
      </c>
      <c r="D3877" s="46" t="inlineStr">
        <is>
          <t>옥길센트러빌</t>
        </is>
      </c>
      <c r="E3877" s="46" t="inlineStr">
        <is>
          <t>전기차</t>
        </is>
      </c>
      <c r="F3877" s="46" t="inlineStr">
        <is>
          <t>옥길동</t>
        </is>
      </c>
      <c r="G3877" s="50" t="n">
        <v>0.3958333333333333</v>
      </c>
      <c r="H3877" s="51" t="n">
        <v>292930</v>
      </c>
      <c r="I3877" s="46" t="inlineStr">
        <is>
          <t>허록종</t>
        </is>
      </c>
      <c r="K3877" s="46" t="n">
        <v>3876</v>
      </c>
      <c r="L3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8">
      <c r="A3878" s="229" t="n">
        <v>46308</v>
      </c>
      <c r="B3878" s="46" t="inlineStr">
        <is>
          <t>정기검사</t>
        </is>
      </c>
      <c r="C3878" s="46" t="inlineStr">
        <is>
          <t>부천지역</t>
        </is>
      </c>
      <c r="D3878" s="46" t="inlineStr">
        <is>
          <t>옥길자이</t>
        </is>
      </c>
      <c r="E3878" s="46" t="inlineStr">
        <is>
          <t>2250/591</t>
        </is>
      </c>
      <c r="F3878" s="46" t="inlineStr">
        <is>
          <t>옥길동</t>
        </is>
      </c>
      <c r="G3878" s="50" t="n">
        <v>0.4375</v>
      </c>
      <c r="H3878" s="51" t="n">
        <v>1373460</v>
      </c>
      <c r="I3878" s="46" t="inlineStr">
        <is>
          <t>허록종</t>
        </is>
      </c>
      <c r="K3878" s="46" t="n">
        <v>3877</v>
      </c>
      <c r="L3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9">
      <c r="A3879" s="229" t="n">
        <v>46308</v>
      </c>
      <c r="B3879" s="46" t="inlineStr">
        <is>
          <t>정기검사</t>
        </is>
      </c>
      <c r="C3879" s="46" t="inlineStr">
        <is>
          <t>김포지역</t>
        </is>
      </c>
      <c r="D3879" s="46" t="inlineStr">
        <is>
          <t>성원</t>
        </is>
      </c>
      <c r="E3879" s="46" t="n">
        <v>400</v>
      </c>
      <c r="F3879" s="46" t="inlineStr">
        <is>
          <t>서암리</t>
        </is>
      </c>
      <c r="G3879" s="50" t="n">
        <v>0.5</v>
      </c>
      <c r="H3879" s="51" t="n">
        <v>703120</v>
      </c>
      <c r="I3879" s="46" t="inlineStr">
        <is>
          <t>서수형</t>
        </is>
      </c>
      <c r="K3879" s="46" t="n">
        <v>3878</v>
      </c>
      <c r="L3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0">
      <c r="A3880" s="229" t="n">
        <v>46308</v>
      </c>
      <c r="B3880" s="46" t="inlineStr">
        <is>
          <t>정기검사</t>
        </is>
      </c>
      <c r="C3880" s="46" t="inlineStr">
        <is>
          <t>김포지역</t>
        </is>
      </c>
      <c r="D3880" s="46" t="inlineStr">
        <is>
          <t>희영무지개아파트</t>
        </is>
      </c>
      <c r="E3880" s="46" t="inlineStr">
        <is>
          <t>800/182</t>
        </is>
      </c>
      <c r="F3880" s="46" t="inlineStr">
        <is>
          <t>양곡</t>
        </is>
      </c>
      <c r="G3880" s="50" t="n">
        <v>0.4583333333333333</v>
      </c>
      <c r="H3880" s="51" t="n">
        <v>1029050</v>
      </c>
      <c r="I3880" s="46" t="inlineStr">
        <is>
          <t>김영권</t>
        </is>
      </c>
      <c r="K3880" s="46" t="n">
        <v>3879</v>
      </c>
      <c r="L3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1">
      <c r="A3881" s="229" t="n">
        <v>46308</v>
      </c>
      <c r="B3881" s="46" t="inlineStr">
        <is>
          <t>정기검사</t>
        </is>
      </c>
      <c r="C3881" s="46" t="inlineStr">
        <is>
          <t>김포지역</t>
        </is>
      </c>
      <c r="D3881" s="46" t="inlineStr">
        <is>
          <t>미래즈</t>
        </is>
      </c>
      <c r="E3881" s="46" t="n">
        <v>250</v>
      </c>
      <c r="F3881" s="46" t="inlineStr">
        <is>
          <t>양곡리</t>
        </is>
      </c>
      <c r="G3881" s="50" t="n">
        <v>0.4791666666666667</v>
      </c>
      <c r="H3881" s="51" t="n">
        <v>489170</v>
      </c>
      <c r="I3881" s="46" t="inlineStr">
        <is>
          <t>정성관</t>
        </is>
      </c>
      <c r="K3881" s="46" t="n">
        <v>3880</v>
      </c>
      <c r="L3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2">
      <c r="A3882" s="229" t="n">
        <v>46308</v>
      </c>
      <c r="B3882" s="46" t="inlineStr">
        <is>
          <t>정기검사</t>
        </is>
      </c>
      <c r="C3882" s="46" t="inlineStr">
        <is>
          <t>김포지역</t>
        </is>
      </c>
      <c r="D3882" s="46" t="inlineStr">
        <is>
          <t>희영무지개아파트</t>
        </is>
      </c>
      <c r="E3882" s="46" t="inlineStr">
        <is>
          <t>전기차</t>
        </is>
      </c>
      <c r="F3882" s="46" t="n"/>
      <c r="G3882" s="50" t="n"/>
      <c r="H3882" s="51" t="n">
        <v>89650</v>
      </c>
      <c r="I3882" s="46" t="inlineStr">
        <is>
          <t>김영권</t>
        </is>
      </c>
      <c r="K3882" s="46" t="n">
        <v>3881</v>
      </c>
      <c r="L3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3">
      <c r="A3883" s="229" t="n">
        <v>46308</v>
      </c>
      <c r="B3883" s="46" t="inlineStr">
        <is>
          <t>정기검사</t>
        </is>
      </c>
      <c r="C3883" s="46" t="inlineStr">
        <is>
          <t>김포지역</t>
        </is>
      </c>
      <c r="D3883" s="46" t="inlineStr">
        <is>
          <t>마그마</t>
        </is>
      </c>
      <c r="E3883" s="46" t="n">
        <v>150</v>
      </c>
      <c r="F3883" s="46" t="inlineStr">
        <is>
          <t>풍무동</t>
        </is>
      </c>
      <c r="G3883" s="50" t="n">
        <v>0.5208333333333334</v>
      </c>
      <c r="H3883" s="51" t="n">
        <v>424160</v>
      </c>
      <c r="I3883" s="46" t="inlineStr">
        <is>
          <t>옹승완</t>
        </is>
      </c>
      <c r="K3883" s="46" t="n">
        <v>3882</v>
      </c>
      <c r="L3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4">
      <c r="A3884" s="229" t="n">
        <v>46308</v>
      </c>
      <c r="B3884" s="46" t="inlineStr">
        <is>
          <t>정기검사</t>
        </is>
      </c>
      <c r="C3884" s="46" t="inlineStr">
        <is>
          <t>김포지역</t>
        </is>
      </c>
      <c r="D3884" s="46" t="inlineStr">
        <is>
          <t>태웅</t>
        </is>
      </c>
      <c r="E3884" s="46" t="n">
        <v>200</v>
      </c>
      <c r="F3884" s="46" t="inlineStr">
        <is>
          <t>귀전리</t>
        </is>
      </c>
      <c r="G3884" s="50" t="n">
        <v>0.3958333333333333</v>
      </c>
      <c r="H3884" s="51" t="n">
        <v>456720</v>
      </c>
      <c r="I3884" s="46" t="inlineStr">
        <is>
          <t>변종국</t>
        </is>
      </c>
      <c r="K3884" s="46" t="n">
        <v>3883</v>
      </c>
      <c r="L3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5">
      <c r="A3885" s="229" t="n">
        <v>46308</v>
      </c>
      <c r="B3885" s="46" t="inlineStr">
        <is>
          <t>정기검사</t>
        </is>
      </c>
      <c r="C3885" s="46" t="inlineStr">
        <is>
          <t>김포지역</t>
        </is>
      </c>
      <c r="D3885" s="46" t="inlineStr">
        <is>
          <t>한강레미안</t>
        </is>
      </c>
      <c r="E3885" s="46" t="inlineStr">
        <is>
          <t>전기차</t>
        </is>
      </c>
      <c r="F3885" s="46" t="inlineStr">
        <is>
          <t>장기동</t>
        </is>
      </c>
      <c r="G3885" s="50" t="n">
        <v>0.3958333333333333</v>
      </c>
      <c r="H3885" s="51" t="n">
        <v>132000</v>
      </c>
      <c r="I3885" s="46" t="inlineStr">
        <is>
          <t>정신배</t>
        </is>
      </c>
      <c r="K3885" s="46" t="n">
        <v>3884</v>
      </c>
      <c r="L3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6">
      <c r="A3886" s="229" t="n">
        <v>46308</v>
      </c>
      <c r="B3886" s="46" t="inlineStr">
        <is>
          <t>사용전검사</t>
        </is>
      </c>
      <c r="C3886" s="46" t="inlineStr">
        <is>
          <t>부천지역</t>
        </is>
      </c>
      <c r="D3886" s="46" t="inlineStr">
        <is>
          <t>복사골건영</t>
        </is>
      </c>
      <c r="E3886" s="46" t="inlineStr">
        <is>
          <t>변변</t>
        </is>
      </c>
      <c r="F3886" s="46" t="inlineStr">
        <is>
          <t>중동</t>
        </is>
      </c>
      <c r="G3886" s="50" t="n">
        <v>0.625</v>
      </c>
      <c r="H3886" s="51" t="n"/>
      <c r="I3886" s="46" t="inlineStr">
        <is>
          <t>민재홍</t>
        </is>
      </c>
      <c r="K3886" s="46" t="n">
        <v>3885</v>
      </c>
      <c r="L3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7">
      <c r="A3887" s="229" t="n">
        <v>46308</v>
      </c>
      <c r="B3887" s="46" t="inlineStr">
        <is>
          <t>사용전검사</t>
        </is>
      </c>
      <c r="C3887" s="46" t="inlineStr">
        <is>
          <t>부천지역</t>
        </is>
      </c>
      <c r="D3887" s="46" t="inlineStr">
        <is>
          <t>천년푸드</t>
        </is>
      </c>
      <c r="E3887" s="46" t="n">
        <v>15</v>
      </c>
      <c r="F3887" s="46" t="inlineStr">
        <is>
          <t>범받공</t>
        </is>
      </c>
      <c r="G3887" s="50" t="n"/>
      <c r="H3887" s="51" t="n"/>
      <c r="I3887" s="46" t="inlineStr">
        <is>
          <t>당효진</t>
        </is>
      </c>
      <c r="K3887" s="46" t="n">
        <v>3886</v>
      </c>
      <c r="L3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8">
      <c r="A3888" s="229" t="n">
        <v>46308</v>
      </c>
      <c r="B3888" s="46" t="inlineStr">
        <is>
          <t>메모</t>
        </is>
      </c>
      <c r="C3888" s="46" t="inlineStr">
        <is>
          <t>부천지역</t>
        </is>
      </c>
      <c r="D3888" s="46" t="inlineStr">
        <is>
          <t>한태희휴가</t>
        </is>
      </c>
      <c r="E3888" s="46" t="inlineStr">
        <is>
          <t>허록종- 당효진</t>
        </is>
      </c>
      <c r="F3888" s="46" t="n"/>
      <c r="G3888" s="50" t="n"/>
      <c r="H3888" s="51" t="n"/>
      <c r="I3888" s="46" t="n"/>
      <c r="K3888" s="46" t="n">
        <v>3887</v>
      </c>
      <c r="L3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9">
      <c r="A3889" s="229" t="n">
        <v>46308</v>
      </c>
      <c r="B3889" s="46" t="inlineStr">
        <is>
          <t>메모</t>
        </is>
      </c>
      <c r="C3889" s="46" t="inlineStr">
        <is>
          <t>부천지역</t>
        </is>
      </c>
      <c r="D3889" s="46" t="inlineStr">
        <is>
          <t>송낙명건강</t>
        </is>
      </c>
      <c r="E3889" s="46" t="n"/>
      <c r="F3889" s="46" t="n"/>
      <c r="G3889" s="50" t="n"/>
      <c r="H3889" s="51" t="n"/>
      <c r="I3889" s="46" t="n"/>
      <c r="K3889" s="46" t="n">
        <v>3888</v>
      </c>
      <c r="L3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0">
      <c r="A3890" s="229" t="n">
        <v>46308</v>
      </c>
      <c r="B3890" s="46" t="inlineStr">
        <is>
          <t>메모</t>
        </is>
      </c>
      <c r="C3890" s="46" t="inlineStr">
        <is>
          <t>부천지역</t>
        </is>
      </c>
      <c r="D3890" s="46" t="inlineStr">
        <is>
          <t>이덕기휴가</t>
        </is>
      </c>
      <c r="E3890" s="46" t="n"/>
      <c r="F3890" s="46" t="n"/>
      <c r="G3890" s="50" t="n"/>
      <c r="H3890" s="51" t="n"/>
      <c r="I3890" s="46" t="n"/>
      <c r="K3890" s="46" t="n">
        <v>3889</v>
      </c>
      <c r="L3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1">
      <c r="A3891" s="229" t="n">
        <v>46308</v>
      </c>
      <c r="B3891" s="46" t="inlineStr">
        <is>
          <t>사용전검사</t>
        </is>
      </c>
      <c r="C3891" s="46" t="inlineStr">
        <is>
          <t>김포지역</t>
        </is>
      </c>
      <c r="D3891" s="46" t="inlineStr">
        <is>
          <t>서전발맥태양광</t>
        </is>
      </c>
      <c r="E3891" s="46" t="n">
        <v>296</v>
      </c>
      <c r="F3891" s="46" t="inlineStr">
        <is>
          <t>초원지리</t>
        </is>
      </c>
      <c r="G3891" s="50" t="n"/>
      <c r="H3891" s="51" t="n"/>
      <c r="I3891" s="46" t="inlineStr">
        <is>
          <t>정신배</t>
        </is>
      </c>
      <c r="K3891" s="46" t="n">
        <v>3890</v>
      </c>
      <c r="L3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2">
      <c r="A3892" s="229" t="n">
        <v>46308</v>
      </c>
      <c r="B3892" s="46" t="inlineStr">
        <is>
          <t>사용전검사</t>
        </is>
      </c>
      <c r="C3892" s="46" t="inlineStr">
        <is>
          <t>김포지역</t>
        </is>
      </c>
      <c r="D3892" s="46" t="inlineStr">
        <is>
          <t>한국로지스풀</t>
        </is>
      </c>
      <c r="E3892" s="46" t="n">
        <v>339</v>
      </c>
      <c r="F3892" s="46" t="inlineStr">
        <is>
          <t>학운리</t>
        </is>
      </c>
      <c r="G3892" s="50" t="n"/>
      <c r="H3892" s="51" t="n"/>
      <c r="I3892" s="46" t="inlineStr">
        <is>
          <t>허창수</t>
        </is>
      </c>
      <c r="K3892" s="46" t="n">
        <v>3891</v>
      </c>
      <c r="L3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3">
      <c r="A3893" s="229" t="n">
        <v>46308</v>
      </c>
      <c r="B3893" s="46" t="inlineStr">
        <is>
          <t>사용전검사</t>
        </is>
      </c>
      <c r="C3893" s="46" t="inlineStr">
        <is>
          <t>김포지역</t>
        </is>
      </c>
      <c r="D3893" s="46" t="inlineStr">
        <is>
          <t>한국로지스풀</t>
        </is>
      </c>
      <c r="E3893" s="46" t="n">
        <v>340</v>
      </c>
      <c r="F3893" s="46" t="inlineStr">
        <is>
          <t>학운리</t>
        </is>
      </c>
      <c r="G3893" s="50" t="n"/>
      <c r="H3893" s="51" t="n"/>
      <c r="I3893" s="46" t="inlineStr">
        <is>
          <t>허창수</t>
        </is>
      </c>
      <c r="K3893" s="46" t="n">
        <v>3892</v>
      </c>
      <c r="L3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4">
      <c r="A3894" s="229" t="n">
        <v>46309</v>
      </c>
      <c r="B3894" s="46" t="inlineStr">
        <is>
          <t>정기검사</t>
        </is>
      </c>
      <c r="C3894" s="46" t="inlineStr">
        <is>
          <t>부천지역</t>
        </is>
      </c>
      <c r="D3894" s="46" t="inlineStr">
        <is>
          <t>제이케이세어링</t>
        </is>
      </c>
      <c r="E3894" s="46" t="inlineStr">
        <is>
          <t>600/270</t>
        </is>
      </c>
      <c r="F3894" s="46" t="inlineStr">
        <is>
          <t>상동</t>
        </is>
      </c>
      <c r="G3894" s="50" t="n">
        <v>0.4791666666666667</v>
      </c>
      <c r="H3894" s="51" t="n">
        <v>987360</v>
      </c>
      <c r="I3894" s="46" t="inlineStr">
        <is>
          <t>민재홍</t>
        </is>
      </c>
      <c r="K3894" s="46" t="n">
        <v>3893</v>
      </c>
      <c r="L3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5">
      <c r="A3895" s="229" t="n">
        <v>46309</v>
      </c>
      <c r="B3895" s="46" t="inlineStr">
        <is>
          <t>정기검사</t>
        </is>
      </c>
      <c r="C3895" s="46" t="inlineStr">
        <is>
          <t>부천지역</t>
        </is>
      </c>
      <c r="D3895" s="46" t="inlineStr">
        <is>
          <t>오정본병원</t>
        </is>
      </c>
      <c r="E3895" s="46" t="n">
        <v>700</v>
      </c>
      <c r="F3895" s="46" t="inlineStr">
        <is>
          <t>원종동</t>
        </is>
      </c>
      <c r="G3895" s="50" t="n">
        <v>0.5833333333333334</v>
      </c>
      <c r="H3895" s="51" t="n">
        <v>963270</v>
      </c>
      <c r="I3895" s="46" t="inlineStr">
        <is>
          <t>정신배</t>
        </is>
      </c>
      <c r="K3895" s="46" t="n">
        <v>3894</v>
      </c>
      <c r="L3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6">
      <c r="A3896" s="229" t="n">
        <v>46309</v>
      </c>
      <c r="B3896" s="46" t="inlineStr">
        <is>
          <t>정기검사</t>
        </is>
      </c>
      <c r="C3896" s="46" t="inlineStr">
        <is>
          <t>부천지역</t>
        </is>
      </c>
      <c r="D3896" s="46" t="inlineStr">
        <is>
          <t>청도포그니에</t>
        </is>
      </c>
      <c r="E3896" s="46" t="inlineStr">
        <is>
          <t>500/230</t>
        </is>
      </c>
      <c r="F3896" s="46" t="inlineStr">
        <is>
          <t>역곡</t>
        </is>
      </c>
      <c r="G3896" s="50" t="n">
        <v>0.5416666666666666</v>
      </c>
      <c r="H3896" s="51" t="n">
        <v>941600</v>
      </c>
      <c r="I3896" s="46" t="inlineStr">
        <is>
          <t>이종석</t>
        </is>
      </c>
      <c r="K3896" s="46" t="n">
        <v>3895</v>
      </c>
      <c r="L3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7">
      <c r="A3897" s="229" t="n">
        <v>46309</v>
      </c>
      <c r="B3897" s="46" t="inlineStr">
        <is>
          <t>정기검사</t>
        </is>
      </c>
      <c r="C3897" s="46" t="inlineStr">
        <is>
          <t>부천지역</t>
        </is>
      </c>
      <c r="D3897" s="46" t="inlineStr">
        <is>
          <t>청도포그니에</t>
        </is>
      </c>
      <c r="E3897" s="46" t="inlineStr">
        <is>
          <t>전기차</t>
        </is>
      </c>
      <c r="F3897" s="46" t="n"/>
      <c r="G3897" s="50" t="n"/>
      <c r="H3897" s="51" t="n">
        <v>64240</v>
      </c>
      <c r="I3897" s="46" t="inlineStr">
        <is>
          <t>이종석</t>
        </is>
      </c>
      <c r="K3897" s="46" t="n">
        <v>3896</v>
      </c>
      <c r="L3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8">
      <c r="A3898" s="229" t="n">
        <v>46309</v>
      </c>
      <c r="B3898" s="46" t="inlineStr">
        <is>
          <t>정기검사</t>
        </is>
      </c>
      <c r="C3898" s="46" t="inlineStr">
        <is>
          <t>부천지역</t>
        </is>
      </c>
      <c r="D3898" s="46" t="inlineStr">
        <is>
          <t>세화빌딩</t>
        </is>
      </c>
      <c r="E3898" s="46" t="n">
        <v>69</v>
      </c>
      <c r="F3898" s="46" t="inlineStr">
        <is>
          <t>상동</t>
        </is>
      </c>
      <c r="G3898" s="50" t="n">
        <v>0.3958333333333333</v>
      </c>
      <c r="H3898" s="51" t="n">
        <v>156970</v>
      </c>
      <c r="I3898" s="46" t="inlineStr">
        <is>
          <t>민재홍</t>
        </is>
      </c>
      <c r="K3898" s="46" t="n">
        <v>3897</v>
      </c>
      <c r="L3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9">
      <c r="A3899" s="229" t="n">
        <v>46309</v>
      </c>
      <c r="B3899" s="46" t="inlineStr">
        <is>
          <t>정기검사</t>
        </is>
      </c>
      <c r="C3899" s="46" t="inlineStr">
        <is>
          <t>부천지역</t>
        </is>
      </c>
      <c r="D3899" s="46" t="inlineStr">
        <is>
          <t>듀야드</t>
        </is>
      </c>
      <c r="E3899" s="46" t="n">
        <v>200</v>
      </c>
      <c r="F3899" s="46" t="inlineStr">
        <is>
          <t>워님동</t>
        </is>
      </c>
      <c r="G3899" s="50" t="n">
        <v>0.5208333333333334</v>
      </c>
      <c r="H3899" s="51" t="n">
        <v>456720</v>
      </c>
      <c r="I3899" s="46" t="inlineStr">
        <is>
          <t>정성관</t>
        </is>
      </c>
      <c r="K3899" s="46" t="n">
        <v>3898</v>
      </c>
      <c r="L3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0">
      <c r="A3900" s="229" t="n">
        <v>46309</v>
      </c>
      <c r="B3900" s="46" t="inlineStr">
        <is>
          <t>정기검사</t>
        </is>
      </c>
      <c r="C3900" s="46" t="inlineStr">
        <is>
          <t>부천지역</t>
        </is>
      </c>
      <c r="D3900" s="46" t="inlineStr">
        <is>
          <t>팰리스카운트</t>
        </is>
      </c>
      <c r="E3900" s="46" t="inlineStr">
        <is>
          <t>전기차</t>
        </is>
      </c>
      <c r="F3900" s="46" t="inlineStr">
        <is>
          <t>중동</t>
        </is>
      </c>
      <c r="G3900" s="50" t="n"/>
      <c r="H3900" s="51" t="n">
        <v>132000</v>
      </c>
      <c r="I3900" s="46" t="inlineStr">
        <is>
          <t>정신배</t>
        </is>
      </c>
      <c r="K3900" s="46" t="n">
        <v>3899</v>
      </c>
      <c r="L3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1">
      <c r="A3901" s="229" t="n">
        <v>46309</v>
      </c>
      <c r="B3901" s="46" t="inlineStr">
        <is>
          <t>정기검사</t>
        </is>
      </c>
      <c r="C3901" s="46" t="inlineStr">
        <is>
          <t>부천지역</t>
        </is>
      </c>
      <c r="D3901" s="46" t="inlineStr">
        <is>
          <t>승문프라자</t>
        </is>
      </c>
      <c r="E3901" s="46" t="inlineStr">
        <is>
          <t>950/150</t>
        </is>
      </c>
      <c r="F3901" s="46" t="inlineStr">
        <is>
          <t>장기동</t>
        </is>
      </c>
      <c r="G3901" s="50" t="n">
        <v>0.3958333333333333</v>
      </c>
      <c r="H3901" s="51" t="n">
        <v>1070410</v>
      </c>
      <c r="I3901" s="46" t="inlineStr">
        <is>
          <t>김영권</t>
        </is>
      </c>
      <c r="K3901" s="46" t="n">
        <v>3900</v>
      </c>
      <c r="L3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2">
      <c r="A3902" s="229" t="n">
        <v>46309</v>
      </c>
      <c r="B3902" s="46" t="inlineStr">
        <is>
          <t>정기검사</t>
        </is>
      </c>
      <c r="C3902" s="46" t="inlineStr">
        <is>
          <t>부천지역</t>
        </is>
      </c>
      <c r="D3902" s="46" t="inlineStr">
        <is>
          <t>보리수요양병원</t>
        </is>
      </c>
      <c r="E3902" s="46" t="inlineStr">
        <is>
          <t>600/210</t>
        </is>
      </c>
      <c r="F3902" s="46" t="inlineStr">
        <is>
          <t>운양동</t>
        </is>
      </c>
      <c r="G3902" s="50" t="n">
        <v>0.5555555555555556</v>
      </c>
      <c r="H3902" s="51" t="n">
        <v>969320</v>
      </c>
      <c r="I3902" s="46" t="inlineStr">
        <is>
          <t>허창수</t>
        </is>
      </c>
      <c r="K3902" s="46" t="n">
        <v>3901</v>
      </c>
      <c r="L3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3">
      <c r="A3903" s="229" t="n">
        <v>46309</v>
      </c>
      <c r="B3903" s="46" t="inlineStr">
        <is>
          <t>정기검사</t>
        </is>
      </c>
      <c r="C3903" s="46" t="inlineStr">
        <is>
          <t>부천지역</t>
        </is>
      </c>
      <c r="D3903" s="46" t="inlineStr">
        <is>
          <t>형제풍력</t>
        </is>
      </c>
      <c r="E3903" s="46" t="n">
        <v>200</v>
      </c>
      <c r="F3903" s="46" t="inlineStr">
        <is>
          <t>원산리</t>
        </is>
      </c>
      <c r="G3903" s="50" t="n">
        <v>0.5138888888888888</v>
      </c>
      <c r="H3903" s="51" t="n">
        <v>456720</v>
      </c>
      <c r="I3903" s="46" t="inlineStr">
        <is>
          <t>변종국</t>
        </is>
      </c>
      <c r="K3903" s="46" t="n">
        <v>3902</v>
      </c>
      <c r="L3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4">
      <c r="A3904" s="229" t="n">
        <v>46309</v>
      </c>
      <c r="B3904" s="46" t="inlineStr">
        <is>
          <t>정기검사</t>
        </is>
      </c>
      <c r="C3904" s="46" t="inlineStr">
        <is>
          <t>김포지역</t>
        </is>
      </c>
      <c r="D3904" s="46" t="inlineStr">
        <is>
          <t>김포레코파크</t>
        </is>
      </c>
      <c r="E3904" s="46" t="n">
        <v>6500</v>
      </c>
      <c r="F3904" s="46" t="inlineStr">
        <is>
          <t>걸포동</t>
        </is>
      </c>
      <c r="G3904" s="50" t="n">
        <v>0.25</v>
      </c>
      <c r="H3904" s="51" t="n">
        <v>2095390</v>
      </c>
      <c r="I3904" s="46" t="inlineStr">
        <is>
          <t>송낙명</t>
        </is>
      </c>
      <c r="K3904" s="46" t="n">
        <v>3903</v>
      </c>
      <c r="L3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5">
      <c r="A3905" s="229" t="n">
        <v>46309</v>
      </c>
      <c r="B3905" s="46" t="inlineStr">
        <is>
          <t>정기검사</t>
        </is>
      </c>
      <c r="C3905" s="46" t="inlineStr">
        <is>
          <t>김포지역</t>
        </is>
      </c>
      <c r="D3905" s="46" t="inlineStr">
        <is>
          <t>한국전력공사</t>
        </is>
      </c>
      <c r="E3905" s="46" t="inlineStr">
        <is>
          <t>전기차</t>
        </is>
      </c>
      <c r="F3905" s="46" t="inlineStr">
        <is>
          <t>장기동</t>
        </is>
      </c>
      <c r="G3905" s="50" t="n">
        <v>0.4166666666666667</v>
      </c>
      <c r="H3905" s="51" t="n">
        <v>193600</v>
      </c>
      <c r="I3905" s="46" t="inlineStr">
        <is>
          <t>옹승완</t>
        </is>
      </c>
      <c r="K3905" s="46" t="n">
        <v>3904</v>
      </c>
      <c r="L3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6">
      <c r="A3906" s="229" t="n">
        <v>46309</v>
      </c>
      <c r="B3906" s="46" t="inlineStr">
        <is>
          <t>정기검사</t>
        </is>
      </c>
      <c r="C3906" s="46" t="inlineStr">
        <is>
          <t>김포지역</t>
        </is>
      </c>
      <c r="D3906" s="46" t="inlineStr">
        <is>
          <t>현주태양광</t>
        </is>
      </c>
      <c r="E3906" s="46" t="n">
        <v>34</v>
      </c>
      <c r="F3906" s="46" t="inlineStr">
        <is>
          <t>귀전리</t>
        </is>
      </c>
      <c r="G3906" s="50" t="n">
        <v>0.4375</v>
      </c>
      <c r="H3906" s="51" t="n">
        <v>187220</v>
      </c>
      <c r="I3906" s="46" t="inlineStr">
        <is>
          <t>변종국</t>
        </is>
      </c>
      <c r="K3906" s="46" t="n">
        <v>3905</v>
      </c>
      <c r="L3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7">
      <c r="A3907" s="229" t="n">
        <v>46309</v>
      </c>
      <c r="B3907" s="46" t="inlineStr">
        <is>
          <t>정기검사</t>
        </is>
      </c>
      <c r="C3907" s="46" t="inlineStr">
        <is>
          <t>김포지역</t>
        </is>
      </c>
      <c r="D3907" s="46" t="inlineStr">
        <is>
          <t>김포공설봉안당</t>
        </is>
      </c>
      <c r="E3907" s="46" t="inlineStr">
        <is>
          <t>300/90</t>
        </is>
      </c>
      <c r="F3907" s="46" t="inlineStr">
        <is>
          <t>마산동</t>
        </is>
      </c>
      <c r="G3907" s="50" t="n">
        <v>0.3958333333333333</v>
      </c>
      <c r="H3907" s="51" t="n">
        <v>684970</v>
      </c>
      <c r="I3907" s="46" t="inlineStr">
        <is>
          <t>서수형</t>
        </is>
      </c>
      <c r="K3907" s="46" t="n">
        <v>3906</v>
      </c>
      <c r="L3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8">
      <c r="A3908" s="229" t="n">
        <v>46309</v>
      </c>
      <c r="B3908" s="46" t="inlineStr">
        <is>
          <t>정기검사</t>
        </is>
      </c>
      <c r="C3908" s="46" t="inlineStr">
        <is>
          <t>김포지역</t>
        </is>
      </c>
      <c r="D3908" s="46" t="inlineStr">
        <is>
          <t>이마트</t>
        </is>
      </c>
      <c r="E3908" s="46" t="inlineStr">
        <is>
          <t>전기차</t>
        </is>
      </c>
      <c r="F3908" s="46" t="inlineStr">
        <is>
          <t>구래동</t>
        </is>
      </c>
      <c r="G3908" s="50" t="n">
        <v>0.4166666666666667</v>
      </c>
      <c r="H3908" s="51" t="n">
        <v>106590</v>
      </c>
      <c r="I3908" s="46" t="inlineStr">
        <is>
          <t>당효진</t>
        </is>
      </c>
      <c r="K3908" s="46" t="n">
        <v>3907</v>
      </c>
      <c r="L3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9">
      <c r="A3909" s="229" t="n">
        <v>46309</v>
      </c>
      <c r="B3909" s="46" t="inlineStr">
        <is>
          <t>정기검사</t>
        </is>
      </c>
      <c r="C3909" s="46" t="inlineStr">
        <is>
          <t>김포지역</t>
        </is>
      </c>
      <c r="D3909" s="46" t="inlineStr">
        <is>
          <t>늘루른비엠씨</t>
        </is>
      </c>
      <c r="E3909" s="46" t="n">
        <v>500</v>
      </c>
      <c r="F3909" s="46" t="inlineStr">
        <is>
          <t>구래동</t>
        </is>
      </c>
      <c r="G3909" s="50" t="n">
        <v>0.3958333333333333</v>
      </c>
      <c r="H3909" s="51" t="n">
        <v>737000</v>
      </c>
      <c r="I3909" s="46" t="inlineStr">
        <is>
          <t>허록종</t>
        </is>
      </c>
      <c r="K3909" s="46" t="n">
        <v>3908</v>
      </c>
      <c r="L3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0">
      <c r="A3910" s="229" t="n">
        <v>46309</v>
      </c>
      <c r="B3910" s="46" t="inlineStr">
        <is>
          <t>정기검사</t>
        </is>
      </c>
      <c r="C3910" s="46" t="inlineStr">
        <is>
          <t>김포지역</t>
        </is>
      </c>
      <c r="D3910" s="46" t="inlineStr">
        <is>
          <t>현대태양광</t>
        </is>
      </c>
      <c r="E3910" s="46" t="n">
        <v>43</v>
      </c>
      <c r="F3910" s="46" t="inlineStr">
        <is>
          <t>귀전리</t>
        </is>
      </c>
      <c r="G3910" s="50" t="n">
        <v>0.4166666666666667</v>
      </c>
      <c r="H3910" s="51" t="n">
        <v>196680</v>
      </c>
      <c r="I3910" s="46" t="inlineStr">
        <is>
          <t>서수형</t>
        </is>
      </c>
      <c r="K3910" s="46" t="n">
        <v>3909</v>
      </c>
      <c r="L3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1">
      <c r="A3911" s="229" t="n">
        <v>46309</v>
      </c>
      <c r="B3911" s="46" t="inlineStr">
        <is>
          <t>정기검사</t>
        </is>
      </c>
      <c r="C3911" s="46" t="inlineStr">
        <is>
          <t>김포지역</t>
        </is>
      </c>
      <c r="D3911" s="46" t="inlineStr">
        <is>
          <t>엘지유플러스</t>
        </is>
      </c>
      <c r="E3911" s="46" t="inlineStr">
        <is>
          <t>전기차</t>
        </is>
      </c>
      <c r="F3911" s="46" t="inlineStr">
        <is>
          <t>구래동</t>
        </is>
      </c>
      <c r="G3911" s="50" t="n"/>
      <c r="H3911" s="51" t="n">
        <v>81180</v>
      </c>
      <c r="I3911" s="46" t="inlineStr">
        <is>
          <t>옹승완</t>
        </is>
      </c>
      <c r="K3911" s="46" t="n">
        <v>3910</v>
      </c>
      <c r="L3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2">
      <c r="A3912" s="229" t="n">
        <v>46309</v>
      </c>
      <c r="B3912" s="46" t="inlineStr">
        <is>
          <t>정기검사</t>
        </is>
      </c>
      <c r="C3912" s="46" t="inlineStr">
        <is>
          <t>김포지역</t>
        </is>
      </c>
      <c r="D3912" s="46" t="inlineStr">
        <is>
          <t>김포장릉</t>
        </is>
      </c>
      <c r="E3912" s="46" t="n">
        <v>24</v>
      </c>
      <c r="F3912" s="46" t="inlineStr">
        <is>
          <t>풍무동</t>
        </is>
      </c>
      <c r="G3912" s="50" t="n">
        <v>0.4791666666666667</v>
      </c>
      <c r="H3912" s="51" t="n">
        <v>176220</v>
      </c>
      <c r="I3912" s="46" t="inlineStr">
        <is>
          <t>옹승완</t>
        </is>
      </c>
      <c r="K3912" s="46" t="n">
        <v>3911</v>
      </c>
      <c r="L3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3">
      <c r="A3913" s="229" t="n">
        <v>46309</v>
      </c>
      <c r="B3913" s="46" t="inlineStr">
        <is>
          <t>정기검사</t>
        </is>
      </c>
      <c r="C3913" s="46" t="inlineStr">
        <is>
          <t>김포지역</t>
        </is>
      </c>
      <c r="D3913" s="46" t="inlineStr">
        <is>
          <t>갈산태양광</t>
        </is>
      </c>
      <c r="E3913" s="46" t="n">
        <v>59</v>
      </c>
      <c r="F3913" s="46" t="inlineStr">
        <is>
          <t>갈산리</t>
        </is>
      </c>
      <c r="G3913" s="50" t="n">
        <v>0.4791666666666667</v>
      </c>
      <c r="H3913" s="51" t="n">
        <v>213070</v>
      </c>
      <c r="I3913" s="46" t="inlineStr">
        <is>
          <t>옹승완</t>
        </is>
      </c>
      <c r="K3913" s="46" t="n">
        <v>3912</v>
      </c>
      <c r="L3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4">
      <c r="A3914" s="229" t="n">
        <v>46309</v>
      </c>
      <c r="B3914" s="46" t="inlineStr">
        <is>
          <t>메모</t>
        </is>
      </c>
      <c r="C3914" s="46" t="inlineStr">
        <is>
          <t>부천지역</t>
        </is>
      </c>
      <c r="D3914" s="46" t="inlineStr">
        <is>
          <t>이덕기휴가</t>
        </is>
      </c>
      <c r="E3914" s="46" t="inlineStr">
        <is>
          <t>허창수-당효진</t>
        </is>
      </c>
      <c r="F3914" s="46" t="n"/>
      <c r="G3914" s="50" t="n"/>
      <c r="H3914" s="51" t="n"/>
      <c r="I3914" s="46" t="n"/>
      <c r="K3914" s="46" t="n">
        <v>3913</v>
      </c>
      <c r="L3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5">
      <c r="A3915" s="229" t="n">
        <v>46309</v>
      </c>
      <c r="B3915" s="46" t="inlineStr">
        <is>
          <t>사용전검사</t>
        </is>
      </c>
      <c r="C3915" s="46" t="inlineStr">
        <is>
          <t>김포지역</t>
        </is>
      </c>
      <c r="D3915" s="46" t="inlineStr">
        <is>
          <t>공간찬넬</t>
        </is>
      </c>
      <c r="E3915" s="46" t="n">
        <v>294</v>
      </c>
      <c r="F3915" s="46" t="inlineStr">
        <is>
          <t>학운리</t>
        </is>
      </c>
      <c r="G3915" s="50" t="n"/>
      <c r="H3915" s="51" t="n"/>
      <c r="I3915" s="46" t="inlineStr">
        <is>
          <t>한태희</t>
        </is>
      </c>
      <c r="K3915" s="46" t="n">
        <v>3914</v>
      </c>
      <c r="L3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6">
      <c r="A3916" s="229" t="n">
        <v>46310</v>
      </c>
      <c r="B3916" s="46" t="inlineStr">
        <is>
          <t>정기검사</t>
        </is>
      </c>
      <c r="C3916" s="46" t="inlineStr">
        <is>
          <t>부천지역</t>
        </is>
      </c>
      <c r="D3916" s="46" t="inlineStr">
        <is>
          <t>이노컴</t>
        </is>
      </c>
      <c r="E3916" s="46" t="n">
        <v>500</v>
      </c>
      <c r="F3916" s="46" t="inlineStr">
        <is>
          <t>내동</t>
        </is>
      </c>
      <c r="G3916" s="50" t="n">
        <v>0.4791666666666667</v>
      </c>
      <c r="H3916" s="51" t="n">
        <v>737000</v>
      </c>
      <c r="I3916" s="46" t="inlineStr">
        <is>
          <t>이종석</t>
        </is>
      </c>
      <c r="K3916" s="46" t="n">
        <v>3915</v>
      </c>
      <c r="L3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7">
      <c r="A3917" s="229" t="n">
        <v>46310</v>
      </c>
      <c r="B3917" s="46" t="inlineStr">
        <is>
          <t>정기검사</t>
        </is>
      </c>
      <c r="C3917" s="46" t="inlineStr">
        <is>
          <t>부천지역</t>
        </is>
      </c>
      <c r="D3917" s="46" t="inlineStr">
        <is>
          <t>정인정밀</t>
        </is>
      </c>
      <c r="E3917" s="46" t="n">
        <v>225</v>
      </c>
      <c r="F3917" s="46" t="inlineStr">
        <is>
          <t>도당동</t>
        </is>
      </c>
      <c r="G3917" s="50" t="n">
        <v>0.5208333333333334</v>
      </c>
      <c r="H3917" s="51" t="n">
        <v>472890</v>
      </c>
      <c r="I3917" s="46" t="inlineStr">
        <is>
          <t>한태희</t>
        </is>
      </c>
      <c r="K3917" s="46" t="n">
        <v>3916</v>
      </c>
      <c r="L3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8">
      <c r="A3918" s="229" t="n">
        <v>46310</v>
      </c>
      <c r="B3918" s="46" t="inlineStr">
        <is>
          <t>정기검사</t>
        </is>
      </c>
      <c r="C3918" s="46" t="inlineStr">
        <is>
          <t>부천지역</t>
        </is>
      </c>
      <c r="D3918" s="46" t="inlineStr">
        <is>
          <t>운풍특수강</t>
        </is>
      </c>
      <c r="E3918" s="46" t="n">
        <v>300</v>
      </c>
      <c r="F3918" s="46" t="inlineStr">
        <is>
          <t>내동</t>
        </is>
      </c>
      <c r="G3918" s="50" t="n">
        <v>0.5416666666666666</v>
      </c>
      <c r="H3918" s="51" t="n">
        <v>521730</v>
      </c>
      <c r="I3918" s="46" t="inlineStr">
        <is>
          <t>이덕기</t>
        </is>
      </c>
      <c r="K3918" s="46" t="n">
        <v>3917</v>
      </c>
      <c r="L3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9">
      <c r="A3919" s="229" t="n">
        <v>46310</v>
      </c>
      <c r="B3919" s="46" t="inlineStr">
        <is>
          <t>정기검사</t>
        </is>
      </c>
      <c r="C3919" s="46" t="inlineStr">
        <is>
          <t>부천지역</t>
        </is>
      </c>
      <c r="D3919" s="46" t="inlineStr">
        <is>
          <t>동명파워코드</t>
        </is>
      </c>
      <c r="E3919" s="46" t="n">
        <v>150</v>
      </c>
      <c r="F3919" s="46" t="inlineStr">
        <is>
          <t>도당동</t>
        </is>
      </c>
      <c r="G3919" s="50" t="n">
        <v>0.6041666666666666</v>
      </c>
      <c r="H3919" s="51" t="n">
        <v>424160</v>
      </c>
      <c r="I3919" s="46" t="inlineStr">
        <is>
          <t>민재홍</t>
        </is>
      </c>
      <c r="K3919" s="46" t="n">
        <v>3918</v>
      </c>
      <c r="L3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0">
      <c r="A3920" s="229" t="n">
        <v>46310</v>
      </c>
      <c r="B3920" s="46" t="inlineStr">
        <is>
          <t>정기검사</t>
        </is>
      </c>
      <c r="C3920" s="46" t="inlineStr">
        <is>
          <t>부천지역</t>
        </is>
      </c>
      <c r="D3920" s="46" t="inlineStr">
        <is>
          <t>로얄타워</t>
        </is>
      </c>
      <c r="E3920" s="46" t="inlineStr">
        <is>
          <t>1457/209</t>
        </is>
      </c>
      <c r="F3920" s="46" t="inlineStr">
        <is>
          <t>상동</t>
        </is>
      </c>
      <c r="G3920" s="50" t="n">
        <v>0.2916666666666667</v>
      </c>
      <c r="H3920" s="51" t="n">
        <v>1616350</v>
      </c>
      <c r="I3920" s="46" t="inlineStr">
        <is>
          <t>허록종</t>
        </is>
      </c>
      <c r="K3920" s="46" t="n">
        <v>3919</v>
      </c>
      <c r="L3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1">
      <c r="A3921" s="229" t="n">
        <v>46310</v>
      </c>
      <c r="B3921" s="46" t="inlineStr">
        <is>
          <t>정기검사</t>
        </is>
      </c>
      <c r="C3921" s="46" t="inlineStr">
        <is>
          <t>부천지역</t>
        </is>
      </c>
      <c r="D3921" s="46" t="inlineStr">
        <is>
          <t>중동대림아파트</t>
        </is>
      </c>
      <c r="E3921" s="46" t="inlineStr">
        <is>
          <t>1200/331</t>
        </is>
      </c>
      <c r="F3921" s="46" t="inlineStr">
        <is>
          <t>중동</t>
        </is>
      </c>
      <c r="G3921" s="50" t="n">
        <v>0.3958333333333333</v>
      </c>
      <c r="H3921" s="51" t="n">
        <v>1156540</v>
      </c>
      <c r="I3921" s="46" t="inlineStr">
        <is>
          <t>한태희</t>
        </is>
      </c>
      <c r="K3921" s="46" t="n">
        <v>3920</v>
      </c>
      <c r="L3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2">
      <c r="A3922" s="229" t="n">
        <v>46310</v>
      </c>
      <c r="B3922" s="46" t="inlineStr">
        <is>
          <t>정기검사</t>
        </is>
      </c>
      <c r="C3922" s="46" t="inlineStr">
        <is>
          <t>부천지역</t>
        </is>
      </c>
      <c r="D3922" s="46" t="inlineStr">
        <is>
          <t>약대교회</t>
        </is>
      </c>
      <c r="E3922" s="46" t="n">
        <v>105</v>
      </c>
      <c r="F3922" s="46" t="inlineStr">
        <is>
          <t>약대동</t>
        </is>
      </c>
      <c r="G3922" s="50" t="n">
        <v>0.4791666666666667</v>
      </c>
      <c r="H3922" s="51" t="n">
        <v>167640</v>
      </c>
      <c r="I3922" s="46" t="inlineStr">
        <is>
          <t>당효진</t>
        </is>
      </c>
      <c r="K3922" s="46" t="n">
        <v>3921</v>
      </c>
      <c r="L3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3">
      <c r="A3923" s="229" t="n">
        <v>46310</v>
      </c>
      <c r="B3923" s="46" t="inlineStr">
        <is>
          <t>정기검사</t>
        </is>
      </c>
      <c r="C3923" s="46" t="inlineStr">
        <is>
          <t>부천지역</t>
        </is>
      </c>
      <c r="D3923" s="46" t="inlineStr">
        <is>
          <t>중앙리치빌</t>
        </is>
      </c>
      <c r="E3923" s="46" t="n">
        <v>0.3958333333333333</v>
      </c>
      <c r="F3923" s="46" t="inlineStr">
        <is>
          <t>소사본동</t>
        </is>
      </c>
      <c r="G3923" s="50" t="n">
        <v>0.3958333333333333</v>
      </c>
      <c r="H3923" s="51" t="n">
        <v>48290</v>
      </c>
      <c r="I3923" s="46" t="inlineStr">
        <is>
          <t>민재홍</t>
        </is>
      </c>
      <c r="K3923" s="46" t="n">
        <v>3922</v>
      </c>
      <c r="L3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4">
      <c r="A3924" s="229" t="n">
        <v>46310</v>
      </c>
      <c r="B3924" s="46" t="inlineStr">
        <is>
          <t>정기검사</t>
        </is>
      </c>
      <c r="C3924" s="46" t="inlineStr">
        <is>
          <t>부천지역</t>
        </is>
      </c>
      <c r="D3924" s="46" t="inlineStr">
        <is>
          <t>크린토피아</t>
        </is>
      </c>
      <c r="E3924" s="46" t="n">
        <v>290</v>
      </c>
      <c r="F3924" s="46" t="inlineStr">
        <is>
          <t>내동</t>
        </is>
      </c>
      <c r="G3924" s="50" t="n">
        <v>0.625</v>
      </c>
      <c r="H3924" s="51" t="n">
        <v>515130</v>
      </c>
      <c r="I3924" s="46" t="inlineStr">
        <is>
          <t>당효진</t>
        </is>
      </c>
      <c r="K3924" s="46" t="n">
        <v>3923</v>
      </c>
      <c r="L3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5">
      <c r="A3925" s="229" t="n">
        <v>46310</v>
      </c>
      <c r="B3925" s="46" t="inlineStr">
        <is>
          <t>정기검사</t>
        </is>
      </c>
      <c r="C3925" s="46" t="inlineStr">
        <is>
          <t>부천지역</t>
        </is>
      </c>
      <c r="D3925" s="46" t="inlineStr">
        <is>
          <t>서암리종장</t>
        </is>
      </c>
      <c r="E3925" s="46" t="n">
        <v>38</v>
      </c>
      <c r="F3925" s="46" t="inlineStr">
        <is>
          <t>서암리</t>
        </is>
      </c>
      <c r="G3925" s="50" t="n">
        <v>0.4166666666666667</v>
      </c>
      <c r="H3925" s="51" t="n">
        <v>201740</v>
      </c>
      <c r="I3925" s="46" t="inlineStr">
        <is>
          <t>정성관</t>
        </is>
      </c>
      <c r="K3925" s="46" t="n">
        <v>3924</v>
      </c>
      <c r="L3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6">
      <c r="A3926" s="229" t="n">
        <v>46310</v>
      </c>
      <c r="B3926" s="46" t="inlineStr">
        <is>
          <t>정기검사</t>
        </is>
      </c>
      <c r="C3926" s="46" t="inlineStr">
        <is>
          <t>김포지역</t>
        </is>
      </c>
      <c r="D3926" s="46" t="inlineStr">
        <is>
          <t>라르플레이스</t>
        </is>
      </c>
      <c r="E3926" s="46" t="inlineStr">
        <is>
          <t>800/450</t>
        </is>
      </c>
      <c r="F3926" s="46" t="inlineStr">
        <is>
          <t>신곡리</t>
        </is>
      </c>
      <c r="G3926" s="50" t="n">
        <v>0.625</v>
      </c>
      <c r="H3926" s="51" t="n">
        <v>1085040</v>
      </c>
      <c r="I3926" s="46" t="inlineStr">
        <is>
          <t>옹승완</t>
        </is>
      </c>
      <c r="K3926" s="46" t="n">
        <v>3925</v>
      </c>
      <c r="L3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7">
      <c r="A3927" s="229" t="n">
        <v>46310</v>
      </c>
      <c r="B3927" s="46" t="inlineStr">
        <is>
          <t>정기검사</t>
        </is>
      </c>
      <c r="C3927" s="46" t="inlineStr">
        <is>
          <t>김포지역</t>
        </is>
      </c>
      <c r="D3927" s="46" t="inlineStr">
        <is>
          <t>만송</t>
        </is>
      </c>
      <c r="E3927" s="46" t="n">
        <v>180</v>
      </c>
      <c r="F3927" s="46" t="inlineStr">
        <is>
          <t>학운리</t>
        </is>
      </c>
      <c r="G3927" s="50" t="n">
        <v>0.4583333333333333</v>
      </c>
      <c r="H3927" s="51" t="n">
        <v>258170</v>
      </c>
      <c r="I3927" s="46" t="inlineStr">
        <is>
          <t>정성관</t>
        </is>
      </c>
      <c r="K3927" s="46" t="n">
        <v>3926</v>
      </c>
      <c r="L3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8">
      <c r="A3928" s="229" t="n">
        <v>46310</v>
      </c>
      <c r="B3928" s="46" t="inlineStr">
        <is>
          <t>정기검사</t>
        </is>
      </c>
      <c r="C3928" s="46" t="inlineStr">
        <is>
          <t>김포지역</t>
        </is>
      </c>
      <c r="D3928" s="46" t="inlineStr">
        <is>
          <t>고은메티타워</t>
        </is>
      </c>
      <c r="E3928" s="46" t="inlineStr">
        <is>
          <t>1500/350</t>
        </is>
      </c>
      <c r="F3928" s="46" t="inlineStr">
        <is>
          <t>구래동</t>
        </is>
      </c>
      <c r="G3928" s="50" t="n">
        <v>0.2916666666666667</v>
      </c>
      <c r="H3928" s="51" t="n">
        <v>1565850</v>
      </c>
      <c r="I3928" s="46" t="inlineStr">
        <is>
          <t>서수형</t>
        </is>
      </c>
      <c r="K3928" s="46" t="n">
        <v>3927</v>
      </c>
      <c r="L3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9">
      <c r="A3929" s="229" t="n">
        <v>46310</v>
      </c>
      <c r="B3929" s="46" t="inlineStr">
        <is>
          <t>정기검사</t>
        </is>
      </c>
      <c r="C3929" s="46" t="inlineStr">
        <is>
          <t>김포지역</t>
        </is>
      </c>
      <c r="D3929" s="46" t="inlineStr">
        <is>
          <t>중일라크리움</t>
        </is>
      </c>
      <c r="E3929" s="46" t="inlineStr">
        <is>
          <t>2000/550</t>
        </is>
      </c>
      <c r="F3929" s="46" t="inlineStr">
        <is>
          <t>구래동</t>
        </is>
      </c>
      <c r="G3929" s="50" t="n">
        <v>0.4166666666666667</v>
      </c>
      <c r="H3929" s="51" t="n">
        <v>1329240</v>
      </c>
      <c r="I3929" s="46" t="inlineStr">
        <is>
          <t>변종국</t>
        </is>
      </c>
      <c r="K3929" s="46" t="n">
        <v>3928</v>
      </c>
      <c r="L3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0">
      <c r="A3930" s="229" t="n">
        <v>46310</v>
      </c>
      <c r="B3930" s="46" t="inlineStr">
        <is>
          <t>정기검사</t>
        </is>
      </c>
      <c r="C3930" s="46" t="inlineStr">
        <is>
          <t>김포지역</t>
        </is>
      </c>
      <c r="D3930" s="46" t="inlineStr">
        <is>
          <t>선두산업</t>
        </is>
      </c>
      <c r="E3930" s="46" t="n">
        <v>700</v>
      </c>
      <c r="F3930" s="46" t="inlineStr">
        <is>
          <t>원산리</t>
        </is>
      </c>
      <c r="G3930" s="50" t="n">
        <v>0.5</v>
      </c>
      <c r="H3930" s="51" t="n">
        <v>804760</v>
      </c>
      <c r="I3930" s="46" t="inlineStr">
        <is>
          <t>허창수</t>
        </is>
      </c>
      <c r="K3930" s="46" t="n">
        <v>3929</v>
      </c>
      <c r="L3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1">
      <c r="A3931" s="229" t="n">
        <v>46310</v>
      </c>
      <c r="B3931" s="46" t="inlineStr">
        <is>
          <t>정기검사</t>
        </is>
      </c>
      <c r="C3931" s="46" t="inlineStr">
        <is>
          <t>김포지역</t>
        </is>
      </c>
      <c r="D3931" s="46" t="inlineStr">
        <is>
          <t>동양기계공업사</t>
        </is>
      </c>
      <c r="E3931" s="46" t="n">
        <v>100</v>
      </c>
      <c r="F3931" s="46" t="inlineStr">
        <is>
          <t>옹정리</t>
        </is>
      </c>
      <c r="G3931" s="50" t="n">
        <v>0.5416666666666666</v>
      </c>
      <c r="H3931" s="51" t="n">
        <v>391710</v>
      </c>
      <c r="I3931" s="46" t="inlineStr">
        <is>
          <t>김영권</t>
        </is>
      </c>
      <c r="K3931" s="46" t="n">
        <v>3930</v>
      </c>
      <c r="L3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2">
      <c r="A3932" s="229" t="n">
        <v>46310</v>
      </c>
      <c r="B3932" s="46" t="inlineStr">
        <is>
          <t>정기검사</t>
        </is>
      </c>
      <c r="C3932" s="46" t="inlineStr">
        <is>
          <t>김포지역</t>
        </is>
      </c>
      <c r="D3932" s="46" t="inlineStr">
        <is>
          <t>아트산업</t>
        </is>
      </c>
      <c r="E3932" s="46" t="n">
        <v>950</v>
      </c>
      <c r="F3932" s="46" t="inlineStr">
        <is>
          <t>학운리</t>
        </is>
      </c>
      <c r="G3932" s="50" t="n">
        <v>0.4791666666666667</v>
      </c>
      <c r="H3932" s="51" t="n">
        <v>889460</v>
      </c>
      <c r="I3932" s="46" t="inlineStr">
        <is>
          <t>허창수</t>
        </is>
      </c>
      <c r="K3932" s="46" t="n">
        <v>3931</v>
      </c>
      <c r="L3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3">
      <c r="A3933" s="229" t="n">
        <v>46310</v>
      </c>
      <c r="B3933" s="46" t="inlineStr">
        <is>
          <t>정기검사</t>
        </is>
      </c>
      <c r="C3933" s="46" t="inlineStr">
        <is>
          <t>김포지역</t>
        </is>
      </c>
      <c r="D3933" s="46" t="inlineStr">
        <is>
          <t>마송lh</t>
        </is>
      </c>
      <c r="E3933" s="46" t="inlineStr">
        <is>
          <t>2200/600</t>
        </is>
      </c>
      <c r="F3933" s="46" t="inlineStr">
        <is>
          <t>마송리</t>
        </is>
      </c>
      <c r="G3933" s="50" t="n">
        <v>0.5833333333333334</v>
      </c>
      <c r="H3933" s="51" t="n">
        <v>1367850</v>
      </c>
      <c r="I3933" s="46" t="inlineStr">
        <is>
          <t>송낙명</t>
        </is>
      </c>
      <c r="K3933" s="46" t="n">
        <v>3932</v>
      </c>
      <c r="L3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4">
      <c r="A3934" s="229" t="n">
        <v>46310</v>
      </c>
      <c r="B3934" s="46" t="inlineStr">
        <is>
          <t>정기검사</t>
        </is>
      </c>
      <c r="C3934" s="46" t="inlineStr">
        <is>
          <t>김포지역</t>
        </is>
      </c>
      <c r="D3934" s="46" t="inlineStr">
        <is>
          <t>마송lh</t>
        </is>
      </c>
      <c r="E3934" s="46" t="inlineStr">
        <is>
          <t>전기차</t>
        </is>
      </c>
      <c r="F3934" s="46" t="inlineStr">
        <is>
          <t>마송리</t>
        </is>
      </c>
      <c r="G3934" s="50" t="n">
        <v>0.625</v>
      </c>
      <c r="H3934" s="51" t="n">
        <v>411510</v>
      </c>
      <c r="I3934" s="46" t="inlineStr">
        <is>
          <t>송낙명</t>
        </is>
      </c>
      <c r="K3934" s="46" t="n">
        <v>3933</v>
      </c>
      <c r="L3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5">
      <c r="A3935" s="229" t="n">
        <v>46310</v>
      </c>
      <c r="B3935" s="46" t="inlineStr">
        <is>
          <t>사용전검사</t>
        </is>
      </c>
      <c r="C3935" s="46" t="inlineStr">
        <is>
          <t>부천지역</t>
        </is>
      </c>
      <c r="D3935" s="46" t="inlineStr">
        <is>
          <t>부천요양병원</t>
        </is>
      </c>
      <c r="E3935" s="46" t="inlineStr">
        <is>
          <t>500/183</t>
        </is>
      </c>
      <c r="F3935" s="46" t="inlineStr">
        <is>
          <t>상동</t>
        </is>
      </c>
      <c r="G3935" s="50" t="n">
        <v>0.2708333333333333</v>
      </c>
      <c r="H3935" s="51" t="n"/>
      <c r="I3935" s="46" t="inlineStr">
        <is>
          <t>이덕기</t>
        </is>
      </c>
      <c r="K3935" s="46" t="n">
        <v>3934</v>
      </c>
      <c r="L3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6">
      <c r="A3936" s="229" t="n">
        <v>46310</v>
      </c>
      <c r="B3936" s="46" t="inlineStr">
        <is>
          <t>메모</t>
        </is>
      </c>
      <c r="C3936" s="46" t="inlineStr">
        <is>
          <t>부천지역</t>
        </is>
      </c>
      <c r="D3936" s="46" t="inlineStr">
        <is>
          <t>이종석휴가(오후13시 휴가)</t>
        </is>
      </c>
      <c r="E3936" s="46" t="n"/>
      <c r="F3936" s="46" t="n"/>
      <c r="G3936" s="50" t="n"/>
      <c r="H3936" s="51" t="n"/>
      <c r="I3936" s="46" t="n"/>
      <c r="K3936" s="46" t="n">
        <v>3935</v>
      </c>
      <c r="L3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7">
      <c r="A3937" s="229" t="n">
        <v>46310</v>
      </c>
      <c r="B3937" s="46" t="inlineStr">
        <is>
          <t>메모</t>
        </is>
      </c>
      <c r="C3937" s="46" t="inlineStr">
        <is>
          <t>부천지역</t>
        </is>
      </c>
      <c r="D3937" s="46" t="inlineStr">
        <is>
          <t>정신배휴가</t>
        </is>
      </c>
      <c r="E3937" s="46" t="n"/>
      <c r="F3937" s="46" t="n"/>
      <c r="G3937" s="50" t="n"/>
      <c r="H3937" s="51" t="n"/>
      <c r="I3937" s="46" t="n"/>
      <c r="K3937" s="46" t="n">
        <v>3936</v>
      </c>
      <c r="L3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8">
      <c r="A3938" s="229" t="n">
        <v>46310</v>
      </c>
      <c r="B3938" s="46" t="inlineStr">
        <is>
          <t>사용전검사</t>
        </is>
      </c>
      <c r="C3938" s="46" t="inlineStr">
        <is>
          <t>김포지역</t>
        </is>
      </c>
      <c r="D3938" s="46" t="inlineStr">
        <is>
          <t>동호중기2공장</t>
        </is>
      </c>
      <c r="E3938" s="46" t="n">
        <v>30</v>
      </c>
      <c r="F3938" s="46" t="inlineStr">
        <is>
          <t>귀전리</t>
        </is>
      </c>
      <c r="G3938" s="50" t="n"/>
      <c r="H3938" s="51" t="n"/>
      <c r="I3938" s="46" t="inlineStr">
        <is>
          <t>옹승완</t>
        </is>
      </c>
      <c r="K3938" s="46" t="n">
        <v>3937</v>
      </c>
      <c r="L3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9">
      <c r="A3939" s="229" t="n">
        <v>46311</v>
      </c>
      <c r="B3939" s="46" t="inlineStr">
        <is>
          <t>정기검사</t>
        </is>
      </c>
      <c r="C3939" s="46" t="inlineStr">
        <is>
          <t>부천지역</t>
        </is>
      </c>
      <c r="D3939" s="46" t="inlineStr">
        <is>
          <t>MSW코리아</t>
        </is>
      </c>
      <c r="E3939" s="46" t="n">
        <v>290</v>
      </c>
      <c r="F3939" s="46" t="inlineStr">
        <is>
          <t>원미동</t>
        </is>
      </c>
      <c r="G3939" s="50" t="n">
        <v>0.5208333333333334</v>
      </c>
      <c r="H3939" s="51" t="n">
        <v>515130</v>
      </c>
      <c r="I3939" s="46" t="inlineStr">
        <is>
          <t>한태희</t>
        </is>
      </c>
      <c r="K3939" s="46" t="n">
        <v>3938</v>
      </c>
      <c r="L3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0">
      <c r="A3940" s="229" t="n">
        <v>46311</v>
      </c>
      <c r="B3940" s="46" t="inlineStr">
        <is>
          <t>정기검사</t>
        </is>
      </c>
      <c r="C3940" s="46" t="inlineStr">
        <is>
          <t>부천지역</t>
        </is>
      </c>
      <c r="D3940" s="46" t="inlineStr">
        <is>
          <t>제온정밀</t>
        </is>
      </c>
      <c r="E3940" s="46" t="n">
        <v>250</v>
      </c>
      <c r="F3940" s="46" t="inlineStr">
        <is>
          <t>내동</t>
        </is>
      </c>
      <c r="G3940" s="50" t="n">
        <v>0.4791666666666667</v>
      </c>
      <c r="H3940" s="51" t="n">
        <v>489170</v>
      </c>
      <c r="I3940" s="46" t="inlineStr">
        <is>
          <t>한태희</t>
        </is>
      </c>
      <c r="K3940" s="46" t="n">
        <v>3939</v>
      </c>
      <c r="L3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1">
      <c r="A3941" s="229" t="n">
        <v>46311</v>
      </c>
      <c r="B3941" s="46" t="inlineStr">
        <is>
          <t>정기검사</t>
        </is>
      </c>
      <c r="C3941" s="46" t="inlineStr">
        <is>
          <t>부천지역</t>
        </is>
      </c>
      <c r="D3941" s="46" t="inlineStr">
        <is>
          <t>신한테크</t>
        </is>
      </c>
      <c r="E3941" s="46" t="n">
        <v>300</v>
      </c>
      <c r="F3941" s="46" t="inlineStr">
        <is>
          <t>내동</t>
        </is>
      </c>
      <c r="G3941" s="50" t="n">
        <v>0.4583333333333333</v>
      </c>
      <c r="H3941" s="51" t="n">
        <v>521730</v>
      </c>
      <c r="I3941" s="46" t="inlineStr">
        <is>
          <t>허록종</t>
        </is>
      </c>
      <c r="K3941" s="46" t="n">
        <v>3940</v>
      </c>
      <c r="L3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2">
      <c r="A3942" s="229" t="n">
        <v>46311</v>
      </c>
      <c r="B3942" s="46" t="inlineStr">
        <is>
          <t>정기검사</t>
        </is>
      </c>
      <c r="C3942" s="46" t="inlineStr">
        <is>
          <t>부천지역</t>
        </is>
      </c>
      <c r="D3942" s="46" t="inlineStr">
        <is>
          <t>금영프라자</t>
        </is>
      </c>
      <c r="E3942" s="46" t="inlineStr">
        <is>
          <t>500/105</t>
        </is>
      </c>
      <c r="F3942" s="46" t="inlineStr">
        <is>
          <t>상동</t>
        </is>
      </c>
      <c r="G3942" s="50" t="n">
        <v>0.3125</v>
      </c>
      <c r="H3942" s="51" t="n">
        <v>1176010</v>
      </c>
      <c r="I3942" s="46" t="inlineStr">
        <is>
          <t>허록종</t>
        </is>
      </c>
      <c r="K3942" s="46" t="n">
        <v>3941</v>
      </c>
      <c r="L3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3">
      <c r="A3943" s="229" t="n">
        <v>46311</v>
      </c>
      <c r="B3943" s="46" t="inlineStr">
        <is>
          <t>정기검사</t>
        </is>
      </c>
      <c r="C3943" s="46" t="inlineStr">
        <is>
          <t>김포지역</t>
        </is>
      </c>
      <c r="D3943" s="46" t="inlineStr">
        <is>
          <t>마송lh4</t>
        </is>
      </c>
      <c r="E3943" s="46" t="n">
        <v>99</v>
      </c>
      <c r="F3943" s="46" t="inlineStr">
        <is>
          <t>마송리</t>
        </is>
      </c>
      <c r="G3943" s="50" t="n">
        <v>0.4166666666666667</v>
      </c>
      <c r="H3943" s="51" t="n">
        <v>254760</v>
      </c>
      <c r="I3943" s="46" t="inlineStr">
        <is>
          <t>이종석</t>
        </is>
      </c>
      <c r="K3943" s="46" t="n">
        <v>3942</v>
      </c>
      <c r="L3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4">
      <c r="A3944" s="229" t="n">
        <v>46311</v>
      </c>
      <c r="B3944" s="46" t="inlineStr">
        <is>
          <t>정기검사</t>
        </is>
      </c>
      <c r="C3944" s="46" t="inlineStr">
        <is>
          <t>김포지역</t>
        </is>
      </c>
      <c r="D3944" s="46" t="inlineStr">
        <is>
          <t>고아보화학</t>
        </is>
      </c>
      <c r="E3944" s="46" t="n">
        <v>980</v>
      </c>
      <c r="F3944" s="46" t="inlineStr">
        <is>
          <t>옹정리</t>
        </is>
      </c>
      <c r="G3944" s="50" t="n">
        <v>0.4791666666666667</v>
      </c>
      <c r="H3944" s="51" t="n">
        <v>899580</v>
      </c>
      <c r="I3944" s="46" t="inlineStr">
        <is>
          <t>옹승완</t>
        </is>
      </c>
      <c r="K3944" s="46" t="n">
        <v>3943</v>
      </c>
      <c r="L3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5">
      <c r="A3945" s="229" t="n">
        <v>46311</v>
      </c>
      <c r="B3945" s="46" t="inlineStr">
        <is>
          <t>정기검사</t>
        </is>
      </c>
      <c r="C3945" s="46" t="inlineStr">
        <is>
          <t>김포지역</t>
        </is>
      </c>
      <c r="D3945" s="46" t="inlineStr">
        <is>
          <t>반도유보라</t>
        </is>
      </c>
      <c r="E3945" s="46" t="n">
        <v>60</v>
      </c>
      <c r="F3945" s="46" t="inlineStr">
        <is>
          <t>운양동</t>
        </is>
      </c>
      <c r="G3945" s="50" t="n">
        <v>0.4375</v>
      </c>
      <c r="H3945" s="51" t="n">
        <v>213730</v>
      </c>
      <c r="I3945" s="46" t="inlineStr">
        <is>
          <t>이덕기</t>
        </is>
      </c>
      <c r="K3945" s="46" t="n">
        <v>3944</v>
      </c>
      <c r="L3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6">
      <c r="A3946" s="229" t="n">
        <v>46311</v>
      </c>
      <c r="B3946" s="46" t="inlineStr">
        <is>
          <t>정기검사</t>
        </is>
      </c>
      <c r="C3946" s="46" t="inlineStr">
        <is>
          <t>김포지역</t>
        </is>
      </c>
      <c r="D3946" s="46" t="inlineStr">
        <is>
          <t>골드라인6개소</t>
        </is>
      </c>
      <c r="E3946" s="46" t="n"/>
      <c r="F3946" s="46" t="n"/>
      <c r="G3946" s="50" t="n"/>
      <c r="H3946" s="51" t="n">
        <v>465320</v>
      </c>
      <c r="I3946" s="46" t="inlineStr">
        <is>
          <t>변종국</t>
        </is>
      </c>
      <c r="K3946" s="46" t="n">
        <v>3945</v>
      </c>
      <c r="L3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7">
      <c r="A3947" s="229" t="n">
        <v>46311</v>
      </c>
      <c r="B3947" s="46" t="inlineStr">
        <is>
          <t>정기검사</t>
        </is>
      </c>
      <c r="C3947" s="46" t="inlineStr">
        <is>
          <t>김포지역</t>
        </is>
      </c>
      <c r="D3947" s="46" t="inlineStr">
        <is>
          <t>동일몰딩</t>
        </is>
      </c>
      <c r="E3947" s="46" t="n">
        <v>200</v>
      </c>
      <c r="F3947" s="46" t="inlineStr">
        <is>
          <t>쇄암리</t>
        </is>
      </c>
      <c r="G3947" s="50" t="n">
        <v>0.625</v>
      </c>
      <c r="H3947" s="51" t="n">
        <v>456720</v>
      </c>
      <c r="I3947" s="46" t="inlineStr">
        <is>
          <t>김영권</t>
        </is>
      </c>
      <c r="K3947" s="46" t="n">
        <v>3946</v>
      </c>
      <c r="L3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8">
      <c r="A3948" s="229" t="n">
        <v>46311</v>
      </c>
      <c r="B3948" s="46" t="inlineStr">
        <is>
          <t>정기검사</t>
        </is>
      </c>
      <c r="C3948" s="46" t="inlineStr">
        <is>
          <t>김포지역</t>
        </is>
      </c>
      <c r="D3948" s="46" t="inlineStr">
        <is>
          <t>제이에이치코퍼레이션</t>
        </is>
      </c>
      <c r="E3948" s="46" t="n">
        <v>290</v>
      </c>
      <c r="F3948" s="46" t="inlineStr">
        <is>
          <t>양택리</t>
        </is>
      </c>
      <c r="G3948" s="50" t="n">
        <v>0.3958333333333333</v>
      </c>
      <c r="H3948" s="51" t="n">
        <v>515130</v>
      </c>
      <c r="I3948" s="46" t="inlineStr">
        <is>
          <t>정성관</t>
        </is>
      </c>
      <c r="K3948" s="46" t="n">
        <v>3947</v>
      </c>
      <c r="L3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9">
      <c r="A3949" s="229" t="n">
        <v>46311</v>
      </c>
      <c r="B3949" s="46" t="inlineStr">
        <is>
          <t>정기검사</t>
        </is>
      </c>
      <c r="C3949" s="46" t="inlineStr">
        <is>
          <t>김포지역</t>
        </is>
      </c>
      <c r="D3949" s="46" t="inlineStr">
        <is>
          <t>미일화학</t>
        </is>
      </c>
      <c r="E3949" s="46" t="n">
        <v>400</v>
      </c>
      <c r="F3949" s="46" t="inlineStr">
        <is>
          <t>대능리</t>
        </is>
      </c>
      <c r="G3949" s="50" t="n">
        <v>0.4166666666666667</v>
      </c>
      <c r="H3949" s="51" t="n">
        <v>703120</v>
      </c>
      <c r="I3949" s="46" t="inlineStr">
        <is>
          <t>이덕기</t>
        </is>
      </c>
      <c r="K3949" s="46" t="n">
        <v>3948</v>
      </c>
      <c r="L3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0">
      <c r="A3950" s="229" t="n">
        <v>46311</v>
      </c>
      <c r="B3950" s="46" t="inlineStr">
        <is>
          <t>정기검사</t>
        </is>
      </c>
      <c r="C3950" s="46" t="inlineStr">
        <is>
          <t>김포지역</t>
        </is>
      </c>
      <c r="D3950" s="46" t="inlineStr">
        <is>
          <t>영남산업</t>
        </is>
      </c>
      <c r="E3950" s="46" t="n">
        <v>200</v>
      </c>
      <c r="F3950" s="46" t="inlineStr">
        <is>
          <t>대명리</t>
        </is>
      </c>
      <c r="G3950" s="50" t="n">
        <v>0.4583333333333333</v>
      </c>
      <c r="H3950" s="51" t="n">
        <v>456720</v>
      </c>
      <c r="I3950" s="46" t="inlineStr">
        <is>
          <t>송낙명</t>
        </is>
      </c>
      <c r="K3950" s="46" t="n">
        <v>3949</v>
      </c>
      <c r="L3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1">
      <c r="A3951" s="229" t="n">
        <v>46311</v>
      </c>
      <c r="B3951" s="46" t="inlineStr">
        <is>
          <t>사용전검사</t>
        </is>
      </c>
      <c r="C3951" s="46" t="inlineStr">
        <is>
          <t>부천지역</t>
        </is>
      </c>
      <c r="D3951" s="46" t="inlineStr">
        <is>
          <t>허창수휴가</t>
        </is>
      </c>
      <c r="E3951" s="46" t="inlineStr">
        <is>
          <t>송낙명-이덕기</t>
        </is>
      </c>
      <c r="F3951" s="46" t="inlineStr">
        <is>
          <t>이덕기</t>
        </is>
      </c>
      <c r="G3951" s="50" t="n"/>
      <c r="H3951" s="51" t="n"/>
      <c r="I3951" s="46" t="n"/>
      <c r="K3951" s="46" t="n">
        <v>3950</v>
      </c>
      <c r="L3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2">
      <c r="A3952" s="229" t="n">
        <v>46311</v>
      </c>
      <c r="B3952" s="46" t="inlineStr">
        <is>
          <t>메모</t>
        </is>
      </c>
      <c r="C3952" s="46" t="inlineStr">
        <is>
          <t>부천지역</t>
        </is>
      </c>
      <c r="D3952" s="46" t="inlineStr">
        <is>
          <t>서수형휴가</t>
        </is>
      </c>
      <c r="E3952" s="46" t="n"/>
      <c r="F3952" s="46" t="n"/>
      <c r="G3952" s="50" t="n"/>
      <c r="H3952" s="51" t="n"/>
      <c r="I3952" s="46" t="n"/>
      <c r="K3952" s="46" t="n">
        <v>3951</v>
      </c>
      <c r="L3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3">
      <c r="A3953" s="229" t="n">
        <v>46311</v>
      </c>
      <c r="B3953" s="46" t="inlineStr">
        <is>
          <t>메모</t>
        </is>
      </c>
      <c r="C3953" s="46" t="inlineStr">
        <is>
          <t>부천지역</t>
        </is>
      </c>
      <c r="D3953" s="46" t="inlineStr">
        <is>
          <t>당효진휴가</t>
        </is>
      </c>
      <c r="E3953" s="46" t="inlineStr">
        <is>
          <t>변종국</t>
        </is>
      </c>
      <c r="F3953" s="46" t="n"/>
      <c r="G3953" s="50" t="n"/>
      <c r="H3953" s="51" t="n"/>
      <c r="I3953" s="46" t="n"/>
      <c r="K3953" s="46" t="n">
        <v>3952</v>
      </c>
      <c r="L3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4">
      <c r="A3954" s="229" t="n">
        <v>46311</v>
      </c>
      <c r="B3954" s="46" t="inlineStr">
        <is>
          <t>메모</t>
        </is>
      </c>
      <c r="C3954" s="46" t="inlineStr">
        <is>
          <t>부천지역</t>
        </is>
      </c>
      <c r="D3954" s="46" t="inlineStr">
        <is>
          <t>정신배휴가</t>
        </is>
      </c>
      <c r="E3954" s="46" t="inlineStr">
        <is>
          <t>정성관-이종석</t>
        </is>
      </c>
      <c r="F3954" s="46" t="n"/>
      <c r="G3954" s="50" t="n"/>
      <c r="H3954" s="51" t="n"/>
      <c r="I3954" s="46" t="n"/>
      <c r="K3954" s="46" t="n">
        <v>3953</v>
      </c>
      <c r="L3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5">
      <c r="A3955" s="229" t="n">
        <v>46311</v>
      </c>
      <c r="B3955" s="46" t="inlineStr">
        <is>
          <t>메모</t>
        </is>
      </c>
      <c r="C3955" s="46" t="inlineStr">
        <is>
          <t>부천지역</t>
        </is>
      </c>
      <c r="D3955" s="46" t="inlineStr">
        <is>
          <t>민재홍휴가</t>
        </is>
      </c>
      <c r="E3955" s="46" t="n"/>
      <c r="F3955" s="46" t="n"/>
      <c r="G3955" s="50" t="n"/>
      <c r="H3955" s="51" t="n"/>
      <c r="I3955" s="46" t="n"/>
      <c r="K3955" s="46" t="n">
        <v>3954</v>
      </c>
      <c r="L3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6">
      <c r="A3956" s="229" t="n">
        <v>46311</v>
      </c>
      <c r="B3956" s="46" t="inlineStr">
        <is>
          <t>사용전검사</t>
        </is>
      </c>
      <c r="C3956" s="46" t="inlineStr">
        <is>
          <t>김포지역</t>
        </is>
      </c>
      <c r="D3956" s="46" t="inlineStr">
        <is>
          <t>미래창조</t>
        </is>
      </c>
      <c r="E3956" s="46" t="inlineStr">
        <is>
          <t>변변</t>
        </is>
      </c>
      <c r="F3956" s="46" t="inlineStr">
        <is>
          <t>쇄암리</t>
        </is>
      </c>
      <c r="G3956" s="50" t="n"/>
      <c r="H3956" s="51" t="n"/>
      <c r="I3956" s="46" t="inlineStr">
        <is>
          <t>변종국</t>
        </is>
      </c>
      <c r="K3956" s="46" t="n">
        <v>3955</v>
      </c>
      <c r="L3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7">
      <c r="A3957" s="229" t="n">
        <v>46312</v>
      </c>
      <c r="B3957" s="46" t="inlineStr">
        <is>
          <t>정기검사</t>
        </is>
      </c>
      <c r="C3957" s="46" t="inlineStr">
        <is>
          <t>부천지역</t>
        </is>
      </c>
      <c r="D3957" s="46" t="inlineStr">
        <is>
          <t>성우</t>
        </is>
      </c>
      <c r="E3957" s="46" t="n">
        <v>697</v>
      </c>
      <c r="F3957" s="46" t="inlineStr">
        <is>
          <t>도당동</t>
        </is>
      </c>
      <c r="G3957" s="50" t="n">
        <v>0.5416666666666666</v>
      </c>
      <c r="H3957" s="51" t="n">
        <v>1114190</v>
      </c>
      <c r="I3957" s="46" t="n"/>
      <c r="K3957" s="46" t="n">
        <v>3956</v>
      </c>
      <c r="L3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8">
      <c r="A3958" s="229" t="n">
        <v>46312</v>
      </c>
      <c r="B3958" s="46" t="inlineStr">
        <is>
          <t>정기검사</t>
        </is>
      </c>
      <c r="C3958" s="46" t="inlineStr">
        <is>
          <t>부천지역</t>
        </is>
      </c>
      <c r="D3958" s="46" t="inlineStr">
        <is>
          <t>우리티산업</t>
        </is>
      </c>
      <c r="E3958" s="46" t="n">
        <v>650</v>
      </c>
      <c r="F3958" s="46" t="inlineStr">
        <is>
          <t>도당동</t>
        </is>
      </c>
      <c r="G3958" s="50" t="n">
        <v>0.4166666666666667</v>
      </c>
      <c r="H3958" s="51" t="n">
        <v>1037300</v>
      </c>
      <c r="I3958" s="46" t="n"/>
      <c r="K3958" s="46" t="n">
        <v>3957</v>
      </c>
      <c r="L3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9">
      <c r="A3959" s="229" t="n">
        <v>46312</v>
      </c>
      <c r="B3959" s="46" t="inlineStr">
        <is>
          <t>정기검사</t>
        </is>
      </c>
      <c r="C3959" s="46" t="inlineStr">
        <is>
          <t>부천지역</t>
        </is>
      </c>
      <c r="D3959" s="46" t="inlineStr">
        <is>
          <t>씨티오피스빌딩</t>
        </is>
      </c>
      <c r="E3959" s="46" t="inlineStr">
        <is>
          <t>900/200</t>
        </is>
      </c>
      <c r="F3959" s="46" t="inlineStr">
        <is>
          <t>중동</t>
        </is>
      </c>
      <c r="G3959" s="50" t="n">
        <v>0.2708333333333333</v>
      </c>
      <c r="H3959" s="51" t="n">
        <v>1388750</v>
      </c>
      <c r="I3959" s="46" t="inlineStr">
        <is>
          <t>정신배</t>
        </is>
      </c>
      <c r="K3959" s="46" t="n">
        <v>3958</v>
      </c>
      <c r="L3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0">
      <c r="A3960" s="229" t="n">
        <v>46312</v>
      </c>
      <c r="B3960" s="46" t="inlineStr">
        <is>
          <t>정기검사</t>
        </is>
      </c>
      <c r="C3960" s="46" t="inlineStr">
        <is>
          <t>부천지역</t>
        </is>
      </c>
      <c r="D3960" s="46" t="inlineStr">
        <is>
          <t>오정구청</t>
        </is>
      </c>
      <c r="E3960" s="46" t="n"/>
      <c r="F3960" s="46" t="inlineStr">
        <is>
          <t>오정동</t>
        </is>
      </c>
      <c r="G3960" s="50" t="n"/>
      <c r="H3960" s="51" t="n">
        <v>733700</v>
      </c>
      <c r="I3960" s="46" t="n"/>
      <c r="K3960" s="46" t="n">
        <v>3959</v>
      </c>
      <c r="L3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1">
      <c r="A3961" s="229" t="n">
        <v>46312</v>
      </c>
      <c r="B3961" s="46" t="inlineStr">
        <is>
          <t>정기검사</t>
        </is>
      </c>
      <c r="C3961" s="46" t="inlineStr">
        <is>
          <t>김포지역</t>
        </is>
      </c>
      <c r="D3961" s="46" t="inlineStr">
        <is>
          <t>테마프라자</t>
        </is>
      </c>
      <c r="E3961" s="46" t="inlineStr">
        <is>
          <t>600/135</t>
        </is>
      </c>
      <c r="F3961" s="46" t="inlineStr">
        <is>
          <t>사우동</t>
        </is>
      </c>
      <c r="G3961" s="50" t="n">
        <v>0.6458333333333334</v>
      </c>
      <c r="H3961" s="51" t="n">
        <v>1231670</v>
      </c>
      <c r="I3961" s="46" t="inlineStr">
        <is>
          <t>민재홍</t>
        </is>
      </c>
      <c r="K3961" s="46" t="n">
        <v>3960</v>
      </c>
      <c r="L3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2">
      <c r="A3962" s="229" t="n">
        <v>46312</v>
      </c>
      <c r="B3962" s="46" t="inlineStr">
        <is>
          <t>정기검사</t>
        </is>
      </c>
      <c r="C3962" s="46" t="inlineStr">
        <is>
          <t>김포지역</t>
        </is>
      </c>
      <c r="D3962" s="46" t="inlineStr">
        <is>
          <t>다조은병원</t>
        </is>
      </c>
      <c r="E3962" s="46" t="inlineStr">
        <is>
          <t>750/130</t>
        </is>
      </c>
      <c r="F3962" s="46" t="inlineStr">
        <is>
          <t>마송리</t>
        </is>
      </c>
      <c r="G3962" s="50" t="n">
        <v>0.5833333333333334</v>
      </c>
      <c r="H3962" s="51" t="n">
        <v>1295800</v>
      </c>
      <c r="I3962" s="46" t="n"/>
      <c r="K3962" s="46" t="n">
        <v>3961</v>
      </c>
      <c r="L3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3">
      <c r="A3963" s="229" t="n">
        <v>46312</v>
      </c>
      <c r="B3963" s="46" t="inlineStr">
        <is>
          <t>사용전검사</t>
        </is>
      </c>
      <c r="C3963" s="46" t="inlineStr">
        <is>
          <t>부천지역</t>
        </is>
      </c>
      <c r="D3963" s="46" t="inlineStr">
        <is>
          <t>케이랜드</t>
        </is>
      </c>
      <c r="E3963" s="46" t="inlineStr">
        <is>
          <t>변변</t>
        </is>
      </c>
      <c r="F3963" s="46" t="n"/>
      <c r="G3963" s="50" t="n"/>
      <c r="H3963" s="51" t="n"/>
      <c r="I3963" s="46" t="n"/>
      <c r="K3963" s="46" t="n">
        <v>3962</v>
      </c>
      <c r="L3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4">
      <c r="A3964" s="229" t="n">
        <v>46312</v>
      </c>
      <c r="B3964" s="46" t="inlineStr">
        <is>
          <t>메모</t>
        </is>
      </c>
      <c r="C3964" s="46" t="inlineStr">
        <is>
          <t>부천지역</t>
        </is>
      </c>
      <c r="D3964" s="46" t="inlineStr">
        <is>
          <t>서수형휴가</t>
        </is>
      </c>
      <c r="E3964" s="46" t="n"/>
      <c r="F3964" s="46" t="n"/>
      <c r="G3964" s="50" t="n"/>
      <c r="H3964" s="51" t="n"/>
      <c r="I3964" s="46" t="n"/>
      <c r="K3964" s="46" t="n">
        <v>3963</v>
      </c>
      <c r="L3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5">
      <c r="A3965" s="229" t="n">
        <v>46312</v>
      </c>
      <c r="B3965" s="46" t="inlineStr">
        <is>
          <t>메모</t>
        </is>
      </c>
      <c r="C3965" s="46" t="inlineStr">
        <is>
          <t>부천지역</t>
        </is>
      </c>
      <c r="D3965" s="46" t="inlineStr">
        <is>
          <t>이종석휴가</t>
        </is>
      </c>
      <c r="E3965" s="46" t="n"/>
      <c r="F3965" s="46" t="n"/>
      <c r="G3965" s="50" t="n"/>
      <c r="H3965" s="51" t="n"/>
      <c r="I3965" s="46" t="n"/>
      <c r="K3965" s="46" t="n">
        <v>3964</v>
      </c>
      <c r="L3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6">
      <c r="A3966" s="229" t="n">
        <v>46312</v>
      </c>
      <c r="B3966" s="46" t="inlineStr">
        <is>
          <t>메모</t>
        </is>
      </c>
      <c r="C3966" s="46" t="inlineStr">
        <is>
          <t>부천지역</t>
        </is>
      </c>
      <c r="D3966" s="46" t="inlineStr">
        <is>
          <t>허창수휴가</t>
        </is>
      </c>
      <c r="E3966" s="46" t="n"/>
      <c r="F3966" s="46" t="n"/>
      <c r="G3966" s="50" t="n"/>
      <c r="H3966" s="51" t="n"/>
      <c r="I3966" s="46" t="n"/>
      <c r="K3966" s="46" t="n">
        <v>3965</v>
      </c>
      <c r="L3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7">
      <c r="A3967" s="229" t="n">
        <v>46312</v>
      </c>
      <c r="B3967" s="46" t="inlineStr">
        <is>
          <t>메모</t>
        </is>
      </c>
      <c r="C3967" s="46" t="inlineStr">
        <is>
          <t>부천지역</t>
        </is>
      </c>
      <c r="D3967" s="46" t="inlineStr">
        <is>
          <t>당효진휴가</t>
        </is>
      </c>
      <c r="E3967" s="46" t="n"/>
      <c r="F3967" s="46" t="n"/>
      <c r="G3967" s="50" t="n"/>
      <c r="H3967" s="51" t="n"/>
      <c r="I3967" s="46" t="n"/>
      <c r="K3967" s="46" t="n">
        <v>3966</v>
      </c>
      <c r="L3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8">
      <c r="A3968" s="229" t="n">
        <v>46312</v>
      </c>
      <c r="B3968" s="46" t="inlineStr">
        <is>
          <t>메모</t>
        </is>
      </c>
      <c r="C3968" s="46" t="inlineStr">
        <is>
          <t>부천지역</t>
        </is>
      </c>
      <c r="D3968" s="46" t="inlineStr">
        <is>
          <t>민재홍휴가</t>
        </is>
      </c>
      <c r="E3968" s="46" t="n"/>
      <c r="F3968" s="46" t="n"/>
      <c r="G3968" s="50" t="n"/>
      <c r="H3968" s="51" t="n"/>
      <c r="I3968" s="46" t="n"/>
      <c r="K3968" s="46" t="n">
        <v>3967</v>
      </c>
      <c r="L3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9">
      <c r="A3969" s="229" t="n">
        <v>46312</v>
      </c>
      <c r="B3969" s="46" t="inlineStr">
        <is>
          <t>사용전검사</t>
        </is>
      </c>
      <c r="C3969" s="46" t="inlineStr">
        <is>
          <t>김포지역</t>
        </is>
      </c>
      <c r="D3969" s="46" t="inlineStr">
        <is>
          <t>하안테크</t>
        </is>
      </c>
      <c r="E3969" s="46" t="n">
        <v>54</v>
      </c>
      <c r="F3969" s="46" t="inlineStr">
        <is>
          <t>송마리</t>
        </is>
      </c>
      <c r="G3969" s="50" t="n"/>
      <c r="H3969" s="51" t="n"/>
      <c r="I3969" s="46" t="n"/>
      <c r="K3969" s="46" t="n">
        <v>3968</v>
      </c>
      <c r="L3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0">
      <c r="A3970" s="229" t="n">
        <v>46313</v>
      </c>
      <c r="B3970" s="46" t="inlineStr">
        <is>
          <t>정기검사</t>
        </is>
      </c>
      <c r="C3970" s="46" t="inlineStr">
        <is>
          <t>부천지역</t>
        </is>
      </c>
      <c r="D3970" s="46" t="inlineStr">
        <is>
          <t>스카이비엠</t>
        </is>
      </c>
      <c r="E3970" s="46" t="inlineStr">
        <is>
          <t>600/165</t>
        </is>
      </c>
      <c r="F3970" s="46" t="inlineStr">
        <is>
          <t>심곡본동</t>
        </is>
      </c>
      <c r="G3970" s="50" t="n">
        <v>0.375</v>
      </c>
      <c r="H3970" s="51" t="n">
        <v>1239370</v>
      </c>
      <c r="I3970" s="46" t="n"/>
      <c r="K3970" s="46" t="n">
        <v>3969</v>
      </c>
      <c r="L3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1">
      <c r="A3971" s="229" t="n">
        <v>46313</v>
      </c>
      <c r="B3971" s="46" t="inlineStr">
        <is>
          <t>메모</t>
        </is>
      </c>
      <c r="C3971" s="46" t="inlineStr">
        <is>
          <t>부천지역</t>
        </is>
      </c>
      <c r="D3971" s="46" t="inlineStr">
        <is>
          <t>이종석휴가</t>
        </is>
      </c>
      <c r="E3971" s="46" t="n"/>
      <c r="F3971" s="46" t="n"/>
      <c r="G3971" s="50" t="n"/>
      <c r="H3971" s="51" t="n"/>
      <c r="I3971" s="46" t="n"/>
      <c r="K3971" s="46" t="n">
        <v>3970</v>
      </c>
      <c r="L3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2">
      <c r="A3972" s="229" t="n">
        <v>46313</v>
      </c>
      <c r="B3972" s="46" t="inlineStr">
        <is>
          <t>메모</t>
        </is>
      </c>
      <c r="C3972" s="46" t="inlineStr">
        <is>
          <t>부천지역</t>
        </is>
      </c>
      <c r="D3972" s="46" t="inlineStr">
        <is>
          <t>허창수휴가</t>
        </is>
      </c>
      <c r="E3972" s="46" t="n"/>
      <c r="F3972" s="46" t="n"/>
      <c r="G3972" s="50" t="n"/>
      <c r="H3972" s="51" t="n"/>
      <c r="I3972" s="46" t="n"/>
      <c r="K3972" s="46" t="n">
        <v>3971</v>
      </c>
      <c r="L3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3">
      <c r="A3973" s="229" t="n">
        <v>46313</v>
      </c>
      <c r="B3973" s="46" t="inlineStr">
        <is>
          <t>메모</t>
        </is>
      </c>
      <c r="C3973" s="46" t="inlineStr">
        <is>
          <t>부천지역</t>
        </is>
      </c>
      <c r="D3973" s="46" t="inlineStr">
        <is>
          <t>당효진휴가</t>
        </is>
      </c>
      <c r="E3973" s="46" t="n"/>
      <c r="F3973" s="46" t="n"/>
      <c r="G3973" s="50" t="n"/>
      <c r="H3973" s="51" t="n"/>
      <c r="I3973" s="46" t="n"/>
      <c r="K3973" s="46" t="n">
        <v>3972</v>
      </c>
      <c r="L3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4">
      <c r="A3974" s="229" t="n">
        <v>46313</v>
      </c>
      <c r="B3974" s="46" t="inlineStr">
        <is>
          <t>메모</t>
        </is>
      </c>
      <c r="C3974" s="46" t="inlineStr">
        <is>
          <t>부천지역</t>
        </is>
      </c>
      <c r="D3974" s="46" t="inlineStr">
        <is>
          <t>민재홍휴가</t>
        </is>
      </c>
      <c r="E3974" s="46" t="n"/>
      <c r="F3974" s="46" t="n"/>
      <c r="G3974" s="50" t="n"/>
      <c r="H3974" s="51" t="n"/>
      <c r="I3974" s="46" t="n"/>
      <c r="K3974" s="46" t="n">
        <v>3973</v>
      </c>
      <c r="L3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5">
      <c r="A3975" s="229" t="n">
        <v>46314</v>
      </c>
      <c r="B3975" s="46" t="inlineStr">
        <is>
          <t>정기검사</t>
        </is>
      </c>
      <c r="C3975" s="46" t="inlineStr">
        <is>
          <t>부천지역</t>
        </is>
      </c>
      <c r="D3975" s="46" t="inlineStr">
        <is>
          <t>아머드프레시팩토리</t>
        </is>
      </c>
      <c r="E3975" s="46" t="n">
        <v>290</v>
      </c>
      <c r="F3975" s="46" t="inlineStr">
        <is>
          <t>내동</t>
        </is>
      </c>
      <c r="G3975" s="50" t="n">
        <v>0.4791666666666667</v>
      </c>
      <c r="H3975" s="51" t="n">
        <v>515130</v>
      </c>
      <c r="I3975" s="46" t="n"/>
      <c r="K3975" s="46" t="n">
        <v>3974</v>
      </c>
      <c r="L3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6">
      <c r="A3976" s="229" t="n">
        <v>46314</v>
      </c>
      <c r="B3976" s="46" t="inlineStr">
        <is>
          <t>정기검사</t>
        </is>
      </c>
      <c r="C3976" s="46" t="inlineStr">
        <is>
          <t>부천지역</t>
        </is>
      </c>
      <c r="D3976" s="46" t="inlineStr">
        <is>
          <t>신한테크</t>
        </is>
      </c>
      <c r="E3976" s="46" t="n">
        <v>250</v>
      </c>
      <c r="F3976" s="46" t="inlineStr">
        <is>
          <t>오정동</t>
        </is>
      </c>
      <c r="G3976" s="50" t="n">
        <v>0.5</v>
      </c>
      <c r="H3976" s="51" t="n">
        <v>489170</v>
      </c>
      <c r="I3976" s="46" t="n"/>
      <c r="K3976" s="46" t="n">
        <v>3975</v>
      </c>
      <c r="L3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7">
      <c r="A3977" s="229" t="n">
        <v>46314</v>
      </c>
      <c r="B3977" s="46" t="inlineStr">
        <is>
          <t>정기검사</t>
        </is>
      </c>
      <c r="C3977" s="46" t="inlineStr">
        <is>
          <t>부천지역</t>
        </is>
      </c>
      <c r="D3977" s="46" t="inlineStr">
        <is>
          <t>역곡동교회</t>
        </is>
      </c>
      <c r="E3977" s="46" t="inlineStr">
        <is>
          <t>400/145</t>
        </is>
      </c>
      <c r="F3977" s="46" t="inlineStr">
        <is>
          <t>역곡동</t>
        </is>
      </c>
      <c r="G3977" s="50" t="n">
        <v>0.3958333333333333</v>
      </c>
      <c r="H3977" s="51" t="n">
        <v>882640</v>
      </c>
      <c r="I3977" s="46" t="n"/>
      <c r="K3977" s="46" t="n">
        <v>3976</v>
      </c>
      <c r="L3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8">
      <c r="A3978" s="229" t="n">
        <v>46314</v>
      </c>
      <c r="B3978" s="46" t="inlineStr">
        <is>
          <t>정기검사</t>
        </is>
      </c>
      <c r="C3978" s="46" t="inlineStr">
        <is>
          <t>부천지역</t>
        </is>
      </c>
      <c r="D3978" s="46" t="inlineStr">
        <is>
          <t>신한테크</t>
        </is>
      </c>
      <c r="E3978" s="46" t="n">
        <v>250</v>
      </c>
      <c r="F3978" s="46" t="inlineStr">
        <is>
          <t>오정동</t>
        </is>
      </c>
      <c r="G3978" s="50" t="n">
        <v>0.5</v>
      </c>
      <c r="H3978" s="51" t="n">
        <v>489170</v>
      </c>
      <c r="I3978" s="46" t="n"/>
      <c r="K3978" s="46" t="n">
        <v>3977</v>
      </c>
      <c r="L3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9">
      <c r="A3979" s="229" t="n">
        <v>46314</v>
      </c>
      <c r="B3979" s="46" t="inlineStr">
        <is>
          <t>정기검사</t>
        </is>
      </c>
      <c r="C3979" s="46" t="inlineStr">
        <is>
          <t>부천지역</t>
        </is>
      </c>
      <c r="D3979" s="46" t="inlineStr">
        <is>
          <t>혜동테크</t>
        </is>
      </c>
      <c r="E3979" s="46" t="n">
        <v>350</v>
      </c>
      <c r="F3979" s="46" t="inlineStr">
        <is>
          <t>오정동</t>
        </is>
      </c>
      <c r="G3979" s="50" t="n">
        <v>0.5416666666666666</v>
      </c>
      <c r="H3979" s="51" t="n">
        <v>686180</v>
      </c>
      <c r="I3979" s="46" t="n"/>
      <c r="K3979" s="46" t="n">
        <v>3978</v>
      </c>
      <c r="L3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0">
      <c r="A3980" s="229" t="n">
        <v>46314</v>
      </c>
      <c r="B3980" s="46" t="inlineStr">
        <is>
          <t>정기검사</t>
        </is>
      </c>
      <c r="C3980" s="46" t="inlineStr">
        <is>
          <t>부천지역</t>
        </is>
      </c>
      <c r="D3980" s="46" t="inlineStr">
        <is>
          <t>비엔지빌딩</t>
        </is>
      </c>
      <c r="E3980" s="46" t="n">
        <v>600</v>
      </c>
      <c r="F3980" s="46" t="inlineStr">
        <is>
          <t>역곡동</t>
        </is>
      </c>
      <c r="G3980" s="50" t="n">
        <v>0.2916666666666667</v>
      </c>
      <c r="H3980" s="51" t="n">
        <v>247170</v>
      </c>
      <c r="I3980" s="46" t="n"/>
      <c r="K3980" s="46" t="n">
        <v>3979</v>
      </c>
      <c r="L3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1">
      <c r="A3981" s="229" t="n">
        <v>46314</v>
      </c>
      <c r="B3981" s="46" t="inlineStr">
        <is>
          <t>정기검사</t>
        </is>
      </c>
      <c r="C3981" s="46" t="inlineStr">
        <is>
          <t>부천지역</t>
        </is>
      </c>
      <c r="D3981" s="46" t="inlineStr">
        <is>
          <t>기도교회감리회</t>
        </is>
      </c>
      <c r="E3981" s="46" t="n">
        <v>200</v>
      </c>
      <c r="F3981" s="46" t="inlineStr">
        <is>
          <t>작동</t>
        </is>
      </c>
      <c r="G3981" s="50" t="n">
        <v>0.3958333333333333</v>
      </c>
      <c r="H3981" s="51" t="n">
        <v>456720</v>
      </c>
      <c r="I3981" s="46" t="n"/>
      <c r="K3981" s="46" t="n">
        <v>3980</v>
      </c>
      <c r="L3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2">
      <c r="A3982" s="229" t="n">
        <v>46314</v>
      </c>
      <c r="B3982" s="46" t="inlineStr">
        <is>
          <t>정기검사</t>
        </is>
      </c>
      <c r="C3982" s="46" t="inlineStr">
        <is>
          <t>김포지역</t>
        </is>
      </c>
      <c r="D3982" s="46" t="inlineStr">
        <is>
          <t>메트로타워예미지</t>
        </is>
      </c>
      <c r="E3982" s="46" t="inlineStr">
        <is>
          <t>전기차</t>
        </is>
      </c>
      <c r="F3982" s="46" t="inlineStr">
        <is>
          <t>구래동</t>
        </is>
      </c>
      <c r="G3982" s="50" t="n">
        <v>0.4166666666666667</v>
      </c>
      <c r="H3982" s="51" t="n">
        <v>301400</v>
      </c>
      <c r="I3982" s="46" t="n"/>
      <c r="K3982" s="46" t="n">
        <v>3981</v>
      </c>
      <c r="L3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3">
      <c r="A3983" s="229" t="n">
        <v>46314</v>
      </c>
      <c r="B3983" s="46" t="inlineStr">
        <is>
          <t>정기검사</t>
        </is>
      </c>
      <c r="C3983" s="46" t="inlineStr">
        <is>
          <t>김포지역</t>
        </is>
      </c>
      <c r="D3983" s="46" t="inlineStr">
        <is>
          <t>효성푸드</t>
        </is>
      </c>
      <c r="E3983" s="46" t="n">
        <v>290</v>
      </c>
      <c r="F3983" s="46" t="inlineStr">
        <is>
          <t>귀전리</t>
        </is>
      </c>
      <c r="G3983" s="50" t="n">
        <v>0.5</v>
      </c>
      <c r="H3983" s="51" t="n">
        <v>515130</v>
      </c>
      <c r="I3983" s="46" t="n"/>
      <c r="K3983" s="46" t="n">
        <v>3982</v>
      </c>
      <c r="L3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4">
      <c r="A3984" s="229" t="n">
        <v>46314</v>
      </c>
      <c r="B3984" s="46" t="inlineStr">
        <is>
          <t>정기검사</t>
        </is>
      </c>
      <c r="C3984" s="46" t="inlineStr">
        <is>
          <t>김포지역</t>
        </is>
      </c>
      <c r="D3984" s="46" t="inlineStr">
        <is>
          <t>메트로타워예미지</t>
        </is>
      </c>
      <c r="E3984" s="46" t="inlineStr">
        <is>
          <t>3650/1136</t>
        </is>
      </c>
      <c r="F3984" s="46" t="inlineStr">
        <is>
          <t>구래동</t>
        </is>
      </c>
      <c r="G3984" s="50" t="n">
        <v>0.4166666666666667</v>
      </c>
      <c r="H3984" s="51" t="n">
        <v>1933580</v>
      </c>
      <c r="I3984" s="46" t="n"/>
      <c r="K3984" s="46" t="n">
        <v>3983</v>
      </c>
      <c r="L3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5">
      <c r="A3985" s="229" t="n">
        <v>46314</v>
      </c>
      <c r="B3985" s="46" t="inlineStr">
        <is>
          <t>정기검사</t>
        </is>
      </c>
      <c r="C3985" s="46" t="inlineStr">
        <is>
          <t>김포지역</t>
        </is>
      </c>
      <c r="D3985" s="46" t="inlineStr">
        <is>
          <t>프라미스</t>
        </is>
      </c>
      <c r="E3985" s="46" t="n">
        <v>350</v>
      </c>
      <c r="F3985" s="46" t="inlineStr">
        <is>
          <t>장기동</t>
        </is>
      </c>
      <c r="G3985" s="50" t="n">
        <v>0.3958333333333333</v>
      </c>
      <c r="H3985" s="51" t="n">
        <v>686180</v>
      </c>
      <c r="I3985" s="46" t="n"/>
      <c r="K3985" s="46" t="n">
        <v>3984</v>
      </c>
      <c r="L3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6">
      <c r="A3986" s="229" t="n">
        <v>46314</v>
      </c>
      <c r="B3986" s="46" t="inlineStr">
        <is>
          <t>정기검사</t>
        </is>
      </c>
      <c r="C3986" s="46" t="inlineStr">
        <is>
          <t>김포지역</t>
        </is>
      </c>
      <c r="D3986" s="46" t="inlineStr">
        <is>
          <t>김포풍무꿈에그린5</t>
        </is>
      </c>
      <c r="E3986" s="46" t="n">
        <v>11</v>
      </c>
      <c r="F3986" s="46" t="inlineStr">
        <is>
          <t>풍무동</t>
        </is>
      </c>
      <c r="G3986" s="50" t="n">
        <v>0.5833333333333334</v>
      </c>
      <c r="H3986" s="51" t="n">
        <v>92070</v>
      </c>
      <c r="I3986" s="46" t="n"/>
      <c r="K3986" s="46" t="n">
        <v>3985</v>
      </c>
      <c r="L3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7">
      <c r="A3987" s="229" t="n">
        <v>46314</v>
      </c>
      <c r="B3987" s="46" t="inlineStr">
        <is>
          <t>사용전검사</t>
        </is>
      </c>
      <c r="C3987" s="46" t="inlineStr">
        <is>
          <t>부천지역</t>
        </is>
      </c>
      <c r="D3987" s="46" t="inlineStr">
        <is>
          <t>포스코</t>
        </is>
      </c>
      <c r="E3987" s="46" t="n">
        <v>340</v>
      </c>
      <c r="F3987" s="46" t="inlineStr">
        <is>
          <t>여월동</t>
        </is>
      </c>
      <c r="G3987" s="50" t="n"/>
      <c r="H3987" s="51" t="n"/>
      <c r="I3987" s="46" t="n"/>
      <c r="K3987" s="46" t="n">
        <v>3986</v>
      </c>
      <c r="L3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8">
      <c r="A3988" s="229" t="n">
        <v>46314</v>
      </c>
      <c r="B3988" s="46" t="inlineStr">
        <is>
          <t>사용전검사</t>
        </is>
      </c>
      <c r="C3988" s="46" t="inlineStr">
        <is>
          <t>부천지역</t>
        </is>
      </c>
      <c r="D3988" s="46" t="inlineStr">
        <is>
          <t>귀투라미</t>
        </is>
      </c>
      <c r="E3988" s="46" t="n">
        <v>651</v>
      </c>
      <c r="F3988" s="46" t="inlineStr">
        <is>
          <t>도당동</t>
        </is>
      </c>
      <c r="G3988" s="50" t="n"/>
      <c r="H3988" s="51" t="n"/>
      <c r="I3988" s="46" t="n"/>
      <c r="K3988" s="46" t="n">
        <v>3987</v>
      </c>
      <c r="L3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9">
      <c r="A3989" s="229" t="n">
        <v>46314</v>
      </c>
      <c r="B3989" s="46" t="inlineStr">
        <is>
          <t>사용전검사</t>
        </is>
      </c>
      <c r="C3989" s="46" t="inlineStr">
        <is>
          <t>부천지역</t>
        </is>
      </c>
      <c r="D3989" s="46" t="inlineStr">
        <is>
          <t>비엔지빌딩</t>
        </is>
      </c>
      <c r="E3989" s="46" t="n">
        <v>600</v>
      </c>
      <c r="F3989" s="46" t="inlineStr">
        <is>
          <t>역곡동</t>
        </is>
      </c>
      <c r="G3989" s="50" t="n"/>
      <c r="H3989" s="51" t="n"/>
      <c r="I3989" s="46" t="n"/>
      <c r="K3989" s="46" t="n">
        <v>3988</v>
      </c>
      <c r="L3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0">
      <c r="A3990" s="229" t="n">
        <v>46314</v>
      </c>
      <c r="B3990" s="46" t="inlineStr">
        <is>
          <t>사용전검사</t>
        </is>
      </c>
      <c r="C3990" s="46" t="inlineStr">
        <is>
          <t>부천지역</t>
        </is>
      </c>
      <c r="D3990" s="46" t="inlineStr">
        <is>
          <t>엘지유플러스</t>
        </is>
      </c>
      <c r="E3990" s="46" t="n">
        <v>64</v>
      </c>
      <c r="F3990" s="46" t="inlineStr">
        <is>
          <t>상동</t>
        </is>
      </c>
      <c r="G3990" s="50" t="n"/>
      <c r="H3990" s="51" t="n"/>
      <c r="I3990" s="46" t="n"/>
      <c r="K3990" s="46" t="n">
        <v>3989</v>
      </c>
      <c r="L3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1">
      <c r="A3991" s="229" t="n">
        <v>46314</v>
      </c>
      <c r="B3991" s="46" t="inlineStr">
        <is>
          <t>메모</t>
        </is>
      </c>
      <c r="C3991" s="46" t="inlineStr">
        <is>
          <t>부천지역</t>
        </is>
      </c>
      <c r="D3991" s="46" t="inlineStr">
        <is>
          <t>당효진휴가</t>
        </is>
      </c>
      <c r="E3991" s="46" t="n"/>
      <c r="F3991" s="46" t="n"/>
      <c r="G3991" s="50" t="n"/>
      <c r="H3991" s="51" t="n"/>
      <c r="I3991" s="46" t="n"/>
      <c r="K3991" s="46" t="n">
        <v>3990</v>
      </c>
      <c r="L3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2">
      <c r="A3992" s="229" t="n">
        <v>46314</v>
      </c>
      <c r="B3992" s="46" t="inlineStr">
        <is>
          <t>메모</t>
        </is>
      </c>
      <c r="C3992" s="46" t="inlineStr">
        <is>
          <t>부천지역</t>
        </is>
      </c>
      <c r="D3992" s="46" t="inlineStr">
        <is>
          <t>변종국교육</t>
        </is>
      </c>
      <c r="E3992" s="46" t="n"/>
      <c r="F3992" s="46" t="n"/>
      <c r="G3992" s="50" t="n"/>
      <c r="H3992" s="51" t="n"/>
      <c r="I3992" s="46" t="n"/>
      <c r="K3992" s="46" t="n">
        <v>3991</v>
      </c>
      <c r="L3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3">
      <c r="A3993" s="229" t="n">
        <v>46314</v>
      </c>
      <c r="B3993" s="46" t="inlineStr">
        <is>
          <t>사용전검사</t>
        </is>
      </c>
      <c r="C3993" s="46" t="inlineStr">
        <is>
          <t>부천지역</t>
        </is>
      </c>
      <c r="D3993" s="46" t="inlineStr">
        <is>
          <t>금호건설</t>
        </is>
      </c>
      <c r="E3993" s="46" t="inlineStr">
        <is>
          <t>부분</t>
        </is>
      </c>
      <c r="F3993" s="46" t="inlineStr">
        <is>
          <t>괴안동ㄷ</t>
        </is>
      </c>
      <c r="G3993" s="50" t="n"/>
      <c r="H3993" s="51" t="n"/>
      <c r="I3993" s="46" t="inlineStr">
        <is>
          <t>정성관</t>
        </is>
      </c>
      <c r="K3993" s="46" t="n">
        <v>3992</v>
      </c>
      <c r="L3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4">
      <c r="A3994" s="229" t="n">
        <v>46314</v>
      </c>
      <c r="B3994" s="46" t="inlineStr">
        <is>
          <t>사용전검사</t>
        </is>
      </c>
      <c r="C3994" s="46" t="inlineStr">
        <is>
          <t>김포지역</t>
        </is>
      </c>
      <c r="D3994" s="46" t="inlineStr">
        <is>
          <t>임채화</t>
        </is>
      </c>
      <c r="E3994" s="46" t="n">
        <v>81</v>
      </c>
      <c r="F3994" s="46" t="inlineStr">
        <is>
          <t>율생리</t>
        </is>
      </c>
      <c r="G3994" s="50" t="n"/>
      <c r="H3994" s="51" t="n"/>
      <c r="I3994" s="46" t="n"/>
      <c r="K3994" s="46" t="n">
        <v>3993</v>
      </c>
      <c r="L3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5">
      <c r="A3995" s="229" t="n">
        <v>46314</v>
      </c>
      <c r="B3995" s="46" t="inlineStr">
        <is>
          <t>사용전검사</t>
        </is>
      </c>
      <c r="C3995" s="46" t="inlineStr">
        <is>
          <t>김포지역</t>
        </is>
      </c>
      <c r="D3995" s="46" t="inlineStr">
        <is>
          <t>네씨주니어키즈</t>
        </is>
      </c>
      <c r="E3995" s="46" t="n">
        <v>50</v>
      </c>
      <c r="F3995" s="46" t="inlineStr">
        <is>
          <t>운양동</t>
        </is>
      </c>
      <c r="G3995" s="50" t="n"/>
      <c r="H3995" s="51" t="n"/>
      <c r="I3995" s="46" t="n"/>
      <c r="K3995" s="46" t="n">
        <v>3994</v>
      </c>
      <c r="L3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6">
      <c r="A3996" s="229" t="n">
        <v>46314</v>
      </c>
      <c r="B3996" s="46" t="inlineStr">
        <is>
          <t>사용전검사</t>
        </is>
      </c>
      <c r="C3996" s="46" t="inlineStr">
        <is>
          <t>김포지역</t>
        </is>
      </c>
      <c r="D3996" s="46" t="inlineStr">
        <is>
          <t>영창펀치</t>
        </is>
      </c>
      <c r="E3996" s="46" t="n">
        <v>100</v>
      </c>
      <c r="F3996" s="46" t="inlineStr">
        <is>
          <t>학운리</t>
        </is>
      </c>
      <c r="G3996" s="50" t="n"/>
      <c r="H3996" s="51" t="n"/>
      <c r="I3996" s="46" t="n"/>
      <c r="K3996" s="46" t="n">
        <v>3995</v>
      </c>
      <c r="L3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7">
      <c r="A3997" s="229" t="n">
        <v>46314</v>
      </c>
      <c r="B3997" s="46" t="inlineStr">
        <is>
          <t>사용전검사</t>
        </is>
      </c>
      <c r="C3997" s="46" t="inlineStr">
        <is>
          <t>김포지역</t>
        </is>
      </c>
      <c r="D3997" s="46" t="inlineStr">
        <is>
          <t>성지2호</t>
        </is>
      </c>
      <c r="E3997" s="46" t="n">
        <v>188</v>
      </c>
      <c r="F3997" s="46" t="inlineStr">
        <is>
          <t>송마리</t>
        </is>
      </c>
      <c r="G3997" s="50" t="n"/>
      <c r="H3997" s="51" t="n"/>
      <c r="I3997" s="46" t="n"/>
      <c r="K3997" s="46" t="n">
        <v>3996</v>
      </c>
      <c r="L3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8">
      <c r="A3998" s="229" t="n">
        <v>46314</v>
      </c>
      <c r="B3998" s="46" t="inlineStr">
        <is>
          <t>사용전검사</t>
        </is>
      </c>
      <c r="C3998" s="46" t="inlineStr">
        <is>
          <t>김포지역</t>
        </is>
      </c>
      <c r="D3998" s="46" t="inlineStr">
        <is>
          <t>페이퍼큐브</t>
        </is>
      </c>
      <c r="E3998" s="46" t="n">
        <v>129</v>
      </c>
      <c r="F3998" s="46" t="inlineStr">
        <is>
          <t>원산리</t>
        </is>
      </c>
      <c r="G3998" s="50" t="n"/>
      <c r="H3998" s="51" t="n"/>
      <c r="I3998" s="46" t="n"/>
      <c r="K3998" s="46" t="n">
        <v>3997</v>
      </c>
      <c r="L3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9">
      <c r="A3999" s="229" t="n">
        <v>46315</v>
      </c>
      <c r="B3999" s="46" t="inlineStr">
        <is>
          <t>정기검사</t>
        </is>
      </c>
      <c r="C3999" s="46" t="inlineStr">
        <is>
          <t>부천지역</t>
        </is>
      </c>
      <c r="D3999" s="46" t="inlineStr">
        <is>
          <t>두진아파트</t>
        </is>
      </c>
      <c r="E3999" s="46" t="inlineStr">
        <is>
          <t>전기차</t>
        </is>
      </c>
      <c r="F3999" s="46" t="inlineStr">
        <is>
          <t>역곡동</t>
        </is>
      </c>
      <c r="G3999" s="50" t="n">
        <v>0.5416666666666666</v>
      </c>
      <c r="H3999" s="51" t="n">
        <v>64240</v>
      </c>
      <c r="I3999" s="46" t="n"/>
      <c r="K3999" s="46" t="n">
        <v>3998</v>
      </c>
      <c r="L3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0">
      <c r="A4000" s="229" t="n">
        <v>46315</v>
      </c>
      <c r="B4000" s="46" t="inlineStr">
        <is>
          <t>정기검사</t>
        </is>
      </c>
      <c r="C4000" s="46" t="inlineStr">
        <is>
          <t>부천지역</t>
        </is>
      </c>
      <c r="D4000" s="46" t="inlineStr">
        <is>
          <t>중동팰리스</t>
        </is>
      </c>
      <c r="E4000" s="46" t="inlineStr">
        <is>
          <t>9000/2900</t>
        </is>
      </c>
      <c r="F4000" s="46" t="inlineStr">
        <is>
          <t>중동</t>
        </is>
      </c>
      <c r="G4000" s="50" t="n">
        <v>0.4166666666666667</v>
      </c>
      <c r="H4000" s="51" t="n">
        <v>2788610</v>
      </c>
      <c r="I4000" s="46" t="n"/>
      <c r="K4000" s="46" t="n">
        <v>3999</v>
      </c>
      <c r="L4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1">
      <c r="A4001" s="229" t="n">
        <v>46315</v>
      </c>
      <c r="B4001" s="46" t="inlineStr">
        <is>
          <t>정기검사</t>
        </is>
      </c>
      <c r="C4001" s="46" t="inlineStr">
        <is>
          <t>부천지역</t>
        </is>
      </c>
      <c r="D4001" s="46" t="inlineStr">
        <is>
          <t>써미트빌</t>
        </is>
      </c>
      <c r="E4001" s="46" t="inlineStr">
        <is>
          <t>2100/480</t>
        </is>
      </c>
      <c r="F4001" s="46" t="inlineStr">
        <is>
          <t>상동</t>
        </is>
      </c>
      <c r="G4001" s="50" t="n">
        <v>0.4375</v>
      </c>
      <c r="H4001" s="51" t="n">
        <v>1320220</v>
      </c>
      <c r="I4001" s="46" t="n"/>
      <c r="K4001" s="46" t="n">
        <v>4000</v>
      </c>
      <c r="L4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2">
      <c r="A4002" s="229" t="n">
        <v>46315</v>
      </c>
      <c r="B4002" s="46" t="inlineStr">
        <is>
          <t>정기검사</t>
        </is>
      </c>
      <c r="C4002" s="46" t="inlineStr">
        <is>
          <t>부천지역</t>
        </is>
      </c>
      <c r="D4002" s="46" t="inlineStr">
        <is>
          <t>김진호</t>
        </is>
      </c>
      <c r="E4002" s="46" t="n">
        <v>290</v>
      </c>
      <c r="F4002" s="46" t="inlineStr">
        <is>
          <t>춘의동</t>
        </is>
      </c>
      <c r="G4002" s="50" t="n">
        <v>0.4375</v>
      </c>
      <c r="H4002" s="51" t="n">
        <v>515130</v>
      </c>
      <c r="I4002" s="46" t="n"/>
      <c r="K4002" s="46" t="n">
        <v>4001</v>
      </c>
      <c r="L4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3">
      <c r="A4003" s="229" t="n">
        <v>46315</v>
      </c>
      <c r="B4003" s="46" t="inlineStr">
        <is>
          <t>정기검사</t>
        </is>
      </c>
      <c r="C4003" s="46" t="inlineStr">
        <is>
          <t>부천지역</t>
        </is>
      </c>
      <c r="D4003" s="46" t="inlineStr">
        <is>
          <t>대창mc</t>
        </is>
      </c>
      <c r="E4003" s="46" t="n">
        <v>400</v>
      </c>
      <c r="F4003" s="46" t="inlineStr">
        <is>
          <t>오정동</t>
        </is>
      </c>
      <c r="G4003" s="50" t="n">
        <v>0.625</v>
      </c>
      <c r="H4003" s="51" t="n">
        <v>703120</v>
      </c>
      <c r="I4003" s="46" t="n"/>
      <c r="K4003" s="46" t="n">
        <v>4002</v>
      </c>
      <c r="L4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4">
      <c r="A4004" s="229" t="n">
        <v>46315</v>
      </c>
      <c r="B4004" s="46" t="inlineStr">
        <is>
          <t>정기검사</t>
        </is>
      </c>
      <c r="C4004" s="46" t="inlineStr">
        <is>
          <t>김포지역</t>
        </is>
      </c>
      <c r="D4004" s="46" t="inlineStr">
        <is>
          <t>캐스힐</t>
        </is>
      </c>
      <c r="E4004" s="46" t="inlineStr">
        <is>
          <t>950/250</t>
        </is>
      </c>
      <c r="F4004" s="46" t="inlineStr">
        <is>
          <t>고촌</t>
        </is>
      </c>
      <c r="G4004" s="50" t="n">
        <v>0.25</v>
      </c>
      <c r="H4004" s="51" t="n">
        <v>1513490</v>
      </c>
      <c r="I4004" s="46" t="n"/>
      <c r="K4004" s="46" t="n">
        <v>4003</v>
      </c>
      <c r="L4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5">
      <c r="A4005" s="229" t="n">
        <v>46315</v>
      </c>
      <c r="B4005" s="46" t="inlineStr">
        <is>
          <t>정기검사</t>
        </is>
      </c>
      <c r="C4005" s="46" t="inlineStr">
        <is>
          <t>김포지역</t>
        </is>
      </c>
      <c r="D4005" s="46" t="inlineStr">
        <is>
          <t>래미안한강</t>
        </is>
      </c>
      <c r="E4005" s="46" t="inlineStr">
        <is>
          <t>3000/682</t>
        </is>
      </c>
      <c r="F4005" s="46" t="inlineStr">
        <is>
          <t>장기동</t>
        </is>
      </c>
      <c r="G4005" s="50" t="n">
        <v>0.4166666666666667</v>
      </c>
      <c r="H4005" s="51" t="n">
        <v>1500180</v>
      </c>
      <c r="I4005" s="46" t="n"/>
      <c r="K4005" s="46" t="n">
        <v>4004</v>
      </c>
      <c r="L4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6">
      <c r="A4006" s="229" t="n">
        <v>46315</v>
      </c>
      <c r="B4006" s="46" t="inlineStr">
        <is>
          <t>정기검사</t>
        </is>
      </c>
      <c r="C4006" s="46" t="inlineStr">
        <is>
          <t>김포지역</t>
        </is>
      </c>
      <c r="D4006" s="46" t="inlineStr">
        <is>
          <t>더파크뷰테라스</t>
        </is>
      </c>
      <c r="E4006" s="46" t="inlineStr">
        <is>
          <t>1600/320</t>
        </is>
      </c>
      <c r="F4006" s="46" t="inlineStr">
        <is>
          <t>운양동</t>
        </is>
      </c>
      <c r="G4006" s="50" t="n">
        <v>0.4166666666666667</v>
      </c>
      <c r="H4006" s="51" t="n">
        <v>1212750</v>
      </c>
      <c r="I4006" s="46" t="n"/>
      <c r="K4006" s="46" t="n">
        <v>4005</v>
      </c>
      <c r="L4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7">
      <c r="A4007" s="229" t="n">
        <v>46315</v>
      </c>
      <c r="B4007" s="46" t="inlineStr">
        <is>
          <t>정기검사</t>
        </is>
      </c>
      <c r="C4007" s="46" t="inlineStr">
        <is>
          <t>김포지역</t>
        </is>
      </c>
      <c r="D4007" s="46" t="inlineStr">
        <is>
          <t>더파크뷰테라스</t>
        </is>
      </c>
      <c r="E4007" s="46" t="inlineStr">
        <is>
          <t>전기차</t>
        </is>
      </c>
      <c r="F4007" s="46" t="inlineStr">
        <is>
          <t>운양동</t>
        </is>
      </c>
      <c r="G4007" s="50" t="n"/>
      <c r="H4007" s="51" t="n">
        <v>81180</v>
      </c>
      <c r="I4007" s="46" t="n"/>
      <c r="K4007" s="46" t="n">
        <v>4006</v>
      </c>
      <c r="L4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8">
      <c r="A4008" s="229" t="n">
        <v>46315</v>
      </c>
      <c r="B4008" s="46" t="inlineStr">
        <is>
          <t>정기검사</t>
        </is>
      </c>
      <c r="C4008" s="46" t="inlineStr">
        <is>
          <t>김포지역</t>
        </is>
      </c>
      <c r="D4008" s="46" t="inlineStr">
        <is>
          <t>대일상사</t>
        </is>
      </c>
      <c r="E4008" s="46" t="n">
        <v>400</v>
      </c>
      <c r="F4008" s="46" t="inlineStr">
        <is>
          <t>옹정리</t>
        </is>
      </c>
      <c r="G4008" s="50" t="n">
        <v>0.5208333333333334</v>
      </c>
      <c r="H4008" s="51" t="n">
        <v>703120</v>
      </c>
      <c r="I4008" s="46" t="n"/>
      <c r="K4008" s="46" t="n">
        <v>4007</v>
      </c>
      <c r="L4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9">
      <c r="A4009" s="229" t="n">
        <v>46315</v>
      </c>
      <c r="B4009" s="46" t="inlineStr">
        <is>
          <t>정기검사</t>
        </is>
      </c>
      <c r="C4009" s="46" t="inlineStr">
        <is>
          <t>김포지역</t>
        </is>
      </c>
      <c r="D4009" s="46" t="inlineStr">
        <is>
          <t>신일상사</t>
        </is>
      </c>
      <c r="E4009" s="46" t="n">
        <v>290</v>
      </c>
      <c r="F4009" s="46" t="inlineStr">
        <is>
          <t>쇄암리</t>
        </is>
      </c>
      <c r="G4009" s="50" t="n">
        <v>0.4791666666666667</v>
      </c>
      <c r="H4009" s="51" t="n">
        <v>515130</v>
      </c>
      <c r="I4009" s="46" t="n"/>
      <c r="K4009" s="46" t="n">
        <v>4008</v>
      </c>
      <c r="L4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0">
      <c r="A4010" s="229" t="n">
        <v>46315</v>
      </c>
      <c r="B4010" s="46" t="inlineStr">
        <is>
          <t>정기검사</t>
        </is>
      </c>
      <c r="C4010" s="46" t="inlineStr">
        <is>
          <t>김포지역</t>
        </is>
      </c>
      <c r="D4010" s="46" t="inlineStr">
        <is>
          <t>다드림한마음</t>
        </is>
      </c>
      <c r="E4010" s="46" t="inlineStr">
        <is>
          <t>950/250</t>
        </is>
      </c>
      <c r="F4010" s="46" t="inlineStr">
        <is>
          <t>고촌</t>
        </is>
      </c>
      <c r="G4010" s="50" t="n">
        <v>0.25</v>
      </c>
      <c r="H4010" s="51" t="n">
        <v>1430000</v>
      </c>
      <c r="I4010" s="46" t="n"/>
      <c r="K4010" s="46" t="n">
        <v>4009</v>
      </c>
      <c r="L4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1">
      <c r="A4011" s="229" t="n">
        <v>46315</v>
      </c>
      <c r="B4011" s="46" t="inlineStr">
        <is>
          <t>정기검사</t>
        </is>
      </c>
      <c r="C4011" s="46" t="inlineStr">
        <is>
          <t>김포지역</t>
        </is>
      </c>
      <c r="D4011" s="46" t="inlineStr">
        <is>
          <t>글로벌차량광고</t>
        </is>
      </c>
      <c r="E4011" s="46" t="n">
        <v>149</v>
      </c>
      <c r="F4011" s="46" t="inlineStr">
        <is>
          <t>가현리</t>
        </is>
      </c>
      <c r="G4011" s="50" t="n">
        <v>0.3958333333333333</v>
      </c>
      <c r="H4011" s="51" t="n">
        <v>231550</v>
      </c>
      <c r="I4011" s="46" t="n"/>
      <c r="K4011" s="46" t="n">
        <v>4010</v>
      </c>
      <c r="L4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2">
      <c r="A4012" s="229" t="n">
        <v>46315</v>
      </c>
      <c r="B4012" s="46" t="inlineStr">
        <is>
          <t>사용전검사</t>
        </is>
      </c>
      <c r="C4012" s="46" t="inlineStr">
        <is>
          <t>부천지역</t>
        </is>
      </c>
      <c r="D4012" s="46" t="inlineStr">
        <is>
          <t>포스코이앤씨</t>
        </is>
      </c>
      <c r="E4012" s="46" t="n">
        <v>490</v>
      </c>
      <c r="F4012" s="46" t="inlineStr">
        <is>
          <t>송내동</t>
        </is>
      </c>
      <c r="G4012" s="50" t="n"/>
      <c r="H4012" s="51" t="n"/>
      <c r="I4012" s="46" t="n"/>
      <c r="K4012" s="46" t="n">
        <v>4011</v>
      </c>
      <c r="L4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3">
      <c r="A4013" s="229" t="n">
        <v>46315</v>
      </c>
      <c r="B4013" s="46" t="inlineStr">
        <is>
          <t>메모</t>
        </is>
      </c>
      <c r="C4013" s="46" t="inlineStr">
        <is>
          <t>부천지역</t>
        </is>
      </c>
      <c r="D4013" s="46" t="inlineStr">
        <is>
          <t>김영권휴가</t>
        </is>
      </c>
      <c r="E4013" s="46" t="n"/>
      <c r="F4013" s="46" t="n"/>
      <c r="G4013" s="50" t="n"/>
      <c r="H4013" s="51" t="n"/>
      <c r="I4013" s="46" t="n"/>
      <c r="K4013" s="46" t="n">
        <v>4012</v>
      </c>
      <c r="L4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4">
      <c r="A4014" s="229" t="n">
        <v>46315</v>
      </c>
      <c r="B4014" s="46" t="inlineStr">
        <is>
          <t>메모</t>
        </is>
      </c>
      <c r="C4014" s="46" t="inlineStr">
        <is>
          <t>부천지역</t>
        </is>
      </c>
      <c r="D4014" s="46" t="inlineStr">
        <is>
          <t>변종국교육</t>
        </is>
      </c>
      <c r="E4014" s="46" t="n"/>
      <c r="F4014" s="46" t="n"/>
      <c r="G4014" s="50" t="n"/>
      <c r="H4014" s="51" t="n"/>
      <c r="I4014" s="46" t="n"/>
      <c r="K4014" s="46" t="n">
        <v>4013</v>
      </c>
      <c r="L4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5">
      <c r="A4015" s="229" t="n">
        <v>46315</v>
      </c>
      <c r="B4015" s="46" t="inlineStr">
        <is>
          <t>사용전검사</t>
        </is>
      </c>
      <c r="C4015" s="46" t="inlineStr">
        <is>
          <t>김포지역</t>
        </is>
      </c>
      <c r="D4015" s="46" t="inlineStr">
        <is>
          <t>수지태양광</t>
        </is>
      </c>
      <c r="E4015" s="46" t="n">
        <v>199</v>
      </c>
      <c r="F4015" s="46" t="inlineStr">
        <is>
          <t>석정리</t>
        </is>
      </c>
      <c r="G4015" s="50" t="n"/>
      <c r="H4015" s="51" t="n"/>
      <c r="I4015" s="46" t="n"/>
      <c r="K4015" s="46" t="n">
        <v>4014</v>
      </c>
      <c r="L4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6">
      <c r="A4016" s="229" t="n">
        <v>46315</v>
      </c>
      <c r="B4016" s="46" t="inlineStr">
        <is>
          <t>사용전검사</t>
        </is>
      </c>
      <c r="C4016" s="46" t="inlineStr">
        <is>
          <t>김포지역</t>
        </is>
      </c>
      <c r="D4016" s="46" t="inlineStr">
        <is>
          <t>우람</t>
        </is>
      </c>
      <c r="E4016" s="46" t="n">
        <v>130</v>
      </c>
      <c r="F4016" s="46" t="inlineStr">
        <is>
          <t>송마리</t>
        </is>
      </c>
      <c r="G4016" s="50" t="n"/>
      <c r="H4016" s="51" t="n"/>
      <c r="I4016" s="46" t="n"/>
      <c r="K4016" s="46" t="n">
        <v>4015</v>
      </c>
      <c r="L4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7">
      <c r="A4017" s="229" t="n">
        <v>46316</v>
      </c>
      <c r="B4017" s="46" t="inlineStr">
        <is>
          <t>정기검사</t>
        </is>
      </c>
      <c r="C4017" s="46" t="inlineStr">
        <is>
          <t>부천지역</t>
        </is>
      </c>
      <c r="D4017" s="46" t="inlineStr">
        <is>
          <t>팰리스카운티</t>
        </is>
      </c>
      <c r="E4017" s="46" t="inlineStr">
        <is>
          <t>2250/727</t>
        </is>
      </c>
      <c r="F4017" s="46" t="inlineStr">
        <is>
          <t>중동</t>
        </is>
      </c>
      <c r="G4017" s="50" t="n">
        <v>0.4166666666666667</v>
      </c>
      <c r="H4017" s="51" t="n">
        <v>1398870</v>
      </c>
      <c r="I4017" s="46" t="n"/>
      <c r="K4017" s="46" t="n">
        <v>4016</v>
      </c>
      <c r="L4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8">
      <c r="A4018" s="229" t="n">
        <v>46316</v>
      </c>
      <c r="B4018" s="46" t="inlineStr">
        <is>
          <t>정기검사</t>
        </is>
      </c>
      <c r="C4018" s="46" t="inlineStr">
        <is>
          <t>부천지역</t>
        </is>
      </c>
      <c r="D4018" s="46" t="inlineStr">
        <is>
          <t>대희정밀</t>
        </is>
      </c>
      <c r="E4018" s="46" t="n">
        <v>250</v>
      </c>
      <c r="F4018" s="46" t="inlineStr">
        <is>
          <t>도당동</t>
        </is>
      </c>
      <c r="G4018" s="50" t="n">
        <v>0.6458333333333334</v>
      </c>
      <c r="H4018" s="51" t="n">
        <v>489170</v>
      </c>
      <c r="I4018" s="46" t="n"/>
      <c r="K4018" s="46" t="n">
        <v>4017</v>
      </c>
      <c r="L4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9">
      <c r="A4019" s="229" t="n">
        <v>46316</v>
      </c>
      <c r="B4019" s="46" t="inlineStr">
        <is>
          <t>정기검사</t>
        </is>
      </c>
      <c r="C4019" s="46" t="inlineStr">
        <is>
          <t>부천지역</t>
        </is>
      </c>
      <c r="D4019" s="46" t="inlineStr">
        <is>
          <t>센테크이앤지</t>
        </is>
      </c>
      <c r="E4019" s="46" t="n">
        <v>200</v>
      </c>
      <c r="F4019" s="46" t="inlineStr">
        <is>
          <t>내동</t>
        </is>
      </c>
      <c r="G4019" s="50" t="n">
        <v>0.5</v>
      </c>
      <c r="H4019" s="51" t="n">
        <v>456720</v>
      </c>
      <c r="I4019" s="46" t="n"/>
      <c r="K4019" s="46" t="n">
        <v>4018</v>
      </c>
      <c r="L4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0">
      <c r="A4020" s="229" t="n">
        <v>46316</v>
      </c>
      <c r="B4020" s="46" t="inlineStr">
        <is>
          <t>정기검사</t>
        </is>
      </c>
      <c r="C4020" s="46" t="inlineStr">
        <is>
          <t>부천지역</t>
        </is>
      </c>
      <c r="D4020" s="46" t="inlineStr">
        <is>
          <t>동부센트러</t>
        </is>
      </c>
      <c r="E4020" s="46" t="inlineStr">
        <is>
          <t>전기차</t>
        </is>
      </c>
      <c r="F4020" s="46" t="inlineStr">
        <is>
          <t>역곡동</t>
        </is>
      </c>
      <c r="G4020" s="50" t="n">
        <v>0.5416666666666666</v>
      </c>
      <c r="H4020" s="51" t="n">
        <v>106590</v>
      </c>
      <c r="I4020" s="46" t="n"/>
      <c r="K4020" s="46" t="n">
        <v>4019</v>
      </c>
      <c r="L4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1">
      <c r="A4021" s="229" t="n">
        <v>46316</v>
      </c>
      <c r="B4021" s="46" t="inlineStr">
        <is>
          <t>정기검사</t>
        </is>
      </c>
      <c r="C4021" s="46" t="inlineStr">
        <is>
          <t>부천지역</t>
        </is>
      </c>
      <c r="D4021" s="46" t="inlineStr">
        <is>
          <t>히즈메디빌딩</t>
        </is>
      </c>
      <c r="E4021" s="46" t="inlineStr">
        <is>
          <t>2000/452</t>
        </is>
      </c>
      <c r="F4021" s="46" t="inlineStr">
        <is>
          <t>풍무동</t>
        </is>
      </c>
      <c r="G4021" s="50" t="inlineStr">
        <is>
          <t>무정전</t>
        </is>
      </c>
      <c r="H4021" s="51" t="n">
        <v>1181400</v>
      </c>
      <c r="I4021" s="46" t="n"/>
      <c r="K4021" s="46" t="n">
        <v>4020</v>
      </c>
      <c r="L4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2">
      <c r="A4022" s="229" t="n">
        <v>46316</v>
      </c>
      <c r="B4022" s="46" t="inlineStr">
        <is>
          <t>정기검사</t>
        </is>
      </c>
      <c r="C4022" s="46" t="inlineStr">
        <is>
          <t>부천지역</t>
        </is>
      </c>
      <c r="D4022" s="46" t="inlineStr">
        <is>
          <t>하이테크</t>
        </is>
      </c>
      <c r="E4022" s="46" t="n">
        <v>350</v>
      </c>
      <c r="F4022" s="46" t="inlineStr">
        <is>
          <t>내동</t>
        </is>
      </c>
      <c r="G4022" s="50" t="n">
        <v>0.5625</v>
      </c>
      <c r="H4022" s="51" t="n">
        <v>709830</v>
      </c>
      <c r="I4022" s="46" t="n"/>
      <c r="K4022" s="46" t="n">
        <v>4021</v>
      </c>
      <c r="L4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3">
      <c r="A4023" s="229" t="n">
        <v>46316</v>
      </c>
      <c r="B4023" s="46" t="inlineStr">
        <is>
          <t>정기검사</t>
        </is>
      </c>
      <c r="C4023" s="46" t="inlineStr">
        <is>
          <t>부천지역</t>
        </is>
      </c>
      <c r="D4023" s="46" t="inlineStr">
        <is>
          <t>드림이앤씨</t>
        </is>
      </c>
      <c r="E4023" s="46" t="n">
        <v>400</v>
      </c>
      <c r="F4023" s="46" t="inlineStr">
        <is>
          <t>상동</t>
        </is>
      </c>
      <c r="G4023" s="50" t="n">
        <v>0.3958333333333333</v>
      </c>
      <c r="H4023" s="51" t="n">
        <v>703120</v>
      </c>
      <c r="I4023" s="46" t="n"/>
      <c r="K4023" s="46" t="n">
        <v>4022</v>
      </c>
      <c r="L4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4">
      <c r="A4024" s="229" t="n">
        <v>46316</v>
      </c>
      <c r="B4024" s="46" t="inlineStr">
        <is>
          <t>정기검사</t>
        </is>
      </c>
      <c r="C4024" s="46" t="inlineStr">
        <is>
          <t>김포지역</t>
        </is>
      </c>
      <c r="D4024" s="46" t="inlineStr">
        <is>
          <t>통진레코파크</t>
        </is>
      </c>
      <c r="E4024" s="46" t="n">
        <v>3500</v>
      </c>
      <c r="F4024" s="46" t="inlineStr">
        <is>
          <t>수참리</t>
        </is>
      </c>
      <c r="G4024" s="50" t="n">
        <v>0.25</v>
      </c>
      <c r="H4024" s="51" t="n">
        <v>1709290</v>
      </c>
      <c r="I4024" s="46" t="n"/>
      <c r="K4024" s="46" t="n">
        <v>4023</v>
      </c>
      <c r="L4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5">
      <c r="A4025" s="229" t="n">
        <v>46316</v>
      </c>
      <c r="B4025" s="46" t="inlineStr">
        <is>
          <t>정기검사</t>
        </is>
      </c>
      <c r="C4025" s="46" t="inlineStr">
        <is>
          <t>김포지역</t>
        </is>
      </c>
      <c r="D4025" s="46" t="inlineStr">
        <is>
          <t>김포스포츠센타</t>
        </is>
      </c>
      <c r="E4025" s="46" t="inlineStr">
        <is>
          <t>350/180</t>
        </is>
      </c>
      <c r="F4025" s="46" t="inlineStr">
        <is>
          <t>감정동</t>
        </is>
      </c>
      <c r="G4025" s="50" t="n">
        <v>0.5625</v>
      </c>
      <c r="H4025" s="51" t="n">
        <v>876040</v>
      </c>
      <c r="I4025" s="46" t="n"/>
      <c r="K4025" s="46" t="n">
        <v>4024</v>
      </c>
      <c r="L4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6">
      <c r="A4026" s="229" t="n">
        <v>46316</v>
      </c>
      <c r="B4026" s="46" t="inlineStr">
        <is>
          <t>정기검사</t>
        </is>
      </c>
      <c r="C4026" s="46" t="inlineStr">
        <is>
          <t>김포지역</t>
        </is>
      </c>
      <c r="D4026" s="46" t="inlineStr">
        <is>
          <t>창조이엔지</t>
        </is>
      </c>
      <c r="E4026" s="46" t="n">
        <v>300</v>
      </c>
      <c r="F4026" s="46" t="inlineStr">
        <is>
          <t>학운리</t>
        </is>
      </c>
      <c r="G4026" s="50" t="n">
        <v>0.4791666666666667</v>
      </c>
      <c r="H4026" s="51" t="n">
        <v>521730</v>
      </c>
      <c r="I4026" s="46" t="n"/>
      <c r="K4026" s="46" t="n">
        <v>4025</v>
      </c>
      <c r="L4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7">
      <c r="A4027" s="229" t="n">
        <v>46316</v>
      </c>
      <c r="B4027" s="46" t="inlineStr">
        <is>
          <t>정기검사</t>
        </is>
      </c>
      <c r="C4027" s="46" t="inlineStr">
        <is>
          <t>김포지역</t>
        </is>
      </c>
      <c r="D4027" s="46" t="inlineStr">
        <is>
          <t>대양스틸산업</t>
        </is>
      </c>
      <c r="E4027" s="46" t="n">
        <v>200</v>
      </c>
      <c r="F4027" s="46" t="inlineStr">
        <is>
          <t>송마리</t>
        </is>
      </c>
      <c r="G4027" s="50" t="n">
        <v>0.4583333333333333</v>
      </c>
      <c r="H4027" s="51" t="n">
        <v>456720</v>
      </c>
      <c r="I4027" s="46" t="n"/>
      <c r="K4027" s="46" t="n">
        <v>4026</v>
      </c>
      <c r="L4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8">
      <c r="A4028" s="229" t="n">
        <v>46316</v>
      </c>
      <c r="B4028" s="46" t="inlineStr">
        <is>
          <t>정기검사</t>
        </is>
      </c>
      <c r="C4028" s="46" t="inlineStr">
        <is>
          <t>김포지역</t>
        </is>
      </c>
      <c r="D4028" s="46" t="inlineStr">
        <is>
          <t>제일사</t>
        </is>
      </c>
      <c r="E4028" s="46" t="n">
        <v>300</v>
      </c>
      <c r="F4028" s="46" t="inlineStr">
        <is>
          <t>북변동</t>
        </is>
      </c>
      <c r="G4028" s="50" t="n">
        <v>0.3958333333333333</v>
      </c>
      <c r="H4028" s="51" t="n">
        <v>521730</v>
      </c>
      <c r="I4028" s="46" t="n"/>
      <c r="K4028" s="46" t="n">
        <v>4027</v>
      </c>
      <c r="L4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9">
      <c r="A4029" s="229" t="n">
        <v>46316</v>
      </c>
      <c r="B4029" s="46" t="inlineStr">
        <is>
          <t>메모</t>
        </is>
      </c>
      <c r="C4029" s="46" t="inlineStr">
        <is>
          <t>부천지역</t>
        </is>
      </c>
      <c r="D4029" s="46" t="inlineStr">
        <is>
          <t>변종국교육</t>
        </is>
      </c>
      <c r="E4029" s="46" t="n"/>
      <c r="F4029" s="46" t="n"/>
      <c r="G4029" s="50" t="n"/>
      <c r="H4029" s="51" t="n"/>
      <c r="I4029" s="46" t="n"/>
      <c r="K4029" s="46" t="n">
        <v>4028</v>
      </c>
      <c r="L4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0">
      <c r="A4030" s="229" t="n">
        <v>46316</v>
      </c>
      <c r="B4030" s="46" t="inlineStr">
        <is>
          <t>사용전검사</t>
        </is>
      </c>
      <c r="C4030" s="46" t="inlineStr">
        <is>
          <t>김포지역</t>
        </is>
      </c>
      <c r="D4030" s="46" t="inlineStr">
        <is>
          <t>형제화학발전소</t>
        </is>
      </c>
      <c r="E4030" s="46" t="n">
        <v>43</v>
      </c>
      <c r="F4030" s="46" t="inlineStr">
        <is>
          <t>귀전리</t>
        </is>
      </c>
      <c r="G4030" s="50" t="n"/>
      <c r="H4030" s="51" t="n"/>
      <c r="I4030" s="46" t="n"/>
      <c r="K4030" s="46" t="n">
        <v>4029</v>
      </c>
      <c r="L4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1">
      <c r="A4031" s="229" t="n">
        <v>46316</v>
      </c>
      <c r="B4031" s="46" t="inlineStr">
        <is>
          <t>사용전검사</t>
        </is>
      </c>
      <c r="C4031" s="46" t="inlineStr">
        <is>
          <t>김포지역</t>
        </is>
      </c>
      <c r="D4031" s="46" t="inlineStr">
        <is>
          <t>캐스코드</t>
        </is>
      </c>
      <c r="E4031" s="46" t="n">
        <v>874</v>
      </c>
      <c r="F4031" s="46" t="inlineStr">
        <is>
          <t>갈산리</t>
        </is>
      </c>
      <c r="G4031" s="50" t="n"/>
      <c r="H4031" s="51" t="n"/>
      <c r="I4031" s="46" t="n"/>
      <c r="K4031" s="46" t="n">
        <v>4030</v>
      </c>
      <c r="L4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2">
      <c r="A4032" s="229" t="n">
        <v>46317</v>
      </c>
      <c r="B4032" s="46" t="inlineStr">
        <is>
          <t>정기검사</t>
        </is>
      </c>
      <c r="C4032" s="46" t="inlineStr">
        <is>
          <t>부천지역</t>
        </is>
      </c>
      <c r="D4032" s="46" t="inlineStr">
        <is>
          <t>센트럴프라움</t>
        </is>
      </c>
      <c r="E4032" s="46" t="inlineStr">
        <is>
          <t>전기차</t>
        </is>
      </c>
      <c r="F4032" s="46" t="inlineStr">
        <is>
          <t>중동</t>
        </is>
      </c>
      <c r="G4032" s="50" t="n">
        <v>0.4166666666666667</v>
      </c>
      <c r="H4032" s="51" t="n">
        <v>72710</v>
      </c>
      <c r="I4032" s="46" t="n"/>
      <c r="K4032" s="46" t="n">
        <v>4031</v>
      </c>
      <c r="L4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3">
      <c r="A4033" s="229" t="n">
        <v>46317</v>
      </c>
      <c r="B4033" s="46" t="inlineStr">
        <is>
          <t>정기검사</t>
        </is>
      </c>
      <c r="C4033" s="46" t="inlineStr">
        <is>
          <t>부천지역</t>
        </is>
      </c>
      <c r="D4033" s="46" t="inlineStr">
        <is>
          <t>염광파파트</t>
        </is>
      </c>
      <c r="E4033" s="46" t="inlineStr">
        <is>
          <t>650/145</t>
        </is>
      </c>
      <c r="F4033" s="46" t="inlineStr">
        <is>
          <t>괴안동</t>
        </is>
      </c>
      <c r="G4033" s="50" t="n">
        <v>0.4166666666666667</v>
      </c>
      <c r="H4033" s="51" t="n">
        <v>967340</v>
      </c>
      <c r="I4033" s="46" t="n"/>
      <c r="K4033" s="46" t="n">
        <v>4032</v>
      </c>
      <c r="L4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4">
      <c r="A4034" s="229" t="n">
        <v>46317</v>
      </c>
      <c r="B4034" s="46" t="inlineStr">
        <is>
          <t>정기검사</t>
        </is>
      </c>
      <c r="C4034" s="46" t="inlineStr">
        <is>
          <t>부천지역</t>
        </is>
      </c>
      <c r="D4034" s="46" t="inlineStr">
        <is>
          <t>금호엔지니어링</t>
        </is>
      </c>
      <c r="E4034" s="46" t="n">
        <v>450</v>
      </c>
      <c r="F4034" s="46" t="inlineStr">
        <is>
          <t>내동</t>
        </is>
      </c>
      <c r="G4034" s="50" t="n">
        <v>0.5208333333333334</v>
      </c>
      <c r="H4034" s="51" t="n">
        <v>720060</v>
      </c>
      <c r="I4034" s="46" t="n"/>
      <c r="K4034" s="46" t="n">
        <v>4033</v>
      </c>
      <c r="L4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5">
      <c r="A4035" s="229" t="n">
        <v>46317</v>
      </c>
      <c r="B4035" s="46" t="inlineStr">
        <is>
          <t>정기검사</t>
        </is>
      </c>
      <c r="C4035" s="46" t="inlineStr">
        <is>
          <t>부천지역</t>
        </is>
      </c>
      <c r="D4035" s="46" t="inlineStr">
        <is>
          <t>그림홈프라자</t>
        </is>
      </c>
      <c r="E4035" s="46" t="inlineStr">
        <is>
          <t>500/105</t>
        </is>
      </c>
      <c r="F4035" s="46" t="inlineStr">
        <is>
          <t>괴안동</t>
        </is>
      </c>
      <c r="G4035" s="50" t="n">
        <v>0.2708333333333333</v>
      </c>
      <c r="H4035" s="51" t="n">
        <v>1176010</v>
      </c>
      <c r="I4035" s="46" t="n"/>
      <c r="K4035" s="46" t="n">
        <v>4034</v>
      </c>
      <c r="L4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6">
      <c r="A4036" s="229" t="n">
        <v>46317</v>
      </c>
      <c r="B4036" s="46" t="inlineStr">
        <is>
          <t>정기검사</t>
        </is>
      </c>
      <c r="C4036" s="46" t="inlineStr">
        <is>
          <t>부천지역</t>
        </is>
      </c>
      <c r="D4036" s="46" t="inlineStr">
        <is>
          <t>센트럴프라움</t>
        </is>
      </c>
      <c r="E4036" s="46" t="inlineStr">
        <is>
          <t>1900/454</t>
        </is>
      </c>
      <c r="F4036" s="46" t="inlineStr">
        <is>
          <t>중동</t>
        </is>
      </c>
      <c r="G4036" s="50" t="n">
        <v>0.4166666666666667</v>
      </c>
      <c r="H4036" s="51" t="n">
        <v>1285350</v>
      </c>
      <c r="I4036" s="46" t="n"/>
      <c r="K4036" s="46" t="n">
        <v>4035</v>
      </c>
      <c r="L4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7">
      <c r="A4037" s="229" t="n">
        <v>46317</v>
      </c>
      <c r="B4037" s="46" t="inlineStr">
        <is>
          <t>정기검사</t>
        </is>
      </c>
      <c r="C4037" s="46" t="inlineStr">
        <is>
          <t>부천지역</t>
        </is>
      </c>
      <c r="D4037" s="46" t="inlineStr">
        <is>
          <t>삼정</t>
        </is>
      </c>
      <c r="E4037" s="46" t="n">
        <v>300</v>
      </c>
      <c r="F4037" s="46" t="inlineStr">
        <is>
          <t>송내동</t>
        </is>
      </c>
      <c r="G4037" s="50" t="n">
        <v>0.5833333333333334</v>
      </c>
      <c r="H4037" s="51" t="n">
        <v>521730</v>
      </c>
      <c r="I4037" s="46" t="n"/>
      <c r="K4037" s="46" t="n">
        <v>4036</v>
      </c>
      <c r="L4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8">
      <c r="A4038" s="229" t="n">
        <v>46317</v>
      </c>
      <c r="B4038" s="46" t="inlineStr">
        <is>
          <t>정기검사</t>
        </is>
      </c>
      <c r="C4038" s="46" t="inlineStr">
        <is>
          <t>김포지역</t>
        </is>
      </c>
      <c r="D4038" s="46" t="inlineStr">
        <is>
          <t>삼흥알텍</t>
        </is>
      </c>
      <c r="E4038" s="46" t="n">
        <v>290</v>
      </c>
      <c r="F4038" s="46" t="inlineStr">
        <is>
          <t>석탄리</t>
        </is>
      </c>
      <c r="G4038" s="50" t="n">
        <v>0.4791666666666667</v>
      </c>
      <c r="H4038" s="51" t="n">
        <v>515130</v>
      </c>
      <c r="I4038" s="46" t="n"/>
      <c r="K4038" s="46" t="n">
        <v>4037</v>
      </c>
      <c r="L4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9">
      <c r="A4039" s="229" t="n">
        <v>46317</v>
      </c>
      <c r="B4039" s="46" t="inlineStr">
        <is>
          <t>정기검사</t>
        </is>
      </c>
      <c r="C4039" s="46" t="inlineStr">
        <is>
          <t>김포지역</t>
        </is>
      </c>
      <c r="D4039" s="46" t="inlineStr">
        <is>
          <t>유민철강</t>
        </is>
      </c>
      <c r="E4039" s="46" t="n">
        <v>197</v>
      </c>
      <c r="F4039" s="46" t="inlineStr">
        <is>
          <t>학운리</t>
        </is>
      </c>
      <c r="G4039" s="50" t="n">
        <v>0.4791666666666667</v>
      </c>
      <c r="H4039" s="51" t="n">
        <v>357280</v>
      </c>
      <c r="I4039" s="46" t="n"/>
      <c r="K4039" s="46" t="n">
        <v>4038</v>
      </c>
      <c r="L4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0">
      <c r="A4040" s="229" t="n">
        <v>46317</v>
      </c>
      <c r="B4040" s="46" t="inlineStr">
        <is>
          <t>정기검사</t>
        </is>
      </c>
      <c r="C4040" s="46" t="inlineStr">
        <is>
          <t>김포지역</t>
        </is>
      </c>
      <c r="D4040" s="46" t="inlineStr">
        <is>
          <t>센트럴프라자2</t>
        </is>
      </c>
      <c r="E4040" s="46" t="inlineStr">
        <is>
          <t>전기차</t>
        </is>
      </c>
      <c r="F4040" s="46" t="inlineStr">
        <is>
          <t>구래동</t>
        </is>
      </c>
      <c r="G4040" s="50" t="n">
        <v>0.4375</v>
      </c>
      <c r="H4040" s="51" t="n">
        <v>64240</v>
      </c>
      <c r="I4040" s="46" t="n"/>
      <c r="J4040" t="inlineStr">
        <is>
          <t>실시</t>
        </is>
      </c>
      <c r="K4040" s="46" t="n">
        <v>4039</v>
      </c>
      <c r="L4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1">
      <c r="A4041" s="229" t="n">
        <v>46317</v>
      </c>
      <c r="B4041" s="46" t="inlineStr">
        <is>
          <t>정기검사</t>
        </is>
      </c>
      <c r="C4041" s="46" t="inlineStr">
        <is>
          <t>김포지역</t>
        </is>
      </c>
      <c r="D4041" s="46" t="inlineStr">
        <is>
          <t>메트로 프라임</t>
        </is>
      </c>
      <c r="E4041" s="46" t="inlineStr">
        <is>
          <t>700/273</t>
        </is>
      </c>
      <c r="F4041" s="46" t="inlineStr">
        <is>
          <t>풍무동</t>
        </is>
      </c>
      <c r="G4041" s="50" t="n">
        <v>0.4375</v>
      </c>
      <c r="H4041" s="51" t="n">
        <v>1022120</v>
      </c>
      <c r="I4041" s="46" t="n"/>
      <c r="K4041" s="46" t="n">
        <v>4040</v>
      </c>
      <c r="L4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2">
      <c r="A4042" s="229" t="n">
        <v>46317</v>
      </c>
      <c r="B4042" s="46" t="inlineStr">
        <is>
          <t>메모</t>
        </is>
      </c>
      <c r="C4042" s="46" t="inlineStr">
        <is>
          <t>부천지역</t>
        </is>
      </c>
      <c r="D4042" s="46" t="inlineStr">
        <is>
          <t>변종국교육</t>
        </is>
      </c>
      <c r="E4042" s="46" t="n"/>
      <c r="F4042" s="46" t="n"/>
      <c r="G4042" s="50" t="n"/>
      <c r="H4042" s="51" t="n"/>
      <c r="I4042" s="46" t="n"/>
      <c r="K4042" s="46" t="n">
        <v>4041</v>
      </c>
      <c r="L4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3">
      <c r="A4043" s="229" t="n">
        <v>46317</v>
      </c>
      <c r="B4043" s="46" t="inlineStr">
        <is>
          <t>사용전검사</t>
        </is>
      </c>
      <c r="C4043" s="46" t="inlineStr">
        <is>
          <t>김포지역</t>
        </is>
      </c>
      <c r="D4043" s="46" t="inlineStr">
        <is>
          <t>모헷발전소</t>
        </is>
      </c>
      <c r="E4043" s="46" t="n"/>
      <c r="F4043" s="46" t="inlineStr">
        <is>
          <t>대명리</t>
        </is>
      </c>
      <c r="G4043" s="50" t="n"/>
      <c r="H4043" s="51" t="n"/>
      <c r="I4043" s="46" t="n"/>
      <c r="K4043" s="46" t="n">
        <v>4042</v>
      </c>
      <c r="L4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4">
      <c r="A4044" s="229" t="n">
        <v>46317</v>
      </c>
      <c r="B4044" s="46" t="inlineStr">
        <is>
          <t>사용전검사</t>
        </is>
      </c>
      <c r="C4044" s="46" t="inlineStr">
        <is>
          <t>김포지역</t>
        </is>
      </c>
      <c r="D4044" s="46" t="inlineStr">
        <is>
          <t>현대</t>
        </is>
      </c>
      <c r="E4044" s="46" t="n">
        <v>219</v>
      </c>
      <c r="F4044" s="46" t="inlineStr">
        <is>
          <t>귀전리</t>
        </is>
      </c>
      <c r="G4044" s="50" t="n"/>
      <c r="H4044" s="51" t="n"/>
      <c r="I4044" s="46" t="n"/>
      <c r="K4044" s="46" t="n">
        <v>4043</v>
      </c>
      <c r="L4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5">
      <c r="A4045" s="229" t="n">
        <v>46318</v>
      </c>
      <c r="B4045" s="46" t="inlineStr">
        <is>
          <t>정기검사</t>
        </is>
      </c>
      <c r="C4045" s="46" t="inlineStr">
        <is>
          <t>부천지역</t>
        </is>
      </c>
      <c r="D4045" s="46" t="inlineStr">
        <is>
          <t>덕신비닐공업</t>
        </is>
      </c>
      <c r="E4045" s="46" t="n">
        <v>250</v>
      </c>
      <c r="F4045" s="46" t="inlineStr">
        <is>
          <t>삼정동</t>
        </is>
      </c>
      <c r="G4045" s="50" t="n">
        <v>0.4791666666666667</v>
      </c>
      <c r="H4045" s="51" t="n">
        <v>489170</v>
      </c>
      <c r="I4045" s="46" t="n"/>
      <c r="K4045" s="46" t="n">
        <v>4044</v>
      </c>
      <c r="L4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6">
      <c r="A4046" s="229" t="n">
        <v>46318</v>
      </c>
      <c r="B4046" s="46" t="inlineStr">
        <is>
          <t>정기검사</t>
        </is>
      </c>
      <c r="C4046" s="46" t="inlineStr">
        <is>
          <t>부천지역</t>
        </is>
      </c>
      <c r="D4046" s="46" t="inlineStr">
        <is>
          <t>보성공업사</t>
        </is>
      </c>
      <c r="E4046" s="46" t="n">
        <v>250</v>
      </c>
      <c r="F4046" s="46" t="inlineStr">
        <is>
          <t>삼정동</t>
        </is>
      </c>
      <c r="G4046" s="50" t="n">
        <v>0.5625</v>
      </c>
      <c r="H4046" s="51" t="n">
        <v>489170</v>
      </c>
      <c r="I4046" s="46" t="n"/>
      <c r="K4046" s="46" t="n">
        <v>4045</v>
      </c>
      <c r="L4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7">
      <c r="A4047" s="229" t="n">
        <v>46318</v>
      </c>
      <c r="B4047" s="46" t="inlineStr">
        <is>
          <t>정기검사</t>
        </is>
      </c>
      <c r="C4047" s="46" t="inlineStr">
        <is>
          <t>부천지역</t>
        </is>
      </c>
      <c r="D4047" s="46" t="inlineStr">
        <is>
          <t>대하종합식품</t>
        </is>
      </c>
      <c r="E4047" s="46" t="n">
        <v>900</v>
      </c>
      <c r="F4047" s="46" t="inlineStr">
        <is>
          <t>오정동</t>
        </is>
      </c>
      <c r="G4047" s="50" t="n">
        <v>0.6041666666666666</v>
      </c>
      <c r="H4047" s="51" t="n">
        <v>872520</v>
      </c>
      <c r="I4047" s="46" t="n"/>
      <c r="K4047" s="46" t="n">
        <v>4046</v>
      </c>
      <c r="L4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8">
      <c r="A4048" s="229" t="n">
        <v>46318</v>
      </c>
      <c r="B4048" s="46" t="inlineStr">
        <is>
          <t>정기검사</t>
        </is>
      </c>
      <c r="C4048" s="46" t="inlineStr">
        <is>
          <t>부천지역</t>
        </is>
      </c>
      <c r="D4048" s="46" t="inlineStr">
        <is>
          <t>심곡1주민</t>
        </is>
      </c>
      <c r="E4048" s="46" t="inlineStr">
        <is>
          <t>전기차</t>
        </is>
      </c>
      <c r="F4048" s="46" t="inlineStr">
        <is>
          <t>심곡동</t>
        </is>
      </c>
      <c r="G4048" s="50" t="n">
        <v>0.4166666666666667</v>
      </c>
      <c r="H4048" s="51" t="n">
        <v>55770</v>
      </c>
      <c r="I4048" s="46" t="n"/>
      <c r="K4048" s="46" t="n">
        <v>4047</v>
      </c>
      <c r="L4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9">
      <c r="A4049" s="229" t="n">
        <v>46318</v>
      </c>
      <c r="B4049" s="46" t="inlineStr">
        <is>
          <t>정기검사</t>
        </is>
      </c>
      <c r="C4049" s="46" t="inlineStr">
        <is>
          <t>부천지역</t>
        </is>
      </c>
      <c r="D4049" s="46" t="inlineStr">
        <is>
          <t>상일중</t>
        </is>
      </c>
      <c r="E4049" s="46" t="n">
        <v>750</v>
      </c>
      <c r="F4049" s="46" t="inlineStr">
        <is>
          <t>상동</t>
        </is>
      </c>
      <c r="G4049" s="50" t="n">
        <v>0.6388888888888888</v>
      </c>
      <c r="H4049" s="51" t="n">
        <v>821700</v>
      </c>
      <c r="I4049" s="46" t="n"/>
      <c r="K4049" s="46" t="n">
        <v>4048</v>
      </c>
      <c r="L4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0">
      <c r="A4050" s="229" t="n">
        <v>46318</v>
      </c>
      <c r="B4050" s="46" t="inlineStr">
        <is>
          <t>정기검사</t>
        </is>
      </c>
      <c r="C4050" s="46" t="inlineStr">
        <is>
          <t>부천지역</t>
        </is>
      </c>
      <c r="D4050" s="46" t="inlineStr">
        <is>
          <t>로써앙</t>
        </is>
      </c>
      <c r="E4050" s="46" t="n">
        <v>300</v>
      </c>
      <c r="F4050" s="46" t="inlineStr">
        <is>
          <t>오정동</t>
        </is>
      </c>
      <c r="G4050" s="50" t="n">
        <v>0.3958333333333333</v>
      </c>
      <c r="H4050" s="51" t="n">
        <v>521730</v>
      </c>
      <c r="I4050" s="46" t="n"/>
      <c r="K4050" s="46" t="n">
        <v>4049</v>
      </c>
      <c r="L4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1">
      <c r="A4051" s="229" t="n">
        <v>46318</v>
      </c>
      <c r="B4051" s="46" t="inlineStr">
        <is>
          <t>정기검사</t>
        </is>
      </c>
      <c r="C4051" s="46" t="inlineStr">
        <is>
          <t>김포지역</t>
        </is>
      </c>
      <c r="D4051" s="46" t="inlineStr">
        <is>
          <t>유린전자</t>
        </is>
      </c>
      <c r="E4051" s="46" t="n">
        <v>290</v>
      </c>
      <c r="F4051" s="46" t="inlineStr">
        <is>
          <t>귀전리</t>
        </is>
      </c>
      <c r="G4051" s="50" t="n">
        <v>0.5</v>
      </c>
      <c r="H4051" s="51" t="n">
        <v>515130</v>
      </c>
      <c r="I4051" s="46" t="n"/>
      <c r="K4051" s="46" t="n">
        <v>4050</v>
      </c>
      <c r="L4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2">
      <c r="A4052" s="229" t="n">
        <v>46318</v>
      </c>
      <c r="B4052" s="46" t="inlineStr">
        <is>
          <t>정기검사</t>
        </is>
      </c>
      <c r="C4052" s="46" t="inlineStr">
        <is>
          <t>김포지역</t>
        </is>
      </c>
      <c r="D4052" s="46" t="inlineStr">
        <is>
          <t>대신화학</t>
        </is>
      </c>
      <c r="E4052" s="46" t="n">
        <v>500</v>
      </c>
      <c r="F4052" s="46" t="inlineStr">
        <is>
          <t>원산리</t>
        </is>
      </c>
      <c r="G4052" s="50" t="n">
        <v>0.5208333333333334</v>
      </c>
      <c r="H4052" s="51" t="n">
        <v>737000</v>
      </c>
      <c r="I4052" s="46" t="n"/>
      <c r="K4052" s="46" t="n">
        <v>4051</v>
      </c>
      <c r="L4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3">
      <c r="A4053" s="229" t="n">
        <v>46318</v>
      </c>
      <c r="B4053" s="46" t="inlineStr">
        <is>
          <t>정기검사</t>
        </is>
      </c>
      <c r="C4053" s="46" t="inlineStr">
        <is>
          <t>김포지역</t>
        </is>
      </c>
      <c r="D4053" s="46" t="inlineStr">
        <is>
          <t>미래전자</t>
        </is>
      </c>
      <c r="E4053" s="46" t="n">
        <v>800</v>
      </c>
      <c r="F4053" s="46" t="inlineStr">
        <is>
          <t>고양리</t>
        </is>
      </c>
      <c r="G4053" s="50" t="n">
        <v>0.5625</v>
      </c>
      <c r="H4053" s="51" t="n">
        <v>838640</v>
      </c>
      <c r="I4053" s="46" t="n"/>
      <c r="K4053" s="46" t="n">
        <v>4052</v>
      </c>
      <c r="L4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4">
      <c r="A4054" s="229" t="n">
        <v>46318</v>
      </c>
      <c r="B4054" s="46" t="inlineStr">
        <is>
          <t>정기검사</t>
        </is>
      </c>
      <c r="C4054" s="46" t="inlineStr">
        <is>
          <t>김포지역</t>
        </is>
      </c>
      <c r="D4054" s="46" t="inlineStr">
        <is>
          <t>김포제조융합혁신</t>
        </is>
      </c>
      <c r="E4054" s="46" t="inlineStr">
        <is>
          <t>950/227</t>
        </is>
      </c>
      <c r="F4054" s="46" t="inlineStr">
        <is>
          <t>학운리</t>
        </is>
      </c>
      <c r="G4054" s="50" t="n">
        <v>0.5833333333333334</v>
      </c>
      <c r="H4054" s="51" t="n">
        <v>1093180</v>
      </c>
      <c r="I4054" s="46" t="n"/>
      <c r="K4054" s="46" t="n">
        <v>4053</v>
      </c>
      <c r="L4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5">
      <c r="A4055" s="229" t="n">
        <v>46318</v>
      </c>
      <c r="B4055" s="46" t="inlineStr">
        <is>
          <t>정기검사</t>
        </is>
      </c>
      <c r="C4055" s="46" t="inlineStr">
        <is>
          <t>김포지역</t>
        </is>
      </c>
      <c r="D4055" s="46" t="inlineStr">
        <is>
          <t>북변산호아파트</t>
        </is>
      </c>
      <c r="E4055" s="46" t="n">
        <v>360</v>
      </c>
      <c r="F4055" s="46" t="inlineStr">
        <is>
          <t>북변동</t>
        </is>
      </c>
      <c r="G4055" s="50" t="n">
        <v>0.5416666666666666</v>
      </c>
      <c r="H4055" s="51" t="n">
        <v>227150</v>
      </c>
      <c r="I4055" s="46" t="n"/>
      <c r="K4055" s="46" t="n">
        <v>4054</v>
      </c>
      <c r="L4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6">
      <c r="A4056" s="229" t="n">
        <v>46318</v>
      </c>
      <c r="B4056" s="46" t="inlineStr">
        <is>
          <t>정기검사</t>
        </is>
      </c>
      <c r="C4056" s="46" t="inlineStr">
        <is>
          <t>김포지역</t>
        </is>
      </c>
      <c r="D4056" s="46" t="inlineStr">
        <is>
          <t>김포크리스탈</t>
        </is>
      </c>
      <c r="E4056" s="46" t="n">
        <v>800</v>
      </c>
      <c r="F4056" s="46" t="inlineStr">
        <is>
          <t>송마리</t>
        </is>
      </c>
      <c r="G4056" s="50" t="n">
        <v>0.4791666666666667</v>
      </c>
      <c r="H4056" s="51" t="n">
        <v>838640</v>
      </c>
      <c r="I4056" s="46" t="n"/>
      <c r="K4056" s="46" t="n">
        <v>4055</v>
      </c>
      <c r="L4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7">
      <c r="A4057" s="229" t="n">
        <v>46318</v>
      </c>
      <c r="B4057" s="46" t="inlineStr">
        <is>
          <t>정기검사</t>
        </is>
      </c>
      <c r="C4057" s="46" t="inlineStr">
        <is>
          <t>김포지역</t>
        </is>
      </c>
      <c r="D4057" s="46" t="inlineStr">
        <is>
          <t>대광단조</t>
        </is>
      </c>
      <c r="E4057" s="46" t="n">
        <v>290</v>
      </c>
      <c r="F4057" s="46" t="inlineStr">
        <is>
          <t>학운리</t>
        </is>
      </c>
      <c r="G4057" s="50" t="n">
        <v>0.4166666666666667</v>
      </c>
      <c r="H4057" s="51" t="n">
        <v>515130</v>
      </c>
      <c r="I4057" s="46" t="n"/>
      <c r="K4057" s="46" t="n">
        <v>4056</v>
      </c>
      <c r="L4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8">
      <c r="A4058" s="229" t="n">
        <v>46318</v>
      </c>
      <c r="B4058" s="46" t="inlineStr">
        <is>
          <t>메모</t>
        </is>
      </c>
      <c r="C4058" s="46" t="inlineStr">
        <is>
          <t>부천지역</t>
        </is>
      </c>
      <c r="D4058" s="46" t="inlineStr">
        <is>
          <t>변종국교육</t>
        </is>
      </c>
      <c r="E4058" s="46" t="n"/>
      <c r="F4058" s="46" t="n"/>
      <c r="G4058" s="50" t="n"/>
      <c r="H4058" s="51" t="n"/>
      <c r="I4058" s="46" t="n"/>
      <c r="K4058" s="46" t="n">
        <v>4057</v>
      </c>
      <c r="L4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9">
      <c r="A4059" s="229" t="n">
        <v>46318</v>
      </c>
      <c r="B4059" s="46" t="inlineStr">
        <is>
          <t>사용전검사</t>
        </is>
      </c>
      <c r="C4059" s="46" t="inlineStr">
        <is>
          <t>김포지역</t>
        </is>
      </c>
      <c r="D4059" s="46" t="inlineStr">
        <is>
          <t>산호아파트</t>
        </is>
      </c>
      <c r="E4059" s="46" t="inlineStr">
        <is>
          <t>1850/</t>
        </is>
      </c>
      <c r="F4059" s="46" t="inlineStr">
        <is>
          <t>북변동</t>
        </is>
      </c>
      <c r="G4059" s="50" t="n"/>
      <c r="H4059" s="51" t="n"/>
      <c r="I4059" s="46" t="n"/>
      <c r="K4059" s="46" t="n">
        <v>4058</v>
      </c>
      <c r="L4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0">
      <c r="A4060" s="229" t="n">
        <v>46319</v>
      </c>
      <c r="B4060" s="46" t="inlineStr">
        <is>
          <t>정기검사</t>
        </is>
      </c>
      <c r="C4060" s="46" t="inlineStr">
        <is>
          <t>부천지역</t>
        </is>
      </c>
      <c r="D4060" s="46" t="inlineStr">
        <is>
          <t>화신오피스텔</t>
        </is>
      </c>
      <c r="E4060" s="46" t="inlineStr">
        <is>
          <t>950/400</t>
        </is>
      </c>
      <c r="F4060" s="46" t="inlineStr">
        <is>
          <t>중동</t>
        </is>
      </c>
      <c r="G4060" s="50" t="n">
        <v>0.625</v>
      </c>
      <c r="H4060" s="51" t="n">
        <v>1462670</v>
      </c>
      <c r="I4060" s="46" t="n"/>
      <c r="K4060" s="46" t="n">
        <v>4059</v>
      </c>
      <c r="L4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1">
      <c r="A4061" s="229" t="n">
        <v>46319</v>
      </c>
      <c r="B4061" s="46" t="inlineStr">
        <is>
          <t>정기검사</t>
        </is>
      </c>
      <c r="C4061" s="46" t="inlineStr">
        <is>
          <t>부천지역</t>
        </is>
      </c>
      <c r="D4061" s="46" t="inlineStr">
        <is>
          <t>부천세무서</t>
        </is>
      </c>
      <c r="E4061" s="46" t="inlineStr">
        <is>
          <t>500/145</t>
        </is>
      </c>
      <c r="F4061" s="46" t="inlineStr">
        <is>
          <t>중동</t>
        </is>
      </c>
      <c r="G4061" s="50" t="n">
        <v>0.3958333333333333</v>
      </c>
      <c r="H4061" s="51" t="n">
        <v>1191410</v>
      </c>
      <c r="I4061" s="46" t="n"/>
      <c r="K4061" s="46" t="n">
        <v>4060</v>
      </c>
      <c r="L4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2">
      <c r="A4062" s="229" t="n">
        <v>46319</v>
      </c>
      <c r="B4062" s="46" t="inlineStr">
        <is>
          <t>정기검사</t>
        </is>
      </c>
      <c r="C4062" s="46" t="inlineStr">
        <is>
          <t>부천지역</t>
        </is>
      </c>
      <c r="D4062" s="46" t="inlineStr">
        <is>
          <t>황금프라자</t>
        </is>
      </c>
      <c r="E4062" s="46" t="inlineStr">
        <is>
          <t>550/104</t>
        </is>
      </c>
      <c r="F4062" s="46" t="inlineStr">
        <is>
          <t>중동</t>
        </is>
      </c>
      <c r="G4062" s="50" t="n">
        <v>0.3958333333333333</v>
      </c>
      <c r="H4062" s="51" t="n">
        <v>921250</v>
      </c>
      <c r="I4062" s="46" t="n"/>
      <c r="K4062" s="46" t="n">
        <v>4061</v>
      </c>
      <c r="L4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3">
      <c r="A4063" s="229" t="n">
        <v>46319</v>
      </c>
      <c r="B4063" s="46" t="inlineStr">
        <is>
          <t>메모</t>
        </is>
      </c>
      <c r="C4063" s="46" t="inlineStr">
        <is>
          <t>부천지역</t>
        </is>
      </c>
      <c r="D4063" s="46" t="inlineStr">
        <is>
          <t>변종국휴가</t>
        </is>
      </c>
      <c r="E4063" s="46" t="n"/>
      <c r="F4063" s="46" t="n"/>
      <c r="G4063" s="50" t="n"/>
      <c r="H4063" s="51" t="n"/>
      <c r="I4063" s="46" t="n"/>
      <c r="K4063" s="46" t="n">
        <v>4062</v>
      </c>
      <c r="L4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4">
      <c r="A4064" s="229" t="n">
        <v>46319</v>
      </c>
      <c r="B4064" s="46" t="inlineStr">
        <is>
          <t>메모</t>
        </is>
      </c>
      <c r="C4064" s="46" t="inlineStr">
        <is>
          <t>부천지역</t>
        </is>
      </c>
      <c r="D4064" s="46" t="inlineStr">
        <is>
          <t>옹승완휴가</t>
        </is>
      </c>
      <c r="E4064" s="46" t="n"/>
      <c r="F4064" s="46" t="n"/>
      <c r="G4064" s="50" t="n"/>
      <c r="H4064" s="51" t="n"/>
      <c r="I4064" s="46" t="n"/>
      <c r="K4064" s="46" t="n">
        <v>4063</v>
      </c>
      <c r="L4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5">
      <c r="A4065" s="229" t="n">
        <v>46319</v>
      </c>
      <c r="B4065" s="46" t="inlineStr">
        <is>
          <t>메모</t>
        </is>
      </c>
      <c r="C4065" s="46" t="inlineStr">
        <is>
          <t>부천지역</t>
        </is>
      </c>
      <c r="D4065" s="46" t="inlineStr">
        <is>
          <t>허창수휴가</t>
        </is>
      </c>
      <c r="E4065" s="46" t="n"/>
      <c r="F4065" s="46" t="n"/>
      <c r="G4065" s="50" t="n"/>
      <c r="H4065" s="51" t="n"/>
      <c r="I4065" s="46" t="n"/>
      <c r="K4065" s="46" t="n">
        <v>4064</v>
      </c>
      <c r="L4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6">
      <c r="A4066" s="229" t="n">
        <v>46320</v>
      </c>
      <c r="B4066" s="46" t="inlineStr">
        <is>
          <t>정기검사</t>
        </is>
      </c>
      <c r="C4066" s="46" t="inlineStr">
        <is>
          <t>부천지역</t>
        </is>
      </c>
      <c r="D4066" s="46" t="inlineStr">
        <is>
          <t>금광베네스타</t>
        </is>
      </c>
      <c r="E4066" s="46" t="inlineStr">
        <is>
          <t>2200/700</t>
        </is>
      </c>
      <c r="F4066" s="46" t="inlineStr">
        <is>
          <t>중동</t>
        </is>
      </c>
      <c r="G4066" s="50" t="n">
        <v>0.4166666666666667</v>
      </c>
      <c r="H4066" s="51" t="n">
        <v>1802460</v>
      </c>
      <c r="I4066" s="46" t="n"/>
      <c r="K4066" s="46" t="n">
        <v>4065</v>
      </c>
      <c r="L4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7">
      <c r="A4067" s="229" t="n">
        <v>46320</v>
      </c>
      <c r="B4067" s="46" t="inlineStr">
        <is>
          <t>정기검사</t>
        </is>
      </c>
      <c r="C4067" s="46" t="inlineStr">
        <is>
          <t>부천지역</t>
        </is>
      </c>
      <c r="D4067" s="46" t="inlineStr">
        <is>
          <t>부편집중국</t>
        </is>
      </c>
      <c r="E4067" s="46" t="inlineStr">
        <is>
          <t>2000/750</t>
        </is>
      </c>
      <c r="F4067" s="46" t="inlineStr">
        <is>
          <t>오정동</t>
        </is>
      </c>
      <c r="G4067" s="50" t="n">
        <v>0.3958333333333333</v>
      </c>
      <c r="H4067" s="51" t="n">
        <v>1776610</v>
      </c>
      <c r="I4067" s="46" t="n"/>
      <c r="K4067" s="46" t="n">
        <v>4066</v>
      </c>
      <c r="L4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8">
      <c r="A4068" s="229" t="n">
        <v>46320</v>
      </c>
      <c r="B4068" s="46" t="inlineStr">
        <is>
          <t>정기검사</t>
        </is>
      </c>
      <c r="C4068" s="46" t="inlineStr">
        <is>
          <t>부천지역</t>
        </is>
      </c>
      <c r="D4068" s="46" t="inlineStr">
        <is>
          <t>원남빌딩</t>
        </is>
      </c>
      <c r="E4068" s="46" t="n">
        <v>250</v>
      </c>
      <c r="F4068" s="46" t="inlineStr">
        <is>
          <t>중동</t>
        </is>
      </c>
      <c r="G4068" s="50" t="n">
        <v>0.3958333333333333</v>
      </c>
      <c r="H4068" s="51" t="n">
        <v>635910</v>
      </c>
      <c r="I4068" s="46" t="n"/>
      <c r="K4068" s="46" t="n">
        <v>4067</v>
      </c>
      <c r="L4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9">
      <c r="A4069" s="229" t="n">
        <v>46320</v>
      </c>
      <c r="B4069" s="46" t="inlineStr">
        <is>
          <t>사용전검사</t>
        </is>
      </c>
      <c r="C4069" s="46" t="inlineStr">
        <is>
          <t>부천지역</t>
        </is>
      </c>
      <c r="D4069" s="46" t="inlineStr">
        <is>
          <t>광장빌딩</t>
        </is>
      </c>
      <c r="E4069" s="46" t="n">
        <v>450</v>
      </c>
      <c r="F4069" s="46" t="inlineStr">
        <is>
          <t>송내동</t>
        </is>
      </c>
      <c r="G4069" s="50" t="n"/>
      <c r="H4069" s="51" t="n"/>
      <c r="I4069" s="46" t="n"/>
      <c r="K4069" s="46" t="n">
        <v>4068</v>
      </c>
      <c r="L4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0">
      <c r="A4070" s="229" t="n">
        <v>46320</v>
      </c>
      <c r="B4070" s="46" t="inlineStr">
        <is>
          <t>메모</t>
        </is>
      </c>
      <c r="C4070" s="46" t="inlineStr">
        <is>
          <t>부천지역</t>
        </is>
      </c>
      <c r="D4070" s="46" t="inlineStr">
        <is>
          <t>이덕기휴가</t>
        </is>
      </c>
      <c r="E4070" s="46" t="n"/>
      <c r="F4070" s="46" t="n"/>
      <c r="G4070" s="50" t="n"/>
      <c r="H4070" s="51" t="n"/>
      <c r="I4070" s="46" t="n"/>
      <c r="K4070" s="46" t="n">
        <v>4069</v>
      </c>
      <c r="L4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1">
      <c r="A4071" s="229" t="n">
        <v>46320</v>
      </c>
      <c r="B4071" s="46" t="inlineStr">
        <is>
          <t>메모</t>
        </is>
      </c>
      <c r="C4071" s="46" t="inlineStr">
        <is>
          <t>부천지역</t>
        </is>
      </c>
      <c r="D4071" s="46" t="inlineStr">
        <is>
          <t>변종국휴가</t>
        </is>
      </c>
      <c r="E4071" s="46" t="n"/>
      <c r="F4071" s="46" t="n"/>
      <c r="G4071" s="50" t="n"/>
      <c r="H4071" s="51" t="n"/>
      <c r="I4071" s="46" t="n"/>
      <c r="K4071" s="46" t="n">
        <v>4070</v>
      </c>
      <c r="L4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2">
      <c r="A4072" s="229" t="n">
        <v>46320</v>
      </c>
      <c r="B4072" s="46" t="inlineStr">
        <is>
          <t>메모</t>
        </is>
      </c>
      <c r="C4072" s="46" t="inlineStr">
        <is>
          <t>부천지역</t>
        </is>
      </c>
      <c r="D4072" s="46" t="inlineStr">
        <is>
          <t>허창수휴가</t>
        </is>
      </c>
      <c r="E4072" s="46" t="n"/>
      <c r="F4072" s="46" t="n"/>
      <c r="G4072" s="50" t="n"/>
      <c r="H4072" s="51" t="n"/>
      <c r="I4072" s="46" t="n"/>
      <c r="K4072" s="46" t="n">
        <v>4071</v>
      </c>
      <c r="L4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3">
      <c r="A4073" s="229" t="n">
        <v>46321</v>
      </c>
      <c r="B4073" s="46" t="inlineStr">
        <is>
          <t>정기검사</t>
        </is>
      </c>
      <c r="C4073" s="46" t="inlineStr">
        <is>
          <t>부천지역</t>
        </is>
      </c>
      <c r="D4073" s="46" t="inlineStr">
        <is>
          <t>에이치와이 홀딩스</t>
        </is>
      </c>
      <c r="E4073" s="46" t="n">
        <v>990</v>
      </c>
      <c r="F4073" s="46" t="inlineStr">
        <is>
          <t>상동</t>
        </is>
      </c>
      <c r="G4073" s="50" t="n">
        <v>0.6041666666666666</v>
      </c>
      <c r="H4073" s="51" t="n">
        <v>902990</v>
      </c>
      <c r="I4073" s="46" t="n"/>
      <c r="K4073" s="46" t="n">
        <v>4072</v>
      </c>
      <c r="L4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4">
      <c r="A4074" s="229" t="n">
        <v>46321</v>
      </c>
      <c r="B4074" s="46" t="inlineStr">
        <is>
          <t>정기검사</t>
        </is>
      </c>
      <c r="C4074" s="46" t="inlineStr">
        <is>
          <t>부천지역</t>
        </is>
      </c>
      <c r="D4074" s="46" t="inlineStr">
        <is>
          <t>한국특수금속</t>
        </is>
      </c>
      <c r="E4074" s="46" t="n">
        <v>295</v>
      </c>
      <c r="F4074" s="46" t="inlineStr">
        <is>
          <t>도당동</t>
        </is>
      </c>
      <c r="G4074" s="50" t="n">
        <v>0.5</v>
      </c>
      <c r="H4074" s="51" t="n">
        <v>518430</v>
      </c>
      <c r="I4074" s="46" t="n"/>
      <c r="K4074" s="46" t="n">
        <v>4073</v>
      </c>
      <c r="L4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5">
      <c r="A4075" s="229" t="n">
        <v>46321</v>
      </c>
      <c r="B4075" s="46" t="inlineStr">
        <is>
          <t>정기검사</t>
        </is>
      </c>
      <c r="C4075" s="46" t="inlineStr">
        <is>
          <t>부천지역</t>
        </is>
      </c>
      <c r="D4075" s="46" t="inlineStr">
        <is>
          <t>더포레스트</t>
        </is>
      </c>
      <c r="E4075" s="46" t="inlineStr">
        <is>
          <t>607/300</t>
        </is>
      </c>
      <c r="F4075" s="46" t="inlineStr">
        <is>
          <t>원미동</t>
        </is>
      </c>
      <c r="G4075" s="50" t="n">
        <v>0.4791666666666667</v>
      </c>
      <c r="H4075" s="51" t="n">
        <v>1077450</v>
      </c>
      <c r="I4075" s="46" t="n"/>
      <c r="K4075" s="46" t="n">
        <v>4074</v>
      </c>
      <c r="L4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6">
      <c r="A4076" s="229" t="n">
        <v>46321</v>
      </c>
      <c r="B4076" s="46" t="inlineStr">
        <is>
          <t>정기검사</t>
        </is>
      </c>
      <c r="C4076" s="46" t="inlineStr">
        <is>
          <t>부천지역</t>
        </is>
      </c>
      <c r="D4076" s="46" t="inlineStr">
        <is>
          <t>아름다운프라자</t>
        </is>
      </c>
      <c r="E4076" s="46" t="inlineStr">
        <is>
          <t>500/105</t>
        </is>
      </c>
      <c r="F4076" s="46" t="inlineStr">
        <is>
          <t>송내동</t>
        </is>
      </c>
      <c r="G4076" s="50" t="n">
        <v>0.3958333333333333</v>
      </c>
      <c r="H4076" s="51" t="n">
        <v>904640</v>
      </c>
      <c r="I4076" s="46" t="n"/>
      <c r="K4076" s="46" t="n">
        <v>4075</v>
      </c>
      <c r="L4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7">
      <c r="A4077" s="229" t="n">
        <v>46321</v>
      </c>
      <c r="B4077" s="46" t="inlineStr">
        <is>
          <t>정기검사</t>
        </is>
      </c>
      <c r="C4077" s="46" t="inlineStr">
        <is>
          <t>부천지역</t>
        </is>
      </c>
      <c r="D4077" s="46" t="inlineStr">
        <is>
          <t>도원교통</t>
        </is>
      </c>
      <c r="E4077" s="46" t="n">
        <v>1230</v>
      </c>
      <c r="F4077" s="46" t="inlineStr">
        <is>
          <t>고강동</t>
        </is>
      </c>
      <c r="G4077" s="50" t="n">
        <v>0.4166666666666667</v>
      </c>
      <c r="H4077" s="51" t="n">
        <v>1272810</v>
      </c>
      <c r="I4077" s="46" t="n"/>
      <c r="K4077" s="46" t="n">
        <v>4076</v>
      </c>
      <c r="L4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8">
      <c r="A4078" s="229" t="n">
        <v>46321</v>
      </c>
      <c r="B4078" s="46" t="inlineStr">
        <is>
          <t>정기검사</t>
        </is>
      </c>
      <c r="C4078" s="46" t="inlineStr">
        <is>
          <t>부천지역</t>
        </is>
      </c>
      <c r="D4078" s="46" t="inlineStr">
        <is>
          <t>도원교통</t>
        </is>
      </c>
      <c r="E4078" s="46" t="n">
        <v>1530</v>
      </c>
      <c r="F4078" s="46" t="inlineStr">
        <is>
          <t>고강동</t>
        </is>
      </c>
      <c r="G4078" s="50" t="n">
        <v>0.4166666666666667</v>
      </c>
      <c r="H4078" s="51" t="n">
        <v>1333750</v>
      </c>
      <c r="I4078" s="46" t="n"/>
      <c r="K4078" s="46" t="n">
        <v>4077</v>
      </c>
      <c r="L4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9">
      <c r="A4079" s="229" t="n">
        <v>46321</v>
      </c>
      <c r="B4079" s="46" t="inlineStr">
        <is>
          <t>정기검사</t>
        </is>
      </c>
      <c r="C4079" s="46" t="inlineStr">
        <is>
          <t>김포지역</t>
        </is>
      </c>
      <c r="D4079" s="46" t="inlineStr">
        <is>
          <t>만조테크</t>
        </is>
      </c>
      <c r="E4079" s="46" t="n">
        <v>290</v>
      </c>
      <c r="F4079" s="46" t="inlineStr">
        <is>
          <t>가현리</t>
        </is>
      </c>
      <c r="G4079" s="50" t="n">
        <v>0.5416666666666666</v>
      </c>
      <c r="H4079" s="51" t="n">
        <v>515130</v>
      </c>
      <c r="I4079" s="46" t="n"/>
      <c r="K4079" s="46" t="n">
        <v>4078</v>
      </c>
      <c r="L4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0">
      <c r="A4080" s="229" t="n">
        <v>46321</v>
      </c>
      <c r="B4080" s="46" t="inlineStr">
        <is>
          <t>정기검사</t>
        </is>
      </c>
      <c r="C4080" s="46" t="inlineStr">
        <is>
          <t>김포지역</t>
        </is>
      </c>
      <c r="D4080" s="46" t="inlineStr">
        <is>
          <t>디자인파크</t>
        </is>
      </c>
      <c r="E4080" s="46" t="n">
        <v>200</v>
      </c>
      <c r="F4080" s="46" t="inlineStr">
        <is>
          <t>옹정리</t>
        </is>
      </c>
      <c r="G4080" s="50" t="n">
        <v>0.3958333333333333</v>
      </c>
      <c r="H4080" s="51" t="n">
        <v>456720</v>
      </c>
      <c r="I4080" s="46" t="n"/>
      <c r="K4080" s="46" t="n">
        <v>4079</v>
      </c>
      <c r="L4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1">
      <c r="A4081" s="229" t="n">
        <v>46321</v>
      </c>
      <c r="B4081" s="46" t="inlineStr">
        <is>
          <t>정기검사</t>
        </is>
      </c>
      <c r="C4081" s="46" t="inlineStr">
        <is>
          <t>김포지역</t>
        </is>
      </c>
      <c r="D4081" s="46" t="inlineStr">
        <is>
          <t>폴리프라자</t>
        </is>
      </c>
      <c r="E4081" s="46" t="inlineStr">
        <is>
          <t>전기차</t>
        </is>
      </c>
      <c r="F4081" s="46" t="inlineStr">
        <is>
          <t>구래동</t>
        </is>
      </c>
      <c r="G4081" s="50" t="n">
        <v>0.3958333333333333</v>
      </c>
      <c r="H4081" s="51" t="n">
        <v>64240</v>
      </c>
      <c r="I4081" s="46" t="n"/>
      <c r="K4081" s="46" t="n">
        <v>4080</v>
      </c>
      <c r="L4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2">
      <c r="A4082" s="229" t="n">
        <v>46321</v>
      </c>
      <c r="B4082" s="46" t="inlineStr">
        <is>
          <t>정기검사</t>
        </is>
      </c>
      <c r="C4082" s="46" t="inlineStr">
        <is>
          <t>김포지역</t>
        </is>
      </c>
      <c r="D4082" s="46" t="inlineStr">
        <is>
          <t>협신철망</t>
        </is>
      </c>
      <c r="E4082" s="46" t="n">
        <v>99</v>
      </c>
      <c r="F4082" s="46" t="inlineStr">
        <is>
          <t>석정리</t>
        </is>
      </c>
      <c r="G4082" s="50" t="n">
        <v>0.3958333333333333</v>
      </c>
      <c r="H4082" s="51" t="n">
        <v>255530</v>
      </c>
      <c r="I4082" s="46" t="n"/>
      <c r="K4082" s="46" t="n">
        <v>4081</v>
      </c>
      <c r="L4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3">
      <c r="A4083" s="229" t="n">
        <v>46321</v>
      </c>
      <c r="B4083" s="46" t="inlineStr">
        <is>
          <t>정기검사</t>
        </is>
      </c>
      <c r="C4083" s="46" t="inlineStr">
        <is>
          <t>김포지역</t>
        </is>
      </c>
      <c r="D4083" s="46" t="inlineStr">
        <is>
          <t>효성피엠</t>
        </is>
      </c>
      <c r="E4083" s="46" t="n">
        <v>500</v>
      </c>
      <c r="F4083" s="46" t="inlineStr">
        <is>
          <t>원산리</t>
        </is>
      </c>
      <c r="G4083" s="50" t="n">
        <v>0.4791666666666667</v>
      </c>
      <c r="H4083" s="51" t="n">
        <v>737000</v>
      </c>
      <c r="I4083" s="46" t="n"/>
      <c r="K4083" s="46" t="n">
        <v>4082</v>
      </c>
      <c r="L4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4">
      <c r="A4084" s="229" t="n">
        <v>46321</v>
      </c>
      <c r="B4084" s="46" t="inlineStr">
        <is>
          <t>정기검사</t>
        </is>
      </c>
      <c r="C4084" s="46" t="inlineStr">
        <is>
          <t>김포지역</t>
        </is>
      </c>
      <c r="D4084" s="46" t="inlineStr">
        <is>
          <t>태진공업</t>
        </is>
      </c>
      <c r="E4084" s="46" t="n">
        <v>170</v>
      </c>
      <c r="F4084" s="46" t="inlineStr">
        <is>
          <t>고정리</t>
        </is>
      </c>
      <c r="G4084" s="50" t="n">
        <v>0.5</v>
      </c>
      <c r="H4084" s="51" t="n">
        <v>437140</v>
      </c>
      <c r="I4084" s="46" t="n"/>
      <c r="K4084" s="46" t="n">
        <v>4083</v>
      </c>
      <c r="L4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5">
      <c r="A4085" s="229" t="n">
        <v>46321</v>
      </c>
      <c r="B4085" s="46" t="inlineStr">
        <is>
          <t>정기검사</t>
        </is>
      </c>
      <c r="C4085" s="46" t="inlineStr">
        <is>
          <t>김포지역</t>
        </is>
      </c>
      <c r="D4085" s="46" t="inlineStr">
        <is>
          <t>제이후렉스</t>
        </is>
      </c>
      <c r="E4085" s="46" t="n">
        <v>200</v>
      </c>
      <c r="F4085" s="46" t="inlineStr">
        <is>
          <t>가현리</t>
        </is>
      </c>
      <c r="G4085" s="50" t="n">
        <v>0.3958333333333333</v>
      </c>
      <c r="H4085" s="51" t="n">
        <v>456720</v>
      </c>
      <c r="I4085" s="46" t="n"/>
      <c r="K4085" s="46" t="n">
        <v>4084</v>
      </c>
      <c r="L4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6">
      <c r="A4086" s="229" t="n">
        <v>46321</v>
      </c>
      <c r="B4086" s="46" t="inlineStr">
        <is>
          <t>정기검사</t>
        </is>
      </c>
      <c r="C4086" s="46" t="inlineStr">
        <is>
          <t>김포지역</t>
        </is>
      </c>
      <c r="D4086" s="46" t="inlineStr">
        <is>
          <t>서울비닐</t>
        </is>
      </c>
      <c r="E4086" s="46" t="n">
        <v>200</v>
      </c>
      <c r="F4086" s="46" t="inlineStr">
        <is>
          <t>송마리</t>
        </is>
      </c>
      <c r="G4086" s="50" t="n">
        <v>0.3958333333333333</v>
      </c>
      <c r="H4086" s="51" t="n">
        <v>456720</v>
      </c>
      <c r="I4086" s="46" t="n"/>
      <c r="K4086" s="46" t="n">
        <v>4085</v>
      </c>
      <c r="L4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7">
      <c r="A4087" s="229" t="n">
        <v>46321</v>
      </c>
      <c r="B4087" s="46" t="inlineStr">
        <is>
          <t>메모</t>
        </is>
      </c>
      <c r="C4087" s="46" t="inlineStr">
        <is>
          <t>부천지역</t>
        </is>
      </c>
      <c r="D4087" s="46" t="inlineStr">
        <is>
          <t>김영권휴가</t>
        </is>
      </c>
      <c r="E4087" s="46" t="n"/>
      <c r="F4087" s="46" t="n"/>
      <c r="G4087" s="50" t="n"/>
      <c r="H4087" s="51" t="n"/>
      <c r="I4087" s="46" t="n"/>
      <c r="K4087" s="46" t="n">
        <v>4086</v>
      </c>
      <c r="L4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8">
      <c r="A4088" s="229" t="n">
        <v>46322</v>
      </c>
      <c r="B4088" s="46" t="inlineStr">
        <is>
          <t>정기검사</t>
        </is>
      </c>
      <c r="C4088" s="46" t="inlineStr">
        <is>
          <t>부천지역</t>
        </is>
      </c>
      <c r="D4088" s="46" t="inlineStr">
        <is>
          <t>에이원프라자</t>
        </is>
      </c>
      <c r="E4088" s="46" t="inlineStr">
        <is>
          <t>300/69</t>
        </is>
      </c>
      <c r="F4088" s="46" t="inlineStr">
        <is>
          <t>상동</t>
        </is>
      </c>
      <c r="G4088" s="50" t="n">
        <v>0.3958333333333333</v>
      </c>
      <c r="H4088" s="51" t="n">
        <v>678700</v>
      </c>
      <c r="I4088" s="46" t="n"/>
      <c r="K4088" s="46" t="n">
        <v>4087</v>
      </c>
      <c r="L4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9">
      <c r="A4089" s="229" t="n">
        <v>46322</v>
      </c>
      <c r="B4089" s="46" t="inlineStr">
        <is>
          <t>정기검사</t>
        </is>
      </c>
      <c r="C4089" s="46" t="inlineStr">
        <is>
          <t>부천지역</t>
        </is>
      </c>
      <c r="D4089" s="46" t="inlineStr">
        <is>
          <t>한백</t>
        </is>
      </c>
      <c r="E4089" s="46" t="n">
        <v>330</v>
      </c>
      <c r="F4089" s="46" t="inlineStr">
        <is>
          <t>원미동</t>
        </is>
      </c>
      <c r="G4089" s="50" t="n">
        <v>0.5416666666666666</v>
      </c>
      <c r="H4089" s="51" t="n">
        <v>679360</v>
      </c>
      <c r="I4089" s="46" t="n"/>
      <c r="K4089" s="46" t="n">
        <v>4088</v>
      </c>
      <c r="L4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0">
      <c r="A4090" s="229" t="n">
        <v>46322</v>
      </c>
      <c r="B4090" s="46" t="inlineStr">
        <is>
          <t>정기검사</t>
        </is>
      </c>
      <c r="C4090" s="46" t="inlineStr">
        <is>
          <t>부천지역</t>
        </is>
      </c>
      <c r="D4090" s="46" t="inlineStr">
        <is>
          <t>월드컵타운</t>
        </is>
      </c>
      <c r="E4090" s="46" t="inlineStr">
        <is>
          <t>900/290</t>
        </is>
      </c>
      <c r="F4090" s="46" t="inlineStr">
        <is>
          <t>송내동</t>
        </is>
      </c>
      <c r="G4090" s="50" t="n">
        <v>0.3958333333333333</v>
      </c>
      <c r="H4090" s="51" t="n">
        <v>1094940</v>
      </c>
      <c r="I4090" s="46" t="n"/>
      <c r="K4090" s="46" t="n">
        <v>4089</v>
      </c>
      <c r="L4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1">
      <c r="A4091" s="229" t="n">
        <v>46322</v>
      </c>
      <c r="B4091" s="46" t="inlineStr">
        <is>
          <t>정기검사</t>
        </is>
      </c>
      <c r="C4091" s="46" t="inlineStr">
        <is>
          <t>부천지역</t>
        </is>
      </c>
      <c r="D4091" s="46" t="inlineStr">
        <is>
          <t>한국종합기계</t>
        </is>
      </c>
      <c r="E4091" s="46" t="n">
        <v>990</v>
      </c>
      <c r="F4091" s="46" t="inlineStr">
        <is>
          <t>도당동</t>
        </is>
      </c>
      <c r="G4091" s="50" t="n">
        <v>0.5416666666666666</v>
      </c>
      <c r="H4091" s="51" t="n">
        <v>902990</v>
      </c>
      <c r="I4091" s="46" t="n"/>
      <c r="K4091" s="46" t="n">
        <v>4090</v>
      </c>
      <c r="L4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2">
      <c r="A4092" s="229" t="n">
        <v>46322</v>
      </c>
      <c r="B4092" s="46" t="inlineStr">
        <is>
          <t>정기검사</t>
        </is>
      </c>
      <c r="C4092" s="46" t="inlineStr">
        <is>
          <t>부천지역</t>
        </is>
      </c>
      <c r="D4092" s="46" t="inlineStr">
        <is>
          <t>태영정밀</t>
        </is>
      </c>
      <c r="E4092" s="46" t="n">
        <v>400</v>
      </c>
      <c r="F4092" s="46" t="inlineStr">
        <is>
          <t>오정동</t>
        </is>
      </c>
      <c r="G4092" s="50" t="n">
        <v>0.5</v>
      </c>
      <c r="H4092" s="51" t="n">
        <v>703120</v>
      </c>
      <c r="I4092" s="46" t="n"/>
      <c r="K4092" s="46" t="n">
        <v>4091</v>
      </c>
      <c r="L4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3">
      <c r="A4093" s="229" t="n">
        <v>46322</v>
      </c>
      <c r="B4093" s="46" t="inlineStr">
        <is>
          <t>정기검사</t>
        </is>
      </c>
      <c r="C4093" s="46" t="inlineStr">
        <is>
          <t>김포지역</t>
        </is>
      </c>
      <c r="D4093" s="46" t="inlineStr">
        <is>
          <t>양곡제일교회</t>
        </is>
      </c>
      <c r="E4093" s="46" t="n">
        <v>500</v>
      </c>
      <c r="F4093" s="46" t="inlineStr">
        <is>
          <t>양곡리</t>
        </is>
      </c>
      <c r="G4093" s="50" t="n">
        <v>0.4791666666666667</v>
      </c>
      <c r="H4093" s="51" t="n">
        <v>737000</v>
      </c>
      <c r="I4093" s="46" t="n"/>
      <c r="K4093" s="46" t="n">
        <v>4092</v>
      </c>
      <c r="L4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4">
      <c r="A4094" s="229" t="n">
        <v>46322</v>
      </c>
      <c r="B4094" s="46" t="inlineStr">
        <is>
          <t>정기검사</t>
        </is>
      </c>
      <c r="C4094" s="46" t="inlineStr">
        <is>
          <t>김포지역</t>
        </is>
      </c>
      <c r="D4094" s="46" t="inlineStr">
        <is>
          <t>대한태양광</t>
        </is>
      </c>
      <c r="E4094" s="46" t="n">
        <v>91</v>
      </c>
      <c r="F4094" s="46" t="inlineStr">
        <is>
          <t>개곡리</t>
        </is>
      </c>
      <c r="G4094" s="50" t="n">
        <v>0.4375</v>
      </c>
      <c r="H4094" s="51" t="n">
        <v>246730</v>
      </c>
      <c r="I4094" s="46" t="n"/>
      <c r="K4094" s="46" t="n">
        <v>4093</v>
      </c>
      <c r="L4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5">
      <c r="A4095" s="229" t="n">
        <v>46322</v>
      </c>
      <c r="B4095" s="46" t="inlineStr">
        <is>
          <t>정기검사</t>
        </is>
      </c>
      <c r="C4095" s="46" t="inlineStr">
        <is>
          <t>김포지역</t>
        </is>
      </c>
      <c r="D4095" s="46" t="inlineStr">
        <is>
          <t>웅신프라자</t>
        </is>
      </c>
      <c r="E4095" s="46" t="inlineStr">
        <is>
          <t>전기차</t>
        </is>
      </c>
      <c r="F4095" s="46" t="inlineStr">
        <is>
          <t>구래동</t>
        </is>
      </c>
      <c r="G4095" s="50" t="n">
        <v>0.75</v>
      </c>
      <c r="H4095" s="51" t="n">
        <v>83430</v>
      </c>
      <c r="I4095" s="46" t="n"/>
      <c r="K4095" s="46" t="n">
        <v>4094</v>
      </c>
      <c r="L4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6">
      <c r="A4096" s="229" t="n">
        <v>46322</v>
      </c>
      <c r="B4096" s="46" t="inlineStr">
        <is>
          <t>정기검사</t>
        </is>
      </c>
      <c r="C4096" s="46" t="inlineStr">
        <is>
          <t>김포지역</t>
        </is>
      </c>
      <c r="D4096" s="46" t="inlineStr">
        <is>
          <t>홍우프라자</t>
        </is>
      </c>
      <c r="E4096" s="46" t="inlineStr">
        <is>
          <t>전기차</t>
        </is>
      </c>
      <c r="F4096" s="46" t="inlineStr">
        <is>
          <t>장기동</t>
        </is>
      </c>
      <c r="G4096" s="50" t="n">
        <v>0.3958333333333333</v>
      </c>
      <c r="H4096" s="51" t="n">
        <v>55770</v>
      </c>
      <c r="I4096" s="46" t="n"/>
      <c r="K4096" s="46" t="n">
        <v>4095</v>
      </c>
      <c r="L4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7">
      <c r="A4097" s="229" t="n">
        <v>46322</v>
      </c>
      <c r="B4097" s="46" t="inlineStr">
        <is>
          <t>정기검사</t>
        </is>
      </c>
      <c r="C4097" s="46" t="inlineStr">
        <is>
          <t>김포지역</t>
        </is>
      </c>
      <c r="D4097" s="46" t="inlineStr">
        <is>
          <t>해바라기</t>
        </is>
      </c>
      <c r="E4097" s="46" t="n">
        <v>99</v>
      </c>
      <c r="F4097" s="46" t="inlineStr">
        <is>
          <t>대벽리</t>
        </is>
      </c>
      <c r="G4097" s="50" t="n">
        <v>0.3958333333333333</v>
      </c>
      <c r="H4097" s="51" t="n">
        <v>254540</v>
      </c>
      <c r="I4097" s="46" t="n"/>
      <c r="K4097" s="46" t="n">
        <v>4096</v>
      </c>
      <c r="L4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8">
      <c r="A4098" s="229" t="n">
        <v>46322</v>
      </c>
      <c r="B4098" s="46" t="inlineStr">
        <is>
          <t>정기검사</t>
        </is>
      </c>
      <c r="C4098" s="46" t="inlineStr">
        <is>
          <t>김포지역</t>
        </is>
      </c>
      <c r="D4098" s="46" t="inlineStr">
        <is>
          <t>해바라기</t>
        </is>
      </c>
      <c r="E4098" s="46" t="n">
        <v>100</v>
      </c>
      <c r="F4098" s="46" t="inlineStr">
        <is>
          <t>대벽리</t>
        </is>
      </c>
      <c r="G4098" s="50" t="n">
        <v>0.3958333333333333</v>
      </c>
      <c r="H4098" s="51" t="n">
        <v>254541</v>
      </c>
      <c r="I4098" s="46" t="n"/>
      <c r="K4098" s="46" t="n">
        <v>4097</v>
      </c>
      <c r="L4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9">
      <c r="A4099" s="229" t="n">
        <v>46322</v>
      </c>
      <c r="B4099" s="46" t="inlineStr">
        <is>
          <t>정기검사</t>
        </is>
      </c>
      <c r="C4099" s="46" t="inlineStr">
        <is>
          <t>김포지역</t>
        </is>
      </c>
      <c r="D4099" s="46" t="inlineStr">
        <is>
          <t>해바라기</t>
        </is>
      </c>
      <c r="E4099" s="46" t="n">
        <v>101</v>
      </c>
      <c r="F4099" s="46" t="inlineStr">
        <is>
          <t>대벽리</t>
        </is>
      </c>
      <c r="G4099" s="50" t="n">
        <v>0.3958333333333333</v>
      </c>
      <c r="H4099" s="51" t="n">
        <v>254542</v>
      </c>
      <c r="I4099" s="46" t="n"/>
      <c r="K4099" s="46" t="n">
        <v>4098</v>
      </c>
      <c r="L4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0">
      <c r="A4100" s="229" t="n">
        <v>46322</v>
      </c>
      <c r="B4100" s="46" t="inlineStr">
        <is>
          <t>정기검사</t>
        </is>
      </c>
      <c r="C4100" s="46" t="inlineStr">
        <is>
          <t>김포지역</t>
        </is>
      </c>
      <c r="D4100" s="46" t="inlineStr">
        <is>
          <t>해바라기</t>
        </is>
      </c>
      <c r="E4100" s="46" t="n">
        <v>102</v>
      </c>
      <c r="F4100" s="46" t="inlineStr">
        <is>
          <t>대벽리</t>
        </is>
      </c>
      <c r="G4100" s="50" t="n">
        <v>0.3958333333333333</v>
      </c>
      <c r="H4100" s="51" t="n">
        <v>254543</v>
      </c>
      <c r="I4100" s="46" t="n"/>
      <c r="K4100" s="46" t="n">
        <v>4099</v>
      </c>
      <c r="L4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1">
      <c r="A4101" s="229" t="n">
        <v>46322</v>
      </c>
      <c r="B4101" s="46" t="inlineStr">
        <is>
          <t>메모</t>
        </is>
      </c>
      <c r="C4101" s="46" t="inlineStr">
        <is>
          <t>부천지역</t>
        </is>
      </c>
      <c r="D4101" s="46" t="inlineStr">
        <is>
          <t>김영권휴가</t>
        </is>
      </c>
      <c r="E4101" s="46" t="n"/>
      <c r="F4101" s="46" t="n"/>
      <c r="G4101" s="50" t="n"/>
      <c r="H4101" s="51" t="n"/>
      <c r="I4101" s="46" t="n"/>
      <c r="K4101" s="46" t="n">
        <v>4100</v>
      </c>
      <c r="L4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2">
      <c r="A4102" s="229" t="n">
        <v>46322</v>
      </c>
      <c r="B4102" s="46" t="inlineStr">
        <is>
          <t>사용전검사</t>
        </is>
      </c>
      <c r="C4102" s="46" t="inlineStr">
        <is>
          <t>김포지역</t>
        </is>
      </c>
      <c r="D4102" s="46" t="inlineStr">
        <is>
          <t>에스지에스</t>
        </is>
      </c>
      <c r="E4102" s="46" t="n">
        <v>287</v>
      </c>
      <c r="F4102" s="46" t="inlineStr">
        <is>
          <t>개곡리</t>
        </is>
      </c>
      <c r="G4102" s="50" t="n"/>
      <c r="H4102" s="51" t="n"/>
      <c r="I4102" s="46" t="n"/>
      <c r="K4102" s="46" t="n">
        <v>4101</v>
      </c>
      <c r="L4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3">
      <c r="A4103" s="229" t="n">
        <v>46322</v>
      </c>
      <c r="B4103" s="46" t="inlineStr">
        <is>
          <t>사용전검사</t>
        </is>
      </c>
      <c r="C4103" s="46" t="inlineStr">
        <is>
          <t>김포지역</t>
        </is>
      </c>
      <c r="D4103" s="46" t="inlineStr">
        <is>
          <t>에스지에스</t>
        </is>
      </c>
      <c r="E4103" s="46" t="n">
        <v>288</v>
      </c>
      <c r="F4103" s="46" t="inlineStr">
        <is>
          <t>개곡리</t>
        </is>
      </c>
      <c r="G4103" s="50" t="n"/>
      <c r="H4103" s="51" t="n"/>
      <c r="I4103" s="46" t="n"/>
      <c r="K4103" s="46" t="n">
        <v>4102</v>
      </c>
      <c r="L4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4">
      <c r="A4104" s="229" t="n">
        <v>46322</v>
      </c>
      <c r="B4104" s="46" t="inlineStr">
        <is>
          <t>사용전검사</t>
        </is>
      </c>
      <c r="C4104" s="46" t="inlineStr">
        <is>
          <t>김포지역</t>
        </is>
      </c>
      <c r="D4104" s="46" t="inlineStr">
        <is>
          <t>소소</t>
        </is>
      </c>
      <c r="E4104" s="46" t="n">
        <v>383</v>
      </c>
      <c r="F4104" s="46" t="inlineStr">
        <is>
          <t>대능리</t>
        </is>
      </c>
      <c r="G4104" s="50" t="n"/>
      <c r="H4104" s="51" t="n"/>
      <c r="I4104" s="46" t="n"/>
      <c r="K4104" s="46" t="n">
        <v>4103</v>
      </c>
      <c r="L4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5">
      <c r="A4105" s="229" t="n">
        <v>46323</v>
      </c>
      <c r="B4105" s="46" t="inlineStr">
        <is>
          <t>정기검사</t>
        </is>
      </c>
      <c r="C4105" s="46" t="inlineStr">
        <is>
          <t>부천지역</t>
        </is>
      </c>
      <c r="D4105" s="46" t="inlineStr">
        <is>
          <t>신오개발</t>
        </is>
      </c>
      <c r="E4105" s="46" t="n">
        <v>300</v>
      </c>
      <c r="F4105" s="46" t="inlineStr">
        <is>
          <t>오정동</t>
        </is>
      </c>
      <c r="G4105" s="50" t="n">
        <v>0.3958333333333333</v>
      </c>
      <c r="H4105" s="51" t="n">
        <v>521730</v>
      </c>
      <c r="I4105" s="46" t="n"/>
      <c r="K4105" s="46" t="n">
        <v>4104</v>
      </c>
      <c r="L4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6">
      <c r="A4106" s="229" t="n">
        <v>46323</v>
      </c>
      <c r="B4106" s="46" t="inlineStr">
        <is>
          <t>정기검사</t>
        </is>
      </c>
      <c r="C4106" s="46" t="inlineStr">
        <is>
          <t>부천지역</t>
        </is>
      </c>
      <c r="D4106" s="46" t="inlineStr">
        <is>
          <t>송내자이아파트</t>
        </is>
      </c>
      <c r="E4106" s="46" t="inlineStr">
        <is>
          <t>2200/509</t>
        </is>
      </c>
      <c r="F4106" s="46" t="inlineStr">
        <is>
          <t>송내동</t>
        </is>
      </c>
      <c r="G4106" s="50" t="n">
        <v>0.4166666666666667</v>
      </c>
      <c r="H4106" s="51" t="n">
        <v>1350800</v>
      </c>
      <c r="I4106" s="46" t="n"/>
      <c r="K4106" s="46" t="n">
        <v>4105</v>
      </c>
      <c r="L4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7">
      <c r="A4107" s="229" t="n">
        <v>46323</v>
      </c>
      <c r="B4107" s="46" t="inlineStr">
        <is>
          <t>정기검사</t>
        </is>
      </c>
      <c r="C4107" s="46" t="inlineStr">
        <is>
          <t>부천지역</t>
        </is>
      </c>
      <c r="D4107" s="46" t="inlineStr">
        <is>
          <t>국민정밀</t>
        </is>
      </c>
      <c r="E4107" s="46" t="n">
        <v>550</v>
      </c>
      <c r="F4107" s="46" t="inlineStr">
        <is>
          <t>내동</t>
        </is>
      </c>
      <c r="G4107" s="50" t="n">
        <v>0.5</v>
      </c>
      <c r="H4107" s="51" t="n">
        <v>753940</v>
      </c>
      <c r="I4107" s="46" t="n"/>
      <c r="K4107" s="46" t="n">
        <v>4106</v>
      </c>
      <c r="L4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8">
      <c r="A4108" s="229" t="n">
        <v>46323</v>
      </c>
      <c r="B4108" s="46" t="inlineStr">
        <is>
          <t>정기검사</t>
        </is>
      </c>
      <c r="C4108" s="46" t="inlineStr">
        <is>
          <t>부천지역</t>
        </is>
      </c>
      <c r="D4108" s="46" t="inlineStr">
        <is>
          <t>영광테크</t>
        </is>
      </c>
      <c r="E4108" s="46" t="n">
        <v>400</v>
      </c>
      <c r="F4108" s="46" t="inlineStr">
        <is>
          <t>내동</t>
        </is>
      </c>
      <c r="G4108" s="50" t="n">
        <v>0.4791666666666667</v>
      </c>
      <c r="H4108" s="51" t="n">
        <v>703120</v>
      </c>
      <c r="I4108" s="46" t="n"/>
      <c r="K4108" s="46" t="n">
        <v>4107</v>
      </c>
      <c r="L4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9">
      <c r="A4109" s="229" t="n">
        <v>46323</v>
      </c>
      <c r="B4109" s="46" t="inlineStr">
        <is>
          <t>정기검사</t>
        </is>
      </c>
      <c r="C4109" s="46" t="inlineStr">
        <is>
          <t>부천지역</t>
        </is>
      </c>
      <c r="D4109" s="46" t="inlineStr">
        <is>
          <t>폴리</t>
        </is>
      </c>
      <c r="E4109" s="46" t="n">
        <v>250</v>
      </c>
      <c r="F4109" s="46" t="inlineStr">
        <is>
          <t>여월동</t>
        </is>
      </c>
      <c r="G4109" s="50" t="n">
        <v>0.5416666666666666</v>
      </c>
      <c r="H4109" s="51" t="n">
        <v>664840</v>
      </c>
      <c r="I4109" s="46" t="n"/>
      <c r="K4109" s="46" t="n">
        <v>4108</v>
      </c>
      <c r="L4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0">
      <c r="A4110" s="229" t="n">
        <v>46323</v>
      </c>
      <c r="B4110" s="46" t="inlineStr">
        <is>
          <t>정기검사</t>
        </is>
      </c>
      <c r="C4110" s="46" t="inlineStr">
        <is>
          <t>부천지역</t>
        </is>
      </c>
      <c r="D4110" s="46" t="inlineStr">
        <is>
          <t>대양아이앤디</t>
        </is>
      </c>
      <c r="E4110" s="46" t="inlineStr">
        <is>
          <t>3050/273</t>
        </is>
      </c>
      <c r="F4110" s="46" t="inlineStr">
        <is>
          <t>상동</t>
        </is>
      </c>
      <c r="G4110" s="50" t="n">
        <v>0.2708333333333333</v>
      </c>
      <c r="H4110" s="51" t="n">
        <v>1850750</v>
      </c>
      <c r="I4110" s="46" t="n"/>
      <c r="K4110" s="46" t="n">
        <v>4109</v>
      </c>
      <c r="L4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1">
      <c r="A4111" s="229" t="n">
        <v>46323</v>
      </c>
      <c r="B4111" s="46" t="inlineStr">
        <is>
          <t>정기검사</t>
        </is>
      </c>
      <c r="C4111" s="46" t="inlineStr">
        <is>
          <t>부천지역</t>
        </is>
      </c>
      <c r="D4111" s="46" t="inlineStr">
        <is>
          <t>부안초</t>
        </is>
      </c>
      <c r="E4111" s="46" t="n">
        <v>37</v>
      </c>
      <c r="F4111" s="46" t="inlineStr">
        <is>
          <t>소사동</t>
        </is>
      </c>
      <c r="G4111" s="50" t="n">
        <v>0.625</v>
      </c>
      <c r="H4111" s="51" t="n">
        <v>190080</v>
      </c>
      <c r="I4111" s="46" t="n"/>
      <c r="K4111" s="46" t="n">
        <v>4110</v>
      </c>
      <c r="L4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2">
      <c r="A4112" s="229" t="n">
        <v>46323</v>
      </c>
      <c r="B4112" s="46" t="inlineStr">
        <is>
          <t>정기검사</t>
        </is>
      </c>
      <c r="C4112" s="46" t="inlineStr">
        <is>
          <t>부천지역</t>
        </is>
      </c>
      <c r="D4112" s="46" t="inlineStr">
        <is>
          <t>퀸즈파크</t>
        </is>
      </c>
      <c r="E4112" s="46" t="inlineStr">
        <is>
          <t>전기차</t>
        </is>
      </c>
      <c r="F4112" s="46" t="inlineStr">
        <is>
          <t>옥길동</t>
        </is>
      </c>
      <c r="G4112" s="50" t="n">
        <v>0.6041666666666666</v>
      </c>
      <c r="H4112" s="51" t="n">
        <v>72710</v>
      </c>
      <c r="I4112" s="46" t="n"/>
      <c r="K4112" s="46" t="n">
        <v>4111</v>
      </c>
      <c r="L4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3">
      <c r="A4113" s="229" t="n">
        <v>46323</v>
      </c>
      <c r="B4113" s="46" t="inlineStr">
        <is>
          <t>정기검사</t>
        </is>
      </c>
      <c r="C4113" s="46" t="inlineStr">
        <is>
          <t>김포지역</t>
        </is>
      </c>
      <c r="D4113" s="46" t="inlineStr">
        <is>
          <t>롯데마트</t>
        </is>
      </c>
      <c r="E4113" s="46" t="inlineStr">
        <is>
          <t>3000/818</t>
        </is>
      </c>
      <c r="F4113" s="46" t="inlineStr">
        <is>
          <t>장기동</t>
        </is>
      </c>
      <c r="G4113" s="50" t="n">
        <v>0.3958333333333333</v>
      </c>
      <c r="H4113" s="51" t="n">
        <v>1525590</v>
      </c>
      <c r="I4113" s="46" t="n"/>
      <c r="K4113" s="46" t="n">
        <v>4112</v>
      </c>
      <c r="L4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4">
      <c r="A4114" s="229" t="n">
        <v>46323</v>
      </c>
      <c r="B4114" s="46" t="inlineStr">
        <is>
          <t>정기검사</t>
        </is>
      </c>
      <c r="C4114" s="46" t="inlineStr">
        <is>
          <t>김포지역</t>
        </is>
      </c>
      <c r="D4114" s="46" t="inlineStr">
        <is>
          <t>통진서비스</t>
        </is>
      </c>
      <c r="E4114" s="46" t="n">
        <v>400</v>
      </c>
      <c r="F4114" s="46" t="inlineStr">
        <is>
          <t>서암리</t>
        </is>
      </c>
      <c r="G4114" s="50" t="n">
        <v>0.4791666666666667</v>
      </c>
      <c r="H4114" s="51" t="n">
        <v>703120</v>
      </c>
      <c r="I4114" s="46" t="n"/>
      <c r="K4114" s="46" t="n">
        <v>4113</v>
      </c>
      <c r="L4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5">
      <c r="A4115" s="229" t="n">
        <v>46323</v>
      </c>
      <c r="B4115" s="46" t="inlineStr">
        <is>
          <t>정기검사</t>
        </is>
      </c>
      <c r="C4115" s="46" t="inlineStr">
        <is>
          <t>김포지역</t>
        </is>
      </c>
      <c r="D4115" s="46" t="inlineStr">
        <is>
          <t>한강메디플러스</t>
        </is>
      </c>
      <c r="E4115" s="46" t="inlineStr">
        <is>
          <t>400/82</t>
        </is>
      </c>
      <c r="F4115" s="46" t="inlineStr">
        <is>
          <t>장기동</t>
        </is>
      </c>
      <c r="G4115" s="50" t="n">
        <v>0.3125</v>
      </c>
      <c r="H4115" s="51" t="n">
        <v>1123100</v>
      </c>
      <c r="I4115" s="46" t="n"/>
      <c r="K4115" s="46" t="n">
        <v>4114</v>
      </c>
      <c r="L4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6">
      <c r="A4116" s="229" t="n">
        <v>46323</v>
      </c>
      <c r="B4116" s="46" t="inlineStr">
        <is>
          <t>정기검사</t>
        </is>
      </c>
      <c r="C4116" s="46" t="inlineStr">
        <is>
          <t>김포지역</t>
        </is>
      </c>
      <c r="D4116" s="46" t="inlineStr">
        <is>
          <t>경서프라자</t>
        </is>
      </c>
      <c r="E4116" s="46" t="n">
        <v>400</v>
      </c>
      <c r="F4116" s="46" t="inlineStr">
        <is>
          <t>장기동</t>
        </is>
      </c>
      <c r="G4116" s="50" t="n">
        <v>0.2916666666666667</v>
      </c>
      <c r="H4116" s="51" t="n">
        <v>913990</v>
      </c>
      <c r="I4116" s="46" t="n"/>
      <c r="K4116" s="46" t="n">
        <v>4115</v>
      </c>
      <c r="L4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7">
      <c r="A4117" s="229" t="n">
        <v>46323</v>
      </c>
      <c r="B4117" s="46" t="inlineStr">
        <is>
          <t>정기검사</t>
        </is>
      </c>
      <c r="C4117" s="46" t="inlineStr">
        <is>
          <t>김포지역</t>
        </is>
      </c>
      <c r="D4117" s="46" t="inlineStr">
        <is>
          <t>한강프라자</t>
        </is>
      </c>
      <c r="E4117" s="46" t="n">
        <v>700</v>
      </c>
      <c r="F4117" s="46" t="inlineStr">
        <is>
          <t>신곡리</t>
        </is>
      </c>
      <c r="G4117" s="50" t="n">
        <v>0.3958333333333333</v>
      </c>
      <c r="H4117" s="51" t="n">
        <v>804760</v>
      </c>
      <c r="I4117" s="46" t="inlineStr">
        <is>
          <t>허창수</t>
        </is>
      </c>
      <c r="K4117" s="46" t="n">
        <v>4116</v>
      </c>
      <c r="L4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8">
      <c r="A4118" s="229" t="n">
        <v>46323</v>
      </c>
      <c r="B4118" s="46" t="inlineStr">
        <is>
          <t>정기검사</t>
        </is>
      </c>
      <c r="C4118" s="46" t="inlineStr">
        <is>
          <t>김포지역</t>
        </is>
      </c>
      <c r="D4118" s="46" t="inlineStr">
        <is>
          <t>세희</t>
        </is>
      </c>
      <c r="E4118" s="46" t="inlineStr">
        <is>
          <t>500/182</t>
        </is>
      </c>
      <c r="F4118" s="46" t="inlineStr">
        <is>
          <t>풍무동</t>
        </is>
      </c>
      <c r="G4118" s="50" t="n">
        <v>0.5833333333333334</v>
      </c>
      <c r="H4118" s="51" t="n">
        <v>927410</v>
      </c>
      <c r="I4118" s="46" t="n"/>
      <c r="K4118" s="46" t="n">
        <v>4117</v>
      </c>
      <c r="L4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9">
      <c r="A4119" s="229" t="n">
        <v>46323</v>
      </c>
      <c r="B4119" s="46" t="inlineStr">
        <is>
          <t>정기검사</t>
        </is>
      </c>
      <c r="C4119" s="46" t="inlineStr">
        <is>
          <t>김포지역</t>
        </is>
      </c>
      <c r="D4119" s="46" t="inlineStr">
        <is>
          <t>이마트-기배부</t>
        </is>
      </c>
      <c r="E4119" s="46" t="n"/>
      <c r="F4119" s="46" t="inlineStr">
        <is>
          <t>장기동</t>
        </is>
      </c>
      <c r="G4119" s="50" t="n"/>
      <c r="H4119" s="51" t="n">
        <v>1736350</v>
      </c>
      <c r="I4119" s="46" t="inlineStr">
        <is>
          <t>이덕기</t>
        </is>
      </c>
      <c r="K4119" s="46" t="n">
        <v>4118</v>
      </c>
      <c r="L4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0">
      <c r="A4120" s="229" t="n">
        <v>46323</v>
      </c>
      <c r="B4120" s="46" t="inlineStr">
        <is>
          <t>정기검사</t>
        </is>
      </c>
      <c r="C4120" s="46" t="inlineStr">
        <is>
          <t>김포지역</t>
        </is>
      </c>
      <c r="D4120" s="46" t="inlineStr">
        <is>
          <t>청우</t>
        </is>
      </c>
      <c r="E4120" s="46" t="n">
        <v>290</v>
      </c>
      <c r="F4120" s="46" t="inlineStr">
        <is>
          <t>가현리</t>
        </is>
      </c>
      <c r="G4120" s="50" t="n">
        <v>0.5</v>
      </c>
      <c r="H4120" s="51" t="n">
        <v>515130</v>
      </c>
      <c r="I4120" s="46" t="n"/>
      <c r="K4120" s="46" t="n">
        <v>4119</v>
      </c>
      <c r="L4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1">
      <c r="A4121" s="229" t="n">
        <v>46323</v>
      </c>
      <c r="B4121" s="46" t="inlineStr">
        <is>
          <t>메모</t>
        </is>
      </c>
      <c r="C4121" s="46" t="inlineStr">
        <is>
          <t>부천지역</t>
        </is>
      </c>
      <c r="D4121" s="46" t="inlineStr">
        <is>
          <t>김영권휴가</t>
        </is>
      </c>
      <c r="E4121" s="46" t="n"/>
      <c r="F4121" s="46" t="n"/>
      <c r="G4121" s="50" t="n"/>
      <c r="H4121" s="51" t="n"/>
      <c r="I4121" s="46" t="n"/>
      <c r="K4121" s="46" t="n">
        <v>4120</v>
      </c>
      <c r="L4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2">
      <c r="A4122" s="229" t="n">
        <v>46323</v>
      </c>
      <c r="B4122" s="46" t="inlineStr">
        <is>
          <t>메모</t>
        </is>
      </c>
      <c r="C4122" s="46" t="inlineStr">
        <is>
          <t>부천지역</t>
        </is>
      </c>
      <c r="D4122" s="46" t="inlineStr">
        <is>
          <t>한태희휴가</t>
        </is>
      </c>
      <c r="E4122" s="46" t="n"/>
      <c r="F4122" s="46" t="n"/>
      <c r="G4122" s="50" t="n"/>
      <c r="H4122" s="51" t="n"/>
      <c r="I4122" s="46" t="n"/>
      <c r="K4122" s="46" t="n">
        <v>4121</v>
      </c>
      <c r="L4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3">
      <c r="A4123" s="229" t="n">
        <v>46324</v>
      </c>
      <c r="B4123" s="46" t="inlineStr">
        <is>
          <t>정기검사</t>
        </is>
      </c>
      <c r="C4123" s="46" t="inlineStr">
        <is>
          <t>부천지역</t>
        </is>
      </c>
      <c r="D4123" s="46" t="inlineStr">
        <is>
          <t>금영프라자</t>
        </is>
      </c>
      <c r="E4123" s="46" t="inlineStr">
        <is>
          <t>600/115</t>
        </is>
      </c>
      <c r="F4123" s="46" t="inlineStr">
        <is>
          <t>중동</t>
        </is>
      </c>
      <c r="G4123" s="50" t="n">
        <v>0.2708333333333333</v>
      </c>
      <c r="H4123" s="51" t="n">
        <v>1223970</v>
      </c>
      <c r="I4123" s="46" t="n"/>
      <c r="K4123" s="46" t="n">
        <v>4122</v>
      </c>
      <c r="L4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4">
      <c r="A4124" s="229" t="n">
        <v>46324</v>
      </c>
      <c r="B4124" s="46" t="inlineStr">
        <is>
          <t>정기검사</t>
        </is>
      </c>
      <c r="C4124" s="46" t="inlineStr">
        <is>
          <t>부천지역</t>
        </is>
      </c>
      <c r="D4124" s="46" t="inlineStr">
        <is>
          <t>안앤락</t>
        </is>
      </c>
      <c r="E4124" s="46" t="n">
        <v>200</v>
      </c>
      <c r="F4124" s="46" t="inlineStr">
        <is>
          <t>역곡</t>
        </is>
      </c>
      <c r="G4124" s="50" t="n">
        <v>0.4791666666666667</v>
      </c>
      <c r="H4124" s="51" t="n">
        <v>456720</v>
      </c>
      <c r="I4124" s="46" t="n"/>
      <c r="K4124" s="46" t="n">
        <v>4123</v>
      </c>
      <c r="L4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5">
      <c r="A4125" s="229" t="n">
        <v>46324</v>
      </c>
      <c r="B4125" s="46" t="inlineStr">
        <is>
          <t>정기검사</t>
        </is>
      </c>
      <c r="C4125" s="46" t="inlineStr">
        <is>
          <t>부천지역</t>
        </is>
      </c>
      <c r="D4125" s="46" t="inlineStr">
        <is>
          <t>명인기업</t>
        </is>
      </c>
      <c r="E4125" s="46" t="n">
        <v>200</v>
      </c>
      <c r="F4125" s="46" t="inlineStr">
        <is>
          <t>역곡</t>
        </is>
      </c>
      <c r="G4125" s="50" t="n">
        <v>0.3958333333333333</v>
      </c>
      <c r="H4125" s="51" t="n">
        <v>456720</v>
      </c>
      <c r="I4125" s="46" t="n"/>
      <c r="K4125" s="46" t="n">
        <v>4124</v>
      </c>
      <c r="L4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6">
      <c r="A4126" s="229" t="n">
        <v>46324</v>
      </c>
      <c r="B4126" s="46" t="inlineStr">
        <is>
          <t>정기검사</t>
        </is>
      </c>
      <c r="C4126" s="46" t="inlineStr">
        <is>
          <t>부천지역</t>
        </is>
      </c>
      <c r="D4126" s="46" t="inlineStr">
        <is>
          <t>역곡e편한세상</t>
        </is>
      </c>
      <c r="E4126" s="46" t="n">
        <v>1</v>
      </c>
      <c r="F4126" s="46" t="inlineStr">
        <is>
          <t>역곡</t>
        </is>
      </c>
      <c r="G4126" s="50" t="n">
        <v>0.4166666666666667</v>
      </c>
      <c r="H4126" s="51" t="n">
        <v>90530</v>
      </c>
      <c r="I4126" s="46" t="n"/>
      <c r="K4126" s="46" t="n">
        <v>4125</v>
      </c>
      <c r="L4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7">
      <c r="A4127" s="229" t="n">
        <v>46324</v>
      </c>
      <c r="B4127" s="46" t="inlineStr">
        <is>
          <t>정기검사</t>
        </is>
      </c>
      <c r="C4127" s="46" t="inlineStr">
        <is>
          <t>부천지역</t>
        </is>
      </c>
      <c r="D4127" s="46" t="inlineStr">
        <is>
          <t>이이즈맥</t>
        </is>
      </c>
      <c r="E4127" s="46" t="n">
        <v>200</v>
      </c>
      <c r="F4127" s="46" t="inlineStr">
        <is>
          <t>역곡</t>
        </is>
      </c>
      <c r="G4127" s="50" t="n">
        <v>0.5416666666666666</v>
      </c>
      <c r="H4127" s="51" t="n">
        <v>456720</v>
      </c>
      <c r="I4127" s="46" t="n"/>
      <c r="K4127" s="46" t="n">
        <v>4126</v>
      </c>
      <c r="L4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8">
      <c r="A4128" s="229" t="n">
        <v>46324</v>
      </c>
      <c r="B4128" s="46" t="inlineStr">
        <is>
          <t>정기검사</t>
        </is>
      </c>
      <c r="C4128" s="46" t="inlineStr">
        <is>
          <t>부천지역</t>
        </is>
      </c>
      <c r="D4128" s="46" t="inlineStr">
        <is>
          <t>아트</t>
        </is>
      </c>
      <c r="E4128" s="46" t="n">
        <v>200</v>
      </c>
      <c r="F4128" s="46" t="inlineStr">
        <is>
          <t>역곡</t>
        </is>
      </c>
      <c r="G4128" s="50" t="n">
        <v>0.4166666666666667</v>
      </c>
      <c r="H4128" s="51" t="n">
        <v>456720</v>
      </c>
      <c r="I4128" s="46" t="n"/>
      <c r="K4128" s="46" t="n">
        <v>4127</v>
      </c>
      <c r="L4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9">
      <c r="A4129" s="229" t="n">
        <v>46324</v>
      </c>
      <c r="B4129" s="46" t="inlineStr">
        <is>
          <t>정기검사</t>
        </is>
      </c>
      <c r="C4129" s="46" t="inlineStr">
        <is>
          <t>부천지역</t>
        </is>
      </c>
      <c r="D4129" s="46" t="inlineStr">
        <is>
          <t>부천사랑병원</t>
        </is>
      </c>
      <c r="E4129" s="46" t="inlineStr">
        <is>
          <t>500/145</t>
        </is>
      </c>
      <c r="F4129" s="46" t="inlineStr">
        <is>
          <t>심곡동</t>
        </is>
      </c>
      <c r="G4129" s="50" t="inlineStr">
        <is>
          <t>무정전</t>
        </is>
      </c>
      <c r="H4129" s="51" t="n">
        <v>916520</v>
      </c>
      <c r="I4129" s="46" t="n"/>
      <c r="K4129" s="46" t="n">
        <v>4128</v>
      </c>
      <c r="L4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0">
      <c r="A4130" s="229" t="n">
        <v>46324</v>
      </c>
      <c r="B4130" s="46" t="inlineStr">
        <is>
          <t>정기검사</t>
        </is>
      </c>
      <c r="C4130" s="46" t="inlineStr">
        <is>
          <t>김포지역</t>
        </is>
      </c>
      <c r="D4130" s="46" t="inlineStr">
        <is>
          <t>고촌레코파크</t>
        </is>
      </c>
      <c r="E4130" s="46" t="n">
        <v>1800</v>
      </c>
      <c r="F4130" s="46" t="inlineStr">
        <is>
          <t>신곡리</t>
        </is>
      </c>
      <c r="G4130" s="50" t="n">
        <v>0.25</v>
      </c>
      <c r="H4130" s="51" t="n">
        <v>1386000</v>
      </c>
      <c r="I4130" s="46" t="n"/>
      <c r="K4130" s="46" t="n">
        <v>4129</v>
      </c>
      <c r="L4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1">
      <c r="A4131" s="229" t="n">
        <v>46324</v>
      </c>
      <c r="B4131" s="46" t="inlineStr">
        <is>
          <t>정기검사</t>
        </is>
      </c>
      <c r="C4131" s="46" t="inlineStr">
        <is>
          <t>김포지역</t>
        </is>
      </c>
      <c r="D4131" s="46" t="inlineStr">
        <is>
          <t>우창엠피</t>
        </is>
      </c>
      <c r="E4131" s="46" t="n">
        <v>290</v>
      </c>
      <c r="F4131" s="46" t="inlineStr">
        <is>
          <t>북변동</t>
        </is>
      </c>
      <c r="G4131" s="50" t="n">
        <v>0.4791666666666667</v>
      </c>
      <c r="H4131" s="51" t="n">
        <v>515130</v>
      </c>
      <c r="I4131" s="46" t="n"/>
      <c r="K4131" s="46" t="n">
        <v>4130</v>
      </c>
      <c r="L4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2">
      <c r="A4132" s="229" t="n">
        <v>46324</v>
      </c>
      <c r="B4132" s="46" t="inlineStr">
        <is>
          <t>정기검사</t>
        </is>
      </c>
      <c r="C4132" s="46" t="inlineStr">
        <is>
          <t>김포지역</t>
        </is>
      </c>
      <c r="D4132" s="46" t="inlineStr">
        <is>
          <t>영신기업사</t>
        </is>
      </c>
      <c r="E4132" s="46" t="n">
        <v>250</v>
      </c>
      <c r="F4132" s="46" t="inlineStr">
        <is>
          <t>율생리</t>
        </is>
      </c>
      <c r="G4132" s="50" t="n">
        <v>0.4166666666666667</v>
      </c>
      <c r="H4132" s="51" t="n">
        <v>489170</v>
      </c>
      <c r="I4132" s="46" t="n"/>
      <c r="K4132" s="46" t="n">
        <v>4131</v>
      </c>
      <c r="L4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3">
      <c r="A4133" s="229" t="n">
        <v>46324</v>
      </c>
      <c r="B4133" s="46" t="inlineStr">
        <is>
          <t>정기검사</t>
        </is>
      </c>
      <c r="C4133" s="46" t="inlineStr">
        <is>
          <t>김포지역</t>
        </is>
      </c>
      <c r="D4133" s="46" t="inlineStr">
        <is>
          <t>영신기업사</t>
        </is>
      </c>
      <c r="E4133" s="46" t="n">
        <v>150</v>
      </c>
      <c r="F4133" s="46" t="inlineStr">
        <is>
          <t>율생리</t>
        </is>
      </c>
      <c r="G4133" s="50" t="n">
        <v>0.4375</v>
      </c>
      <c r="H4133" s="51" t="n">
        <v>424160</v>
      </c>
      <c r="I4133" s="46" t="n"/>
      <c r="K4133" s="46" t="n">
        <v>4132</v>
      </c>
      <c r="L4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4">
      <c r="A4134" s="229" t="n">
        <v>46324</v>
      </c>
      <c r="B4134" s="46" t="inlineStr">
        <is>
          <t>정기검사</t>
        </is>
      </c>
      <c r="C4134" s="46" t="inlineStr">
        <is>
          <t>김포지역</t>
        </is>
      </c>
      <c r="D4134" s="46" t="inlineStr">
        <is>
          <t>바이하츠</t>
        </is>
      </c>
      <c r="E4134" s="46" t="n">
        <v>275</v>
      </c>
      <c r="F4134" s="46" t="inlineStr">
        <is>
          <t>가현리</t>
        </is>
      </c>
      <c r="G4134" s="50" t="n">
        <v>0.5138888888888888</v>
      </c>
      <c r="H4134" s="51" t="n">
        <v>505450</v>
      </c>
      <c r="I4134" s="46" t="n"/>
      <c r="K4134" s="46" t="n">
        <v>4133</v>
      </c>
      <c r="L4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5">
      <c r="A4135" s="229" t="n">
        <v>46324</v>
      </c>
      <c r="B4135" s="46" t="inlineStr">
        <is>
          <t>정기검사</t>
        </is>
      </c>
      <c r="C4135" s="46" t="inlineStr">
        <is>
          <t>김포지역</t>
        </is>
      </c>
      <c r="D4135" s="46" t="inlineStr">
        <is>
          <t>성창기계</t>
        </is>
      </c>
      <c r="E4135" s="46" t="n">
        <v>84</v>
      </c>
      <c r="F4135" s="46" t="inlineStr">
        <is>
          <t>학운리</t>
        </is>
      </c>
      <c r="G4135" s="50" t="n">
        <v>0.5833333333333334</v>
      </c>
      <c r="H4135" s="51" t="n">
        <v>239800</v>
      </c>
      <c r="I4135" s="46" t="n"/>
      <c r="K4135" s="46" t="n">
        <v>4134</v>
      </c>
      <c r="L4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6">
      <c r="A4136" s="229" t="n">
        <v>46324</v>
      </c>
      <c r="B4136" s="46" t="inlineStr">
        <is>
          <t>정기검사</t>
        </is>
      </c>
      <c r="C4136" s="46" t="inlineStr">
        <is>
          <t>김포지역</t>
        </is>
      </c>
      <c r="D4136" s="46" t="inlineStr">
        <is>
          <t>휘담에디의료재단</t>
        </is>
      </c>
      <c r="E4136" s="46" t="inlineStr">
        <is>
          <t>300/115</t>
        </is>
      </c>
      <c r="F4136" s="46" t="inlineStr">
        <is>
          <t>마곡리</t>
        </is>
      </c>
      <c r="G4136" s="50" t="n">
        <v>0.5</v>
      </c>
      <c r="H4136" s="51" t="n">
        <v>689040</v>
      </c>
      <c r="I4136" s="46" t="n"/>
      <c r="K4136" s="46" t="n">
        <v>4135</v>
      </c>
      <c r="L4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7">
      <c r="A4137" s="229" t="n">
        <v>46324</v>
      </c>
      <c r="B4137" s="46" t="inlineStr">
        <is>
          <t>메모</t>
        </is>
      </c>
      <c r="C4137" s="46" t="inlineStr">
        <is>
          <t>부천지역</t>
        </is>
      </c>
      <c r="D4137" s="46" t="inlineStr">
        <is>
          <t>정신배건강</t>
        </is>
      </c>
      <c r="E4137" s="46" t="n"/>
      <c r="F4137" s="46" t="n"/>
      <c r="G4137" s="50" t="n"/>
      <c r="H4137" s="51" t="n"/>
      <c r="I4137" s="46" t="n"/>
      <c r="K4137" s="46" t="n">
        <v>4136</v>
      </c>
      <c r="L4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8">
      <c r="A4138" s="229" t="n">
        <v>46324</v>
      </c>
      <c r="B4138" s="46" t="inlineStr">
        <is>
          <t>메모</t>
        </is>
      </c>
      <c r="C4138" s="46" t="inlineStr">
        <is>
          <t>부천지역</t>
        </is>
      </c>
      <c r="D4138" s="46" t="inlineStr">
        <is>
          <t>변종국휴가</t>
        </is>
      </c>
      <c r="E4138" s="46" t="n"/>
      <c r="F4138" s="46" t="n"/>
      <c r="G4138" s="50" t="n"/>
      <c r="H4138" s="51" t="n"/>
      <c r="I4138" s="46" t="n"/>
      <c r="K4138" s="46" t="n">
        <v>4137</v>
      </c>
      <c r="L4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9">
      <c r="A4139" s="229" t="n">
        <v>46325</v>
      </c>
      <c r="B4139" s="46" t="inlineStr">
        <is>
          <t>정기검사</t>
        </is>
      </c>
      <c r="C4139" s="46" t="inlineStr">
        <is>
          <t>부천지역</t>
        </is>
      </c>
      <c r="D4139" s="46" t="inlineStr">
        <is>
          <t>크리스탈빌딩</t>
        </is>
      </c>
      <c r="E4139" s="46" t="inlineStr">
        <is>
          <t>500/170</t>
        </is>
      </c>
      <c r="F4139" s="46" t="inlineStr">
        <is>
          <t>중동</t>
        </is>
      </c>
      <c r="G4139" s="50" t="n">
        <v>0.2708333333333333</v>
      </c>
      <c r="H4139" s="51" t="n">
        <v>1201090</v>
      </c>
      <c r="I4139" s="46" t="n"/>
      <c r="K4139" s="46" t="n">
        <v>4138</v>
      </c>
      <c r="L4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0">
      <c r="A4140" s="229" t="n">
        <v>46325</v>
      </c>
      <c r="B4140" s="46" t="inlineStr">
        <is>
          <t>정기검사</t>
        </is>
      </c>
      <c r="C4140" s="46" t="inlineStr">
        <is>
          <t>부천지역</t>
        </is>
      </c>
      <c r="D4140" s="46" t="inlineStr">
        <is>
          <t>창전사</t>
        </is>
      </c>
      <c r="E4140" s="46" t="n">
        <v>800</v>
      </c>
      <c r="F4140" s="46" t="inlineStr">
        <is>
          <t>원미동</t>
        </is>
      </c>
      <c r="G4140" s="50" t="n">
        <v>0.5</v>
      </c>
      <c r="H4140" s="51" t="n">
        <v>838640</v>
      </c>
      <c r="I4140" s="46" t="n"/>
      <c r="K4140" s="46" t="n">
        <v>4139</v>
      </c>
      <c r="L4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1">
      <c r="A4141" s="229" t="n">
        <v>46325</v>
      </c>
      <c r="B4141" s="46" t="inlineStr">
        <is>
          <t>정기검사</t>
        </is>
      </c>
      <c r="C4141" s="46" t="inlineStr">
        <is>
          <t>부천지역</t>
        </is>
      </c>
      <c r="D4141" s="46" t="inlineStr">
        <is>
          <t>제일프라자</t>
        </is>
      </c>
      <c r="E4141" s="46" t="inlineStr">
        <is>
          <t>600/105</t>
        </is>
      </c>
      <c r="F4141" s="46" t="inlineStr">
        <is>
          <t>중동</t>
        </is>
      </c>
      <c r="G4141" s="50" t="n">
        <v>0.25</v>
      </c>
      <c r="H4141" s="51" t="n">
        <v>1220120</v>
      </c>
      <c r="I4141" s="46" t="n"/>
      <c r="K4141" s="46" t="n">
        <v>4140</v>
      </c>
      <c r="L4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2">
      <c r="A4142" s="229" t="n">
        <v>46325</v>
      </c>
      <c r="B4142" s="46" t="inlineStr">
        <is>
          <t>정기검사</t>
        </is>
      </c>
      <c r="C4142" s="46" t="inlineStr">
        <is>
          <t>부천지역</t>
        </is>
      </c>
      <c r="D4142" s="46" t="inlineStr">
        <is>
          <t>한유에너지</t>
        </is>
      </c>
      <c r="E4142" s="46" t="n">
        <v>36</v>
      </c>
      <c r="F4142" s="46" t="inlineStr">
        <is>
          <t>역곡</t>
        </is>
      </c>
      <c r="G4142" s="50" t="n">
        <v>0.625</v>
      </c>
      <c r="H4142" s="51" t="n">
        <v>147180</v>
      </c>
      <c r="I4142" s="46" t="n"/>
      <c r="K4142" s="46" t="n">
        <v>4141</v>
      </c>
      <c r="L4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3">
      <c r="A4143" s="229" t="n">
        <v>46325</v>
      </c>
      <c r="B4143" s="46" t="inlineStr">
        <is>
          <t>정기검사</t>
        </is>
      </c>
      <c r="C4143" s="46" t="inlineStr">
        <is>
          <t>부천지역</t>
        </is>
      </c>
      <c r="D4143" s="46" t="inlineStr">
        <is>
          <t>부명중</t>
        </is>
      </c>
      <c r="E4143" s="46" t="n">
        <v>400</v>
      </c>
      <c r="F4143" s="46" t="inlineStr">
        <is>
          <t>중동</t>
        </is>
      </c>
      <c r="G4143" s="50" t="n">
        <v>0.6527777777777778</v>
      </c>
      <c r="H4143" s="51" t="n">
        <v>703120</v>
      </c>
      <c r="I4143" s="46" t="n"/>
      <c r="K4143" s="46" t="n">
        <v>4142</v>
      </c>
      <c r="L4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4">
      <c r="A4144" s="229" t="n">
        <v>46325</v>
      </c>
      <c r="B4144" s="46" t="inlineStr">
        <is>
          <t>정기검사</t>
        </is>
      </c>
      <c r="C4144" s="46" t="inlineStr">
        <is>
          <t>김포지역</t>
        </is>
      </c>
      <c r="D4144" s="46" t="inlineStr">
        <is>
          <t>남영저눅</t>
        </is>
      </c>
      <c r="E4144" s="46" t="n">
        <v>950</v>
      </c>
      <c r="F4144" s="46" t="inlineStr">
        <is>
          <t>풍무동</t>
        </is>
      </c>
      <c r="G4144" s="50" t="n">
        <v>0.3958333333333333</v>
      </c>
      <c r="H4144" s="51" t="n">
        <v>889460</v>
      </c>
      <c r="I4144" s="46" t="n"/>
      <c r="K4144" s="46" t="n">
        <v>4143</v>
      </c>
      <c r="L4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5">
      <c r="A4145" s="229" t="n">
        <v>46325</v>
      </c>
      <c r="B4145" s="46" t="inlineStr">
        <is>
          <t>정기검사</t>
        </is>
      </c>
      <c r="C4145" s="46" t="inlineStr">
        <is>
          <t>김포지역</t>
        </is>
      </c>
      <c r="D4145" s="46" t="inlineStr">
        <is>
          <t>한성엠텍</t>
        </is>
      </c>
      <c r="E4145" s="46" t="n">
        <v>250</v>
      </c>
      <c r="F4145" s="46" t="inlineStr">
        <is>
          <t>학운리</t>
        </is>
      </c>
      <c r="G4145" s="50" t="n">
        <v>0.4791666666666667</v>
      </c>
      <c r="H4145" s="51" t="n">
        <v>489170</v>
      </c>
      <c r="I4145" s="46" t="n"/>
      <c r="K4145" s="46" t="n">
        <v>4144</v>
      </c>
      <c r="L4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6">
      <c r="A4146" s="229" t="n">
        <v>46325</v>
      </c>
      <c r="B4146" s="46" t="inlineStr">
        <is>
          <t>정기검사</t>
        </is>
      </c>
      <c r="C4146" s="46" t="inlineStr">
        <is>
          <t>김포지역</t>
        </is>
      </c>
      <c r="D4146" s="46" t="inlineStr">
        <is>
          <t>코리아바큠테크</t>
        </is>
      </c>
      <c r="E4146" s="46" t="n">
        <v>200</v>
      </c>
      <c r="F4146" s="46" t="inlineStr">
        <is>
          <t>고양리</t>
        </is>
      </c>
      <c r="G4146" s="50" t="n">
        <v>0.4791666666666667</v>
      </c>
      <c r="H4146" s="51" t="n">
        <v>456720</v>
      </c>
      <c r="I4146" s="46" t="n"/>
      <c r="K4146" s="46" t="n">
        <v>4145</v>
      </c>
      <c r="L4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7">
      <c r="A4147" s="229" t="n">
        <v>46325</v>
      </c>
      <c r="B4147" s="46" t="inlineStr">
        <is>
          <t>정기검사</t>
        </is>
      </c>
      <c r="C4147" s="46" t="inlineStr">
        <is>
          <t>김포지역</t>
        </is>
      </c>
      <c r="D4147" s="46" t="inlineStr">
        <is>
          <t>마송lh5단지</t>
        </is>
      </c>
      <c r="E4147" s="46" t="inlineStr">
        <is>
          <t>전기차</t>
        </is>
      </c>
      <c r="F4147" s="46" t="inlineStr">
        <is>
          <t>마송리</t>
        </is>
      </c>
      <c r="G4147" s="50" t="n">
        <v>0.5833333333333334</v>
      </c>
      <c r="H4147" s="51" t="n">
        <v>64240</v>
      </c>
      <c r="I4147" s="46" t="n"/>
      <c r="K4147" s="46" t="n">
        <v>4146</v>
      </c>
      <c r="L4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8">
      <c r="A4148" s="229" t="n">
        <v>46325</v>
      </c>
      <c r="B4148" s="46" t="inlineStr">
        <is>
          <t>정기검사</t>
        </is>
      </c>
      <c r="C4148" s="46" t="inlineStr">
        <is>
          <t>김포지역</t>
        </is>
      </c>
      <c r="D4148" s="46" t="inlineStr">
        <is>
          <t>정현메디피마</t>
        </is>
      </c>
      <c r="E4148" s="46" t="inlineStr">
        <is>
          <t>900/290</t>
        </is>
      </c>
      <c r="F4148" s="46" t="inlineStr">
        <is>
          <t>장기동</t>
        </is>
      </c>
      <c r="G4148" s="50" t="n">
        <v>0.2916666666666667</v>
      </c>
      <c r="H4148" s="51" t="n">
        <v>1423400</v>
      </c>
      <c r="I4148" s="46" t="n"/>
      <c r="K4148" s="46" t="n">
        <v>4147</v>
      </c>
      <c r="L4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9">
      <c r="A4149" s="229" t="n">
        <v>46325</v>
      </c>
      <c r="B4149" s="46" t="inlineStr">
        <is>
          <t>메모</t>
        </is>
      </c>
      <c r="C4149" s="46" t="inlineStr">
        <is>
          <t>부천지역</t>
        </is>
      </c>
      <c r="D4149" s="46" t="inlineStr">
        <is>
          <t>변종국휴가</t>
        </is>
      </c>
      <c r="E4149" s="46" t="n"/>
      <c r="F4149" s="46" t="n"/>
      <c r="G4149" s="50" t="n"/>
      <c r="H4149" s="51" t="n"/>
      <c r="I4149" s="46" t="n"/>
      <c r="K4149" s="46" t="n">
        <v>4148</v>
      </c>
      <c r="L4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0">
      <c r="A4150" s="229" t="n">
        <v>46326</v>
      </c>
      <c r="B4150" s="46" t="inlineStr">
        <is>
          <t>정기검사</t>
        </is>
      </c>
      <c r="C4150" s="46" t="inlineStr">
        <is>
          <t>부천지역</t>
        </is>
      </c>
      <c r="D4150" s="46" t="inlineStr">
        <is>
          <t>대인의료재단</t>
        </is>
      </c>
      <c r="E4150" s="46" t="inlineStr">
        <is>
          <t>907/360</t>
        </is>
      </c>
      <c r="F4150" s="46" t="inlineStr">
        <is>
          <t>중동</t>
        </is>
      </c>
      <c r="G4150" s="50" t="n">
        <v>0.5833333333333334</v>
      </c>
      <c r="H4150" s="51" t="n">
        <v>1513050</v>
      </c>
      <c r="I4150" s="46" t="n"/>
      <c r="K4150" s="46" t="n">
        <v>4149</v>
      </c>
      <c r="L4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1">
      <c r="A4151" s="229" t="n">
        <v>46326</v>
      </c>
      <c r="B4151" s="46" t="inlineStr">
        <is>
          <t>정기검사</t>
        </is>
      </c>
      <c r="C4151" s="46" t="inlineStr">
        <is>
          <t>부천지역</t>
        </is>
      </c>
      <c r="D4151" s="46" t="inlineStr">
        <is>
          <t>민성정밀</t>
        </is>
      </c>
      <c r="E4151" s="46" t="n">
        <v>900</v>
      </c>
      <c r="F4151" s="46" t="inlineStr">
        <is>
          <t>오정동</t>
        </is>
      </c>
      <c r="G4151" s="50" t="n">
        <v>0.4375</v>
      </c>
      <c r="H4151" s="51" t="n">
        <v>1134210</v>
      </c>
      <c r="I4151" s="46" t="n"/>
      <c r="K4151" s="46" t="n">
        <v>4150</v>
      </c>
      <c r="L4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2">
      <c r="A4152" s="229" t="n">
        <v>46326</v>
      </c>
      <c r="B4152" s="46" t="inlineStr">
        <is>
          <t>정기검사</t>
        </is>
      </c>
      <c r="C4152" s="46" t="inlineStr">
        <is>
          <t>김포지역</t>
        </is>
      </c>
      <c r="D4152" s="46" t="inlineStr">
        <is>
          <t>나노인더스</t>
        </is>
      </c>
      <c r="E4152" s="46" t="n">
        <v>1900</v>
      </c>
      <c r="F4152" s="46" t="inlineStr">
        <is>
          <t>고정리</t>
        </is>
      </c>
      <c r="G4152" s="50" t="n">
        <v>0.3958333333333333</v>
      </c>
      <c r="H4152" s="51" t="n">
        <v>1349480</v>
      </c>
      <c r="I4152" s="46" t="n"/>
      <c r="K4152" s="46" t="n">
        <v>4151</v>
      </c>
      <c r="L4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3">
      <c r="A4153" s="229" t="n">
        <v>46326</v>
      </c>
      <c r="B4153" s="46" t="inlineStr">
        <is>
          <t>정기검사</t>
        </is>
      </c>
      <c r="C4153" s="46" t="inlineStr">
        <is>
          <t>김포지역</t>
        </is>
      </c>
      <c r="D4153" s="46" t="inlineStr">
        <is>
          <t>케이에스엠컴</t>
        </is>
      </c>
      <c r="E4153" s="46" t="inlineStr">
        <is>
          <t>995/170</t>
        </is>
      </c>
      <c r="F4153" s="46" t="inlineStr">
        <is>
          <t>원산리</t>
        </is>
      </c>
      <c r="G4153" s="50" t="n">
        <v>0.3958333333333333</v>
      </c>
      <c r="H4153" s="51" t="n">
        <v>1422960</v>
      </c>
      <c r="I4153" s="46" t="n"/>
      <c r="K4153" s="46" t="n">
        <v>4152</v>
      </c>
      <c r="L4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4">
      <c r="A4154" s="229" t="n">
        <v>46326</v>
      </c>
      <c r="B4154" s="46" t="inlineStr">
        <is>
          <t>사용전검사</t>
        </is>
      </c>
      <c r="C4154" s="46" t="inlineStr">
        <is>
          <t>부천지역</t>
        </is>
      </c>
      <c r="D4154" s="46" t="inlineStr">
        <is>
          <t>경진실업</t>
        </is>
      </c>
      <c r="E4154" s="46" t="inlineStr">
        <is>
          <t>변변</t>
        </is>
      </c>
      <c r="F4154" s="46" t="inlineStr">
        <is>
          <t>원미동</t>
        </is>
      </c>
      <c r="G4154" s="50" t="n"/>
      <c r="H4154" s="51" t="n"/>
      <c r="I4154" s="46" t="n"/>
      <c r="K4154" s="46" t="n">
        <v>4153</v>
      </c>
      <c r="L4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5">
      <c r="A4155" s="229" t="n">
        <v>46326</v>
      </c>
      <c r="B4155" s="46" t="inlineStr">
        <is>
          <t>메모</t>
        </is>
      </c>
      <c r="C4155" s="46" t="inlineStr">
        <is>
          <t>부천지역</t>
        </is>
      </c>
      <c r="D4155" s="46" t="inlineStr">
        <is>
          <t>이덕기휴가</t>
        </is>
      </c>
      <c r="E4155" s="46" t="n"/>
      <c r="F4155" s="46" t="n"/>
      <c r="G4155" s="50" t="n"/>
      <c r="H4155" s="51" t="n"/>
      <c r="I4155" s="46" t="n"/>
      <c r="K4155" s="46" t="n">
        <v>4154</v>
      </c>
      <c r="L4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6">
      <c r="A4156" s="229" t="n">
        <v>46326</v>
      </c>
      <c r="B4156" s="46" t="inlineStr">
        <is>
          <t>메모</t>
        </is>
      </c>
      <c r="C4156" s="46" t="inlineStr">
        <is>
          <t>부천지역</t>
        </is>
      </c>
      <c r="D4156" s="46" t="inlineStr">
        <is>
          <t>변종국휴가</t>
        </is>
      </c>
      <c r="E4156" s="46" t="n"/>
      <c r="F4156" s="46" t="n"/>
      <c r="G4156" s="50" t="n"/>
      <c r="H4156" s="51" t="n"/>
      <c r="I4156" s="46" t="n"/>
      <c r="K4156" s="46" t="n">
        <v>4155</v>
      </c>
      <c r="L4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7">
      <c r="A4157" s="229" t="n">
        <v>46327</v>
      </c>
      <c r="B4157" s="46" t="inlineStr">
        <is>
          <t>메모</t>
        </is>
      </c>
      <c r="C4157" s="46" t="inlineStr">
        <is>
          <t>부천지역</t>
        </is>
      </c>
      <c r="D4157" s="46" t="inlineStr">
        <is>
          <t>이덕기휴가</t>
        </is>
      </c>
      <c r="E4157" s="46" t="n"/>
      <c r="F4157" s="46" t="n"/>
      <c r="G4157" s="50" t="n"/>
      <c r="H4157" s="51" t="n"/>
      <c r="I4157" s="46" t="n"/>
      <c r="K4157" s="46" t="n">
        <v>4156</v>
      </c>
      <c r="L4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8">
      <c r="A4158" s="229" t="n">
        <v>46327</v>
      </c>
      <c r="B4158" s="46" t="inlineStr">
        <is>
          <t>메모</t>
        </is>
      </c>
      <c r="C4158" s="46" t="inlineStr">
        <is>
          <t>부천지역</t>
        </is>
      </c>
      <c r="D4158" s="46" t="inlineStr">
        <is>
          <t>변종국휴가</t>
        </is>
      </c>
      <c r="E4158" s="46" t="n"/>
      <c r="F4158" s="46" t="n"/>
      <c r="G4158" s="50" t="n"/>
      <c r="H4158" s="51" t="n"/>
      <c r="I4158" s="46" t="n"/>
      <c r="K4158" s="46" t="n">
        <v>4157</v>
      </c>
      <c r="L4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9">
      <c r="A4159" s="229" t="n">
        <v>46328</v>
      </c>
      <c r="B4159" s="46" t="inlineStr">
        <is>
          <t>정기검사</t>
        </is>
      </c>
      <c r="C4159" s="46" t="inlineStr">
        <is>
          <t>부천지역</t>
        </is>
      </c>
      <c r="D4159" s="46" t="inlineStr">
        <is>
          <t>삼성프라자</t>
        </is>
      </c>
      <c r="E4159" s="46" t="inlineStr">
        <is>
          <t>400/68</t>
        </is>
      </c>
      <c r="F4159" s="46" t="inlineStr">
        <is>
          <t>중동</t>
        </is>
      </c>
      <c r="G4159" s="50" t="n">
        <v>0.3958333333333333</v>
      </c>
      <c r="H4159" s="51" t="n">
        <v>859760</v>
      </c>
      <c r="I4159" s="46" t="n"/>
      <c r="K4159" s="46" t="n">
        <v>4158</v>
      </c>
      <c r="L4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0">
      <c r="A4160" s="229" t="n">
        <v>46328</v>
      </c>
      <c r="B4160" s="46" t="inlineStr">
        <is>
          <t>정기검사</t>
        </is>
      </c>
      <c r="C4160" s="46" t="inlineStr">
        <is>
          <t>김포지역</t>
        </is>
      </c>
      <c r="D4160" s="46" t="inlineStr">
        <is>
          <t>양지산업</t>
        </is>
      </c>
      <c r="E4160" s="46" t="n">
        <v>290</v>
      </c>
      <c r="F4160" s="46" t="inlineStr">
        <is>
          <t>갈산리</t>
        </is>
      </c>
      <c r="G4160" s="50" t="n">
        <v>0.4791666666666667</v>
      </c>
      <c r="H4160" s="51" t="n">
        <v>515130</v>
      </c>
      <c r="I4160" s="46" t="n"/>
      <c r="K4160" s="46" t="n">
        <v>4159</v>
      </c>
      <c r="L4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1">
      <c r="A4161" s="229" t="n">
        <v>46328</v>
      </c>
      <c r="B4161" s="46" t="inlineStr">
        <is>
          <t>정기검사</t>
        </is>
      </c>
      <c r="C4161" s="46" t="inlineStr">
        <is>
          <t>김포지역</t>
        </is>
      </c>
      <c r="D4161" s="46" t="inlineStr">
        <is>
          <t>아이땅</t>
        </is>
      </c>
      <c r="E4161" s="46" t="n">
        <v>290</v>
      </c>
      <c r="F4161" s="46" t="inlineStr">
        <is>
          <t>거물대리</t>
        </is>
      </c>
      <c r="G4161" s="50" t="n">
        <v>0.4791666666666667</v>
      </c>
      <c r="H4161" s="51" t="n">
        <v>352770</v>
      </c>
      <c r="I4161" s="46" t="n"/>
      <c r="K4161" s="46" t="n">
        <v>4160</v>
      </c>
      <c r="L4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2">
      <c r="A4162" s="229" t="n">
        <v>46328</v>
      </c>
      <c r="B4162" s="46" t="inlineStr">
        <is>
          <t>정기검사</t>
        </is>
      </c>
      <c r="C4162" s="46" t="inlineStr">
        <is>
          <t>김포지역</t>
        </is>
      </c>
      <c r="D4162" s="46" t="inlineStr">
        <is>
          <t>에이치비엠지티</t>
        </is>
      </c>
      <c r="E4162" s="46" t="n">
        <v>975</v>
      </c>
      <c r="F4162" s="46" t="inlineStr">
        <is>
          <t>학운리</t>
        </is>
      </c>
      <c r="G4162" s="50" t="n">
        <v>0.4166666666666667</v>
      </c>
      <c r="H4162" s="51" t="n">
        <v>897930</v>
      </c>
      <c r="I4162" s="46" t="n"/>
      <c r="K4162" s="46" t="n">
        <v>4161</v>
      </c>
      <c r="L4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3">
      <c r="A4163" s="229" t="n">
        <v>46328</v>
      </c>
      <c r="B4163" s="46" t="inlineStr">
        <is>
          <t>메모</t>
        </is>
      </c>
      <c r="C4163" s="46" t="inlineStr">
        <is>
          <t>부천지역</t>
        </is>
      </c>
      <c r="D4163" s="46" t="inlineStr">
        <is>
          <t>이덕기휴가</t>
        </is>
      </c>
      <c r="E4163" s="46" t="n"/>
      <c r="F4163" s="46" t="n"/>
      <c r="G4163" s="50" t="n"/>
      <c r="H4163" s="51" t="n"/>
      <c r="I4163" s="46" t="n"/>
      <c r="K4163" s="46" t="n">
        <v>4162</v>
      </c>
      <c r="L4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4">
      <c r="A4164" s="229" t="n">
        <v>46328</v>
      </c>
      <c r="B4164" s="46" t="inlineStr">
        <is>
          <t>메모</t>
        </is>
      </c>
      <c r="C4164" s="46" t="inlineStr">
        <is>
          <t>부천지역</t>
        </is>
      </c>
      <c r="D4164" s="46" t="inlineStr">
        <is>
          <t>변종국휴가</t>
        </is>
      </c>
      <c r="E4164" s="46" t="n"/>
      <c r="F4164" s="46" t="n"/>
      <c r="G4164" s="50" t="n"/>
      <c r="H4164" s="51" t="n"/>
      <c r="I4164" s="46" t="n"/>
      <c r="K4164" s="46" t="n">
        <v>4163</v>
      </c>
      <c r="L4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5">
      <c r="A4165" s="229" t="n">
        <v>46328</v>
      </c>
      <c r="B4165" s="46" t="inlineStr">
        <is>
          <t>사용전검사</t>
        </is>
      </c>
      <c r="C4165" s="46" t="inlineStr">
        <is>
          <t>김포지역</t>
        </is>
      </c>
      <c r="D4165" s="46" t="inlineStr">
        <is>
          <t>지에이치티코리아</t>
        </is>
      </c>
      <c r="E4165" s="46" t="n">
        <v>292</v>
      </c>
      <c r="F4165" s="46" t="inlineStr">
        <is>
          <t>학운리</t>
        </is>
      </c>
      <c r="G4165" s="50" t="n"/>
      <c r="H4165" s="51" t="n"/>
      <c r="I4165" s="46" t="n"/>
      <c r="K4165" s="46" t="n">
        <v>4164</v>
      </c>
      <c r="L4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6">
      <c r="A4166" s="229" t="n">
        <v>46329</v>
      </c>
      <c r="B4166" s="46" t="inlineStr">
        <is>
          <t>정기검사</t>
        </is>
      </c>
      <c r="C4166" s="46" t="inlineStr">
        <is>
          <t>부천지역</t>
        </is>
      </c>
      <c r="D4166" s="46" t="inlineStr">
        <is>
          <t>골드존차워</t>
        </is>
      </c>
      <c r="E4166" s="46" t="inlineStr">
        <is>
          <t>전기차</t>
        </is>
      </c>
      <c r="F4166" s="46" t="inlineStr">
        <is>
          <t>상동</t>
        </is>
      </c>
      <c r="G4166" s="50" t="n">
        <v>0.4166666666666667</v>
      </c>
      <c r="H4166" s="51" t="n">
        <v>55770</v>
      </c>
      <c r="I4166" s="46" t="n"/>
      <c r="K4166" s="46" t="n">
        <v>4165</v>
      </c>
      <c r="L4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7">
      <c r="A4167" s="229" t="n">
        <v>46329</v>
      </c>
      <c r="B4167" s="46" t="inlineStr">
        <is>
          <t>정기검사</t>
        </is>
      </c>
      <c r="C4167" s="46" t="inlineStr">
        <is>
          <t>김포지역</t>
        </is>
      </c>
      <c r="D4167" s="46" t="inlineStr">
        <is>
          <t>킹콩아트팩</t>
        </is>
      </c>
      <c r="E4167" s="46" t="n">
        <v>295</v>
      </c>
      <c r="F4167" s="46" t="inlineStr">
        <is>
          <t>대명리</t>
        </is>
      </c>
      <c r="G4167" s="50" t="n">
        <v>0.5</v>
      </c>
      <c r="H4167" s="51" t="n">
        <v>518430</v>
      </c>
      <c r="I4167" s="46" t="n"/>
      <c r="K4167" s="46" t="n">
        <v>4166</v>
      </c>
      <c r="L4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8">
      <c r="A4168" s="229" t="n">
        <v>46329</v>
      </c>
      <c r="B4168" s="46" t="inlineStr">
        <is>
          <t>정기검사</t>
        </is>
      </c>
      <c r="C4168" s="46" t="inlineStr">
        <is>
          <t>김포지역</t>
        </is>
      </c>
      <c r="D4168" s="46" t="inlineStr">
        <is>
          <t>창원알텍</t>
        </is>
      </c>
      <c r="E4168" s="46" t="n">
        <v>800</v>
      </c>
      <c r="F4168" s="46" t="inlineStr">
        <is>
          <t>송마리</t>
        </is>
      </c>
      <c r="G4168" s="50" t="n">
        <v>0.5</v>
      </c>
      <c r="H4168" s="51" t="n">
        <v>838640</v>
      </c>
      <c r="I4168" s="46" t="n"/>
      <c r="K4168" s="46" t="n">
        <v>4167</v>
      </c>
      <c r="L4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9">
      <c r="A4169" s="229" t="n">
        <v>46329</v>
      </c>
      <c r="B4169" s="46" t="inlineStr">
        <is>
          <t>정기검사</t>
        </is>
      </c>
      <c r="C4169" s="46" t="inlineStr">
        <is>
          <t>김포지역</t>
        </is>
      </c>
      <c r="D4169" s="46" t="inlineStr">
        <is>
          <t>엘비스96</t>
        </is>
      </c>
      <c r="E4169" s="46" t="inlineStr">
        <is>
          <t>전기차</t>
        </is>
      </c>
      <c r="F4169" s="46" t="inlineStr">
        <is>
          <t>양곡리</t>
        </is>
      </c>
      <c r="G4169" s="50" t="n">
        <v>0.5833333333333334</v>
      </c>
      <c r="H4169" s="51" t="n">
        <v>55770</v>
      </c>
      <c r="I4169" s="46" t="n"/>
      <c r="K4169" s="46" t="n">
        <v>4168</v>
      </c>
      <c r="L4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0">
      <c r="A4170" s="229" t="n">
        <v>46329</v>
      </c>
      <c r="B4170" s="46" t="inlineStr">
        <is>
          <t>메모</t>
        </is>
      </c>
      <c r="C4170" s="46" t="inlineStr">
        <is>
          <t>부천지역</t>
        </is>
      </c>
      <c r="D4170" s="46" t="inlineStr">
        <is>
          <t>이덕기휴가</t>
        </is>
      </c>
      <c r="E4170" s="46" t="n"/>
      <c r="F4170" s="46" t="n"/>
      <c r="G4170" s="50" t="n"/>
      <c r="H4170" s="51" t="n"/>
      <c r="I4170" s="46" t="n"/>
      <c r="K4170" s="46" t="n">
        <v>4169</v>
      </c>
      <c r="L4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1">
      <c r="A4171" s="229" t="n">
        <v>46329</v>
      </c>
      <c r="B4171" s="46" t="inlineStr">
        <is>
          <t>메모</t>
        </is>
      </c>
      <c r="C4171" s="46" t="inlineStr">
        <is>
          <t>부천지역</t>
        </is>
      </c>
      <c r="D4171" s="46" t="inlineStr">
        <is>
          <t>변종국휴가</t>
        </is>
      </c>
      <c r="E4171" s="46" t="n"/>
      <c r="F4171" s="46" t="n"/>
      <c r="G4171" s="50" t="n"/>
      <c r="H4171" s="51" t="n"/>
      <c r="I4171" s="46" t="n"/>
      <c r="K4171" s="46" t="n">
        <v>4170</v>
      </c>
      <c r="L4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2">
      <c r="A4172" s="229" t="n">
        <v>46330</v>
      </c>
      <c r="B4172" s="46" t="inlineStr">
        <is>
          <t>정기검사</t>
        </is>
      </c>
      <c r="C4172" s="46" t="inlineStr">
        <is>
          <t>부천지역</t>
        </is>
      </c>
      <c r="D4172" s="46" t="inlineStr">
        <is>
          <t>휴맥스이브이</t>
        </is>
      </c>
      <c r="E4172" s="46" t="inlineStr">
        <is>
          <t>전기차</t>
        </is>
      </c>
      <c r="F4172" s="46" t="inlineStr">
        <is>
          <t>내동</t>
        </is>
      </c>
      <c r="G4172" s="50" t="n">
        <v>0.4166666666666667</v>
      </c>
      <c r="H4172" s="51" t="n">
        <v>81180</v>
      </c>
      <c r="I4172" s="46" t="n"/>
      <c r="K4172" s="46" t="n">
        <v>4171</v>
      </c>
      <c r="L4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3">
      <c r="A4173" s="229" t="n">
        <v>46330</v>
      </c>
      <c r="B4173" s="46" t="inlineStr">
        <is>
          <t>정기검사</t>
        </is>
      </c>
      <c r="C4173" s="46" t="inlineStr">
        <is>
          <t>부천지역</t>
        </is>
      </c>
      <c r="D4173" s="46" t="inlineStr">
        <is>
          <t>이스트타워</t>
        </is>
      </c>
      <c r="E4173" s="46" t="inlineStr">
        <is>
          <t>600/159</t>
        </is>
      </c>
      <c r="F4173" s="46" t="inlineStr">
        <is>
          <t>중동</t>
        </is>
      </c>
      <c r="G4173" s="50" t="n">
        <v>0.5416666666666666</v>
      </c>
      <c r="H4173" s="51" t="n">
        <v>954470</v>
      </c>
      <c r="I4173" s="46" t="n"/>
      <c r="K4173" s="46" t="n">
        <v>4172</v>
      </c>
      <c r="L4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4">
      <c r="A4174" s="229" t="n">
        <v>46330</v>
      </c>
      <c r="B4174" s="46" t="inlineStr">
        <is>
          <t>정기검사</t>
        </is>
      </c>
      <c r="C4174" s="46" t="inlineStr">
        <is>
          <t>부천지역</t>
        </is>
      </c>
      <c r="D4174" s="46" t="inlineStr">
        <is>
          <t>디에이치</t>
        </is>
      </c>
      <c r="E4174" s="46" t="n">
        <v>225</v>
      </c>
      <c r="F4174" s="46" t="inlineStr">
        <is>
          <t>심곡동</t>
        </is>
      </c>
      <c r="G4174" s="50" t="n">
        <v>0.3958333333333333</v>
      </c>
      <c r="H4174" s="51" t="n">
        <v>472890</v>
      </c>
      <c r="I4174" s="46" t="n"/>
      <c r="K4174" s="46" t="n">
        <v>4173</v>
      </c>
      <c r="L4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5">
      <c r="A4175" s="229" t="n">
        <v>46330</v>
      </c>
      <c r="B4175" s="46" t="inlineStr">
        <is>
          <t>정기검사</t>
        </is>
      </c>
      <c r="C4175" s="46" t="inlineStr">
        <is>
          <t>김포지역</t>
        </is>
      </c>
      <c r="D4175" s="46" t="inlineStr">
        <is>
          <t>포트빌</t>
        </is>
      </c>
      <c r="E4175" s="46" t="n">
        <v>290</v>
      </c>
      <c r="F4175" s="46" t="inlineStr">
        <is>
          <t>고촌</t>
        </is>
      </c>
      <c r="G4175" s="50" t="n">
        <v>0.5416666666666666</v>
      </c>
      <c r="H4175" s="51" t="n">
        <v>515130</v>
      </c>
      <c r="I4175" s="46" t="n"/>
      <c r="K4175" s="46" t="n">
        <v>4174</v>
      </c>
      <c r="L4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6">
      <c r="A4176" s="229" t="n">
        <v>46330</v>
      </c>
      <c r="B4176" s="46" t="inlineStr">
        <is>
          <t>정기검사</t>
        </is>
      </c>
      <c r="C4176" s="46" t="inlineStr">
        <is>
          <t>김포지역</t>
        </is>
      </c>
      <c r="D4176" s="46" t="inlineStr">
        <is>
          <t>코아센타</t>
        </is>
      </c>
      <c r="E4176" s="46" t="inlineStr">
        <is>
          <t>600/227</t>
        </is>
      </c>
      <c r="F4176" s="46" t="inlineStr">
        <is>
          <t>사우동</t>
        </is>
      </c>
      <c r="G4176" s="50" t="n">
        <v>0.2708333333333333</v>
      </c>
      <c r="H4176" s="51" t="n">
        <v>1266980</v>
      </c>
      <c r="I4176" s="46" t="n"/>
      <c r="K4176" s="46" t="n">
        <v>4175</v>
      </c>
      <c r="L4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7">
      <c r="A4177" s="229" t="n">
        <v>46330</v>
      </c>
      <c r="B4177" s="46" t="inlineStr">
        <is>
          <t>정기검사</t>
        </is>
      </c>
      <c r="C4177" s="46" t="inlineStr">
        <is>
          <t>김포지역</t>
        </is>
      </c>
      <c r="D4177" s="46" t="inlineStr">
        <is>
          <t>양촌펌프장</t>
        </is>
      </c>
      <c r="E4177" s="46" t="n">
        <v>800</v>
      </c>
      <c r="F4177" s="46" t="inlineStr">
        <is>
          <t>양곡리</t>
        </is>
      </c>
      <c r="G4177" s="50" t="n">
        <v>0.25</v>
      </c>
      <c r="H4177" s="51" t="n">
        <v>1145760</v>
      </c>
      <c r="I4177" s="46" t="n"/>
      <c r="K4177" s="46" t="n">
        <v>4176</v>
      </c>
      <c r="L4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8">
      <c r="A4178" s="229" t="n">
        <v>46330</v>
      </c>
      <c r="B4178" s="46" t="inlineStr">
        <is>
          <t>정기검사</t>
        </is>
      </c>
      <c r="C4178" s="46" t="inlineStr">
        <is>
          <t>김포지역</t>
        </is>
      </c>
      <c r="D4178" s="46" t="inlineStr">
        <is>
          <t>영풍아파트</t>
        </is>
      </c>
      <c r="E4178" s="46" t="inlineStr">
        <is>
          <t>950/400</t>
        </is>
      </c>
      <c r="F4178" s="46" t="inlineStr">
        <is>
          <t>북변동</t>
        </is>
      </c>
      <c r="G4178" s="50" t="n">
        <v>0.4166666666666667</v>
      </c>
      <c r="H4178" s="51" t="n">
        <v>1125190</v>
      </c>
      <c r="I4178" s="46" t="n"/>
      <c r="K4178" s="46" t="n">
        <v>4177</v>
      </c>
      <c r="L4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9">
      <c r="A4179" s="229" t="n">
        <v>46330</v>
      </c>
      <c r="B4179" s="46" t="inlineStr">
        <is>
          <t>정기검사</t>
        </is>
      </c>
      <c r="C4179" s="46" t="inlineStr">
        <is>
          <t>김포지역</t>
        </is>
      </c>
      <c r="D4179" s="46" t="inlineStr">
        <is>
          <t>한솔프라자</t>
        </is>
      </c>
      <c r="E4179" s="46" t="inlineStr">
        <is>
          <t>600/227</t>
        </is>
      </c>
      <c r="F4179" s="46" t="inlineStr">
        <is>
          <t>사우동</t>
        </is>
      </c>
      <c r="G4179" s="50" t="n">
        <v>0.2708333333333333</v>
      </c>
      <c r="H4179" s="51" t="n">
        <v>1266980</v>
      </c>
      <c r="I4179" s="46" t="n"/>
      <c r="K4179" s="46" t="n">
        <v>4178</v>
      </c>
      <c r="L4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0">
      <c r="A4180" s="229" t="n">
        <v>46330</v>
      </c>
      <c r="B4180" s="46" t="inlineStr">
        <is>
          <t>정기검사</t>
        </is>
      </c>
      <c r="C4180" s="46" t="inlineStr">
        <is>
          <t>김포지역</t>
        </is>
      </c>
      <c r="D4180" s="46" t="inlineStr">
        <is>
          <t>강변프라자</t>
        </is>
      </c>
      <c r="E4180" s="46" t="n">
        <v>300</v>
      </c>
      <c r="F4180" s="46" t="inlineStr">
        <is>
          <t>장기동</t>
        </is>
      </c>
      <c r="G4180" s="50" t="n">
        <v>0.3958333333333333</v>
      </c>
      <c r="H4180" s="51" t="n">
        <v>521730</v>
      </c>
      <c r="I4180" s="46" t="n"/>
      <c r="K4180" s="46" t="n">
        <v>4179</v>
      </c>
      <c r="L4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1">
      <c r="A4181" s="229" t="n">
        <v>46330</v>
      </c>
      <c r="B4181" s="46" t="inlineStr">
        <is>
          <t>정기검사</t>
        </is>
      </c>
      <c r="C4181" s="46" t="inlineStr">
        <is>
          <t>김포지역</t>
        </is>
      </c>
      <c r="D4181" s="46" t="inlineStr">
        <is>
          <t>영풍아파트</t>
        </is>
      </c>
      <c r="E4181" s="46" t="inlineStr">
        <is>
          <t>전기차</t>
        </is>
      </c>
      <c r="F4181" s="46" t="inlineStr">
        <is>
          <t>북변동</t>
        </is>
      </c>
      <c r="G4181" s="50" t="n">
        <v>0.4166666666666667</v>
      </c>
      <c r="H4181" s="51" t="n">
        <v>208230</v>
      </c>
      <c r="I4181" s="46" t="n"/>
      <c r="K4181" s="46" t="n">
        <v>4180</v>
      </c>
      <c r="L4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2">
      <c r="A4182" s="229" t="n">
        <v>46330</v>
      </c>
      <c r="B4182" s="46" t="inlineStr">
        <is>
          <t>정기검사</t>
        </is>
      </c>
      <c r="C4182" s="46" t="inlineStr">
        <is>
          <t>김포지역</t>
        </is>
      </c>
      <c r="D4182" s="46" t="inlineStr">
        <is>
          <t>탑테크</t>
        </is>
      </c>
      <c r="E4182" s="46" t="n">
        <v>250</v>
      </c>
      <c r="F4182" s="46" t="inlineStr">
        <is>
          <t>하사리</t>
        </is>
      </c>
      <c r="G4182" s="50" t="n">
        <v>0.5</v>
      </c>
      <c r="H4182" s="51" t="n">
        <v>489170</v>
      </c>
      <c r="I4182" s="46" t="n"/>
      <c r="K4182" s="46" t="n">
        <v>4181</v>
      </c>
      <c r="L4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3">
      <c r="A4183" s="229" t="n">
        <v>46330</v>
      </c>
      <c r="B4183" s="46" t="inlineStr">
        <is>
          <t>사용전검사</t>
        </is>
      </c>
      <c r="C4183" s="46" t="inlineStr">
        <is>
          <t>부천지역</t>
        </is>
      </c>
      <c r="D4183" s="46" t="inlineStr">
        <is>
          <t>금호</t>
        </is>
      </c>
      <c r="E4183" s="46" t="inlineStr">
        <is>
          <t>부분</t>
        </is>
      </c>
      <c r="F4183" s="46" t="n"/>
      <c r="G4183" s="50" t="n"/>
      <c r="H4183" s="51" t="n"/>
      <c r="I4183" s="46" t="inlineStr">
        <is>
          <t>정성관</t>
        </is>
      </c>
      <c r="K4183" s="46" t="n">
        <v>4182</v>
      </c>
      <c r="L4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4">
      <c r="A4184" s="229" t="n">
        <v>46330</v>
      </c>
      <c r="B4184" s="46" t="inlineStr">
        <is>
          <t>메모</t>
        </is>
      </c>
      <c r="C4184" s="46" t="inlineStr">
        <is>
          <t>부천지역</t>
        </is>
      </c>
      <c r="D4184" s="46" t="inlineStr">
        <is>
          <t>이덕기휴가</t>
        </is>
      </c>
      <c r="E4184" s="46" t="n"/>
      <c r="F4184" s="46" t="n"/>
      <c r="G4184" s="50" t="n"/>
      <c r="H4184" s="51" t="n"/>
      <c r="I4184" s="46" t="n"/>
      <c r="K4184" s="46" t="n">
        <v>4183</v>
      </c>
      <c r="L4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5">
      <c r="A4185" s="229" t="n">
        <v>46330</v>
      </c>
      <c r="B4185" s="46" t="inlineStr">
        <is>
          <t>메모</t>
        </is>
      </c>
      <c r="C4185" s="46" t="inlineStr">
        <is>
          <t>부천지역</t>
        </is>
      </c>
      <c r="D4185" s="46" t="inlineStr">
        <is>
          <t>변종국휴가</t>
        </is>
      </c>
      <c r="E4185" s="46" t="n"/>
      <c r="F4185" s="46" t="n"/>
      <c r="G4185" s="50" t="n"/>
      <c r="H4185" s="51" t="n"/>
      <c r="I4185" s="46" t="n"/>
      <c r="K4185" s="46" t="n">
        <v>4184</v>
      </c>
      <c r="L4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6">
      <c r="A4186" s="229" t="n">
        <v>46331</v>
      </c>
      <c r="B4186" s="46" t="inlineStr">
        <is>
          <t>정기검사</t>
        </is>
      </c>
      <c r="C4186" s="46" t="inlineStr">
        <is>
          <t>김포지역</t>
        </is>
      </c>
      <c r="D4186" s="46" t="inlineStr">
        <is>
          <t>일진산업</t>
        </is>
      </c>
      <c r="E4186" s="46" t="n">
        <v>200</v>
      </c>
      <c r="F4186" s="46" t="inlineStr">
        <is>
          <t>고정리</t>
        </is>
      </c>
      <c r="G4186" s="50" t="n">
        <v>0.4583333333333333</v>
      </c>
      <c r="H4186" s="51" t="n">
        <v>456720</v>
      </c>
      <c r="I4186" s="46" t="n"/>
      <c r="K4186" s="46" t="n">
        <v>4185</v>
      </c>
      <c r="L4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7">
      <c r="A4187" s="229" t="n">
        <v>46331</v>
      </c>
      <c r="B4187" s="46" t="inlineStr">
        <is>
          <t>정기검사</t>
        </is>
      </c>
      <c r="C4187" s="46" t="inlineStr">
        <is>
          <t>김포지역</t>
        </is>
      </c>
      <c r="D4187" s="46" t="inlineStr">
        <is>
          <t>써니농장</t>
        </is>
      </c>
      <c r="E4187" s="46" t="n">
        <v>73</v>
      </c>
      <c r="F4187" s="46" t="inlineStr">
        <is>
          <t>가현리</t>
        </is>
      </c>
      <c r="G4187" s="50" t="n">
        <v>0.4166666666666667</v>
      </c>
      <c r="H4187" s="51" t="n">
        <v>158180</v>
      </c>
      <c r="I4187" s="46" t="n"/>
      <c r="K4187" s="46" t="n">
        <v>4186</v>
      </c>
      <c r="L4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8">
      <c r="A4188" s="229" t="n">
        <v>46331</v>
      </c>
      <c r="B4188" s="46" t="inlineStr">
        <is>
          <t>정기검사</t>
        </is>
      </c>
      <c r="C4188" s="46" t="inlineStr">
        <is>
          <t>김포지역</t>
        </is>
      </c>
      <c r="D4188" s="46" t="inlineStr">
        <is>
          <t>스캔</t>
        </is>
      </c>
      <c r="E4188" s="46" t="n">
        <v>290</v>
      </c>
      <c r="F4188" s="46" t="inlineStr">
        <is>
          <t>고양리</t>
        </is>
      </c>
      <c r="G4188" s="50" t="n">
        <v>0.4791666666666667</v>
      </c>
      <c r="H4188" s="51" t="n">
        <v>515130</v>
      </c>
      <c r="I4188" s="46" t="n"/>
      <c r="K4188" s="46" t="n">
        <v>4187</v>
      </c>
      <c r="L4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9">
      <c r="A4189" s="229" t="n">
        <v>46331</v>
      </c>
      <c r="B4189" s="46" t="inlineStr">
        <is>
          <t>메모</t>
        </is>
      </c>
      <c r="C4189" s="46" t="inlineStr">
        <is>
          <t>부천지역</t>
        </is>
      </c>
      <c r="D4189" s="46" t="inlineStr">
        <is>
          <t>이덕기휴가</t>
        </is>
      </c>
      <c r="E4189" s="46" t="n"/>
      <c r="F4189" s="46" t="n"/>
      <c r="G4189" s="50" t="n"/>
      <c r="H4189" s="51" t="n"/>
      <c r="I4189" s="46" t="n"/>
      <c r="K4189" s="46" t="n">
        <v>4188</v>
      </c>
      <c r="L4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0">
      <c r="A4190" s="229" t="n">
        <v>46331</v>
      </c>
      <c r="B4190" s="46" t="inlineStr">
        <is>
          <t>메모</t>
        </is>
      </c>
      <c r="C4190" s="46" t="inlineStr">
        <is>
          <t>부천지역</t>
        </is>
      </c>
      <c r="D4190" s="46" t="inlineStr">
        <is>
          <t>변종국휴가</t>
        </is>
      </c>
      <c r="E4190" s="46" t="n"/>
      <c r="F4190" s="46" t="n"/>
      <c r="G4190" s="50" t="n"/>
      <c r="H4190" s="51" t="n"/>
      <c r="I4190" s="46" t="n"/>
      <c r="K4190" s="46" t="n">
        <v>4189</v>
      </c>
      <c r="L4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1">
      <c r="A4191" s="229" t="n">
        <v>46332</v>
      </c>
      <c r="B4191" s="46" t="inlineStr">
        <is>
          <t>정기검사</t>
        </is>
      </c>
      <c r="C4191" s="46" t="inlineStr">
        <is>
          <t>부천지역</t>
        </is>
      </c>
      <c r="D4191" s="46" t="inlineStr">
        <is>
          <t>티제이플라텍</t>
        </is>
      </c>
      <c r="E4191" s="46" t="n">
        <v>250</v>
      </c>
      <c r="F4191" s="46" t="inlineStr">
        <is>
          <t>내동</t>
        </is>
      </c>
      <c r="G4191" s="50" t="inlineStr">
        <is>
          <t>12:000</t>
        </is>
      </c>
      <c r="H4191" s="51" t="n">
        <v>489170</v>
      </c>
      <c r="I4191" s="46" t="n"/>
      <c r="K4191" s="46" t="n">
        <v>4190</v>
      </c>
      <c r="L4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2">
      <c r="A4192" s="229" t="n">
        <v>46332</v>
      </c>
      <c r="B4192" s="46" t="inlineStr">
        <is>
          <t>정기검사</t>
        </is>
      </c>
      <c r="C4192" s="46" t="inlineStr">
        <is>
          <t>부천지역</t>
        </is>
      </c>
      <c r="D4192" s="46" t="inlineStr">
        <is>
          <t>대일코팅</t>
        </is>
      </c>
      <c r="E4192" s="46" t="n">
        <v>600</v>
      </c>
      <c r="F4192" s="46" t="inlineStr">
        <is>
          <t>삼정동</t>
        </is>
      </c>
      <c r="G4192" s="50" t="n">
        <v>0.6666666666666666</v>
      </c>
      <c r="H4192" s="51" t="n">
        <v>770880</v>
      </c>
      <c r="I4192" s="46" t="n"/>
      <c r="K4192" s="46" t="n">
        <v>4191</v>
      </c>
      <c r="L4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3">
      <c r="A4193" s="229" t="n">
        <v>46332</v>
      </c>
      <c r="B4193" s="46" t="inlineStr">
        <is>
          <t>정기검사</t>
        </is>
      </c>
      <c r="C4193" s="46" t="inlineStr">
        <is>
          <t>김포지역</t>
        </is>
      </c>
      <c r="D4193" s="46" t="inlineStr">
        <is>
          <t>태우</t>
        </is>
      </c>
      <c r="E4193" s="46" t="n">
        <v>200</v>
      </c>
      <c r="F4193" s="46" t="inlineStr">
        <is>
          <t>개곡리</t>
        </is>
      </c>
      <c r="G4193" s="50" t="n">
        <v>0.5</v>
      </c>
      <c r="H4193" s="51" t="n">
        <v>456720</v>
      </c>
      <c r="I4193" s="46" t="n"/>
      <c r="K4193" s="46" t="n">
        <v>4192</v>
      </c>
      <c r="L4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4">
      <c r="A4194" s="229" t="n">
        <v>46332</v>
      </c>
      <c r="B4194" s="46" t="inlineStr">
        <is>
          <t>정기검사</t>
        </is>
      </c>
      <c r="C4194" s="46" t="inlineStr">
        <is>
          <t>김포지역</t>
        </is>
      </c>
      <c r="D4194" s="46" t="inlineStr">
        <is>
          <t>신광포리머</t>
        </is>
      </c>
      <c r="E4194" s="46" t="n">
        <v>600</v>
      </c>
      <c r="F4194" s="46" t="inlineStr">
        <is>
          <t>석정리</t>
        </is>
      </c>
      <c r="G4194" s="50" t="n">
        <v>0.4166666666666667</v>
      </c>
      <c r="H4194" s="51" t="n">
        <v>770880</v>
      </c>
      <c r="I4194" s="46" t="n"/>
      <c r="K4194" s="46" t="n">
        <v>4193</v>
      </c>
      <c r="L4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5">
      <c r="A4195" s="229" t="n">
        <v>46332</v>
      </c>
      <c r="B4195" s="46" t="inlineStr">
        <is>
          <t>메모</t>
        </is>
      </c>
      <c r="C4195" s="46" t="inlineStr">
        <is>
          <t>부천지역</t>
        </is>
      </c>
      <c r="D4195" s="46" t="inlineStr">
        <is>
          <t>이덕기휴가</t>
        </is>
      </c>
      <c r="E4195" s="46" t="n"/>
      <c r="F4195" s="46" t="n"/>
      <c r="G4195" s="50" t="n"/>
      <c r="H4195" s="51" t="n"/>
      <c r="I4195" s="46" t="n"/>
      <c r="K4195" s="46" t="n">
        <v>4194</v>
      </c>
      <c r="L4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6">
      <c r="A4196" s="229" t="n">
        <v>46332</v>
      </c>
      <c r="B4196" s="46" t="inlineStr">
        <is>
          <t>메모</t>
        </is>
      </c>
      <c r="C4196" s="46" t="inlineStr">
        <is>
          <t>부천지역</t>
        </is>
      </c>
      <c r="D4196" s="46" t="inlineStr">
        <is>
          <t>변종국휴가</t>
        </is>
      </c>
      <c r="E4196" s="46" t="n"/>
      <c r="F4196" s="46" t="n"/>
      <c r="G4196" s="50" t="n"/>
      <c r="H4196" s="51" t="n"/>
      <c r="I4196" s="46" t="n"/>
      <c r="K4196" s="46" t="n">
        <v>4195</v>
      </c>
      <c r="L4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7">
      <c r="A4197" s="229" t="n">
        <v>46332</v>
      </c>
      <c r="B4197" s="46" t="inlineStr">
        <is>
          <t>사용전검사</t>
        </is>
      </c>
      <c r="C4197" s="46" t="inlineStr">
        <is>
          <t>김포지역</t>
        </is>
      </c>
      <c r="D4197" s="46" t="inlineStr">
        <is>
          <t>라인즈</t>
        </is>
      </c>
      <c r="E4197" s="46" t="n">
        <v>174</v>
      </c>
      <c r="F4197" s="46" t="inlineStr">
        <is>
          <t>학운리</t>
        </is>
      </c>
      <c r="G4197" s="50" t="n"/>
      <c r="H4197" s="51" t="n"/>
      <c r="I4197" s="46" t="n"/>
      <c r="K4197" s="46" t="n">
        <v>4196</v>
      </c>
      <c r="L4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8">
      <c r="A4198" s="229" t="n">
        <v>46333</v>
      </c>
      <c r="B4198" s="46" t="inlineStr">
        <is>
          <t>정기검사</t>
        </is>
      </c>
      <c r="C4198" s="46" t="inlineStr">
        <is>
          <t>부천지역</t>
        </is>
      </c>
      <c r="D4198" s="46" t="inlineStr">
        <is>
          <t>코오롱모터스</t>
        </is>
      </c>
      <c r="E4198" s="46" t="n">
        <v>950</v>
      </c>
      <c r="F4198" s="46" t="inlineStr">
        <is>
          <t>내동</t>
        </is>
      </c>
      <c r="G4198" s="50" t="n">
        <v>0.625</v>
      </c>
      <c r="H4198" s="51" t="n">
        <v>1156210</v>
      </c>
      <c r="I4198" s="46" t="n"/>
      <c r="K4198" s="46" t="n">
        <v>4197</v>
      </c>
      <c r="L4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9">
      <c r="A4199" s="229" t="n">
        <v>46333</v>
      </c>
      <c r="B4199" s="46" t="inlineStr">
        <is>
          <t>정기검사</t>
        </is>
      </c>
      <c r="C4199" s="46" t="inlineStr">
        <is>
          <t>부천지역</t>
        </is>
      </c>
      <c r="D4199" s="46" t="inlineStr">
        <is>
          <t>선일공업</t>
        </is>
      </c>
      <c r="E4199" s="46" t="n">
        <v>950</v>
      </c>
      <c r="F4199" s="46" t="inlineStr">
        <is>
          <t>오정동</t>
        </is>
      </c>
      <c r="G4199" s="50" t="n">
        <v>0.4166666666666667</v>
      </c>
      <c r="H4199" s="51" t="n">
        <v>1156210</v>
      </c>
      <c r="I4199" s="46" t="n"/>
      <c r="K4199" s="46" t="n">
        <v>4198</v>
      </c>
      <c r="L4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0">
      <c r="A4200" s="229" t="n">
        <v>46333</v>
      </c>
      <c r="B4200" s="46" t="inlineStr">
        <is>
          <t>메모</t>
        </is>
      </c>
      <c r="C4200" s="46" t="inlineStr">
        <is>
          <t>부천지역</t>
        </is>
      </c>
      <c r="D4200" s="46" t="inlineStr">
        <is>
          <t>이덕기휴가</t>
        </is>
      </c>
      <c r="E4200" s="46" t="n"/>
      <c r="F4200" s="46" t="n"/>
      <c r="G4200" s="50" t="n"/>
      <c r="H4200" s="51" t="n"/>
      <c r="I4200" s="46" t="n"/>
      <c r="K4200" s="46" t="n">
        <v>4199</v>
      </c>
      <c r="L4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1">
      <c r="A4201" s="229" t="n">
        <v>46333</v>
      </c>
      <c r="B4201" s="46" t="inlineStr">
        <is>
          <t>메모</t>
        </is>
      </c>
      <c r="C4201" s="46" t="inlineStr">
        <is>
          <t>부천지역</t>
        </is>
      </c>
      <c r="D4201" s="46" t="inlineStr">
        <is>
          <t>변종국휴가</t>
        </is>
      </c>
      <c r="E4201" s="46" t="n"/>
      <c r="F4201" s="46" t="n"/>
      <c r="G4201" s="50" t="n"/>
      <c r="H4201" s="51" t="n"/>
      <c r="I4201" s="46" t="n"/>
      <c r="K4201" s="46" t="n">
        <v>4200</v>
      </c>
      <c r="L4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2">
      <c r="A4202" s="229" t="n">
        <v>46334</v>
      </c>
      <c r="B4202" s="46" t="inlineStr">
        <is>
          <t>정기검사</t>
        </is>
      </c>
      <c r="C4202" s="46" t="inlineStr">
        <is>
          <t>부천지역</t>
        </is>
      </c>
      <c r="D4202" s="46" t="inlineStr">
        <is>
          <t>리슈빌앤클래스</t>
        </is>
      </c>
      <c r="E4202" s="46" t="inlineStr">
        <is>
          <t>3350/800</t>
        </is>
      </c>
      <c r="F4202" s="46" t="inlineStr">
        <is>
          <t>중동</t>
        </is>
      </c>
      <c r="G4202" s="50" t="n">
        <v>0.3958333333333333</v>
      </c>
      <c r="H4202" s="51" t="n">
        <v>2045450</v>
      </c>
      <c r="I4202" s="46" t="n"/>
      <c r="K4202" s="46" t="n">
        <v>4201</v>
      </c>
      <c r="L4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3">
      <c r="A4203" s="229" t="n">
        <v>46334</v>
      </c>
      <c r="B4203" s="46" t="inlineStr">
        <is>
          <t>메모</t>
        </is>
      </c>
      <c r="C4203" s="46" t="inlineStr">
        <is>
          <t>부천지역</t>
        </is>
      </c>
      <c r="D4203" s="46" t="inlineStr">
        <is>
          <t>이덕기휴가</t>
        </is>
      </c>
      <c r="E4203" s="46" t="n"/>
      <c r="F4203" s="46" t="n"/>
      <c r="G4203" s="50" t="n"/>
      <c r="H4203" s="51" t="n"/>
      <c r="I4203" s="46" t="n"/>
      <c r="K4203" s="46" t="n">
        <v>4202</v>
      </c>
      <c r="L4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4">
      <c r="A4204" s="229" t="n">
        <v>46334</v>
      </c>
      <c r="B4204" s="46" t="inlineStr">
        <is>
          <t>메모</t>
        </is>
      </c>
      <c r="C4204" s="46" t="inlineStr">
        <is>
          <t>부천지역</t>
        </is>
      </c>
      <c r="D4204" s="46" t="inlineStr">
        <is>
          <t>변종국휴가</t>
        </is>
      </c>
      <c r="E4204" s="46" t="n"/>
      <c r="F4204" s="46" t="n"/>
      <c r="G4204" s="50" t="n"/>
      <c r="H4204" s="51" t="n"/>
      <c r="I4204" s="46" t="n"/>
      <c r="K4204" s="46" t="n">
        <v>4203</v>
      </c>
      <c r="L4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5">
      <c r="A4205" s="229" t="n">
        <v>46335</v>
      </c>
      <c r="B4205" s="46" t="inlineStr">
        <is>
          <t>정기검사</t>
        </is>
      </c>
      <c r="C4205" s="46" t="inlineStr">
        <is>
          <t>부천지역</t>
        </is>
      </c>
      <c r="D4205" s="46" t="inlineStr">
        <is>
          <t>삼천리</t>
        </is>
      </c>
      <c r="E4205" s="46" t="n">
        <v>950</v>
      </c>
      <c r="F4205" s="46" t="inlineStr">
        <is>
          <t>대장동</t>
        </is>
      </c>
      <c r="G4205" s="50" t="n">
        <v>0.4583333333333333</v>
      </c>
      <c r="H4205" s="51" t="n">
        <v>889460</v>
      </c>
      <c r="I4205" s="46" t="n"/>
      <c r="K4205" s="46" t="n">
        <v>4204</v>
      </c>
      <c r="L4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6">
      <c r="A4206" s="229" t="n">
        <v>46335</v>
      </c>
      <c r="B4206" s="46" t="inlineStr">
        <is>
          <t>정기검사</t>
        </is>
      </c>
      <c r="C4206" s="46" t="inlineStr">
        <is>
          <t>부천지역</t>
        </is>
      </c>
      <c r="D4206" s="46" t="inlineStr">
        <is>
          <t>유공유체산업</t>
        </is>
      </c>
      <c r="E4206" s="46" t="n">
        <v>600</v>
      </c>
      <c r="F4206" s="46" t="inlineStr">
        <is>
          <t>도당동</t>
        </is>
      </c>
      <c r="G4206" s="50" t="n">
        <v>0.5</v>
      </c>
      <c r="H4206" s="51" t="n">
        <v>770880</v>
      </c>
      <c r="I4206" s="46" t="n"/>
      <c r="K4206" s="46" t="n">
        <v>4205</v>
      </c>
      <c r="L4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7">
      <c r="A4207" s="229" t="n">
        <v>46335</v>
      </c>
      <c r="B4207" s="46" t="inlineStr">
        <is>
          <t>정기검사</t>
        </is>
      </c>
      <c r="C4207" s="46" t="inlineStr">
        <is>
          <t>김포지역</t>
        </is>
      </c>
      <c r="D4207" s="46" t="inlineStr">
        <is>
          <t>대동금속</t>
        </is>
      </c>
      <c r="E4207" s="46" t="n">
        <v>150</v>
      </c>
      <c r="F4207" s="46" t="inlineStr">
        <is>
          <t>귀전리</t>
        </is>
      </c>
      <c r="G4207" s="50" t="n">
        <v>0.3958333333333333</v>
      </c>
      <c r="H4207" s="51" t="n">
        <v>424160</v>
      </c>
      <c r="I4207" s="46" t="n"/>
      <c r="K4207" s="46" t="n">
        <v>4206</v>
      </c>
      <c r="L4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8">
      <c r="A4208" s="229" t="n">
        <v>46335</v>
      </c>
      <c r="B4208" s="46" t="inlineStr">
        <is>
          <t>정기검사</t>
        </is>
      </c>
      <c r="C4208" s="46" t="inlineStr">
        <is>
          <t>김포지역</t>
        </is>
      </c>
      <c r="D4208" s="46" t="inlineStr">
        <is>
          <t>코파발전소</t>
        </is>
      </c>
      <c r="E4208" s="46" t="n">
        <v>34</v>
      </c>
      <c r="F4208" s="46" t="inlineStr">
        <is>
          <t>용강리</t>
        </is>
      </c>
      <c r="G4208" s="50" t="n">
        <v>0.5833333333333334</v>
      </c>
      <c r="H4208" s="51" t="n">
        <v>187110</v>
      </c>
      <c r="I4208" s="46" t="n"/>
      <c r="K4208" s="46" t="n">
        <v>4207</v>
      </c>
      <c r="L4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9">
      <c r="A4209" s="229" t="n">
        <v>46335</v>
      </c>
      <c r="B4209" s="46" t="inlineStr">
        <is>
          <t>메모</t>
        </is>
      </c>
      <c r="C4209" s="46" t="inlineStr">
        <is>
          <t>부천지역</t>
        </is>
      </c>
      <c r="D4209" s="46" t="inlineStr">
        <is>
          <t>이덕기휴가</t>
        </is>
      </c>
      <c r="E4209" s="46" t="n"/>
      <c r="F4209" s="46" t="n"/>
      <c r="G4209" s="50" t="n"/>
      <c r="H4209" s="51" t="n"/>
      <c r="I4209" s="46" t="n"/>
      <c r="K4209" s="46" t="n">
        <v>4208</v>
      </c>
      <c r="L4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0">
      <c r="A4210" s="229" t="n">
        <v>46335</v>
      </c>
      <c r="B4210" s="46" t="inlineStr">
        <is>
          <t>메모</t>
        </is>
      </c>
      <c r="C4210" s="46" t="inlineStr">
        <is>
          <t>부천지역</t>
        </is>
      </c>
      <c r="D4210" s="46" t="inlineStr">
        <is>
          <t>변종국휴가</t>
        </is>
      </c>
      <c r="E4210" s="46" t="n"/>
      <c r="F4210" s="46" t="n"/>
      <c r="G4210" s="50" t="n"/>
      <c r="H4210" s="51" t="n"/>
      <c r="I4210" s="46" t="n"/>
      <c r="K4210" s="46" t="n">
        <v>4209</v>
      </c>
      <c r="L4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1">
      <c r="A4211" s="229" t="n">
        <v>46336</v>
      </c>
      <c r="B4211" s="46" t="inlineStr">
        <is>
          <t>정기검사</t>
        </is>
      </c>
      <c r="C4211" s="46" t="inlineStr">
        <is>
          <t>부천지역</t>
        </is>
      </c>
      <c r="D4211" s="46" t="inlineStr">
        <is>
          <t>조남훈</t>
        </is>
      </c>
      <c r="E4211" s="46" t="inlineStr">
        <is>
          <t>500/181</t>
        </is>
      </c>
      <c r="F4211" s="46" t="inlineStr">
        <is>
          <t>역곡동</t>
        </is>
      </c>
      <c r="G4211" s="50" t="n">
        <v>0.3958333333333333</v>
      </c>
      <c r="H4211" s="51" t="n">
        <v>927080</v>
      </c>
      <c r="I4211" s="46" t="n"/>
      <c r="K4211" s="46" t="n">
        <v>4210</v>
      </c>
      <c r="L4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2">
      <c r="A4212" s="229" t="n">
        <v>46336</v>
      </c>
      <c r="B4212" s="46" t="inlineStr">
        <is>
          <t>정기검사</t>
        </is>
      </c>
      <c r="C4212" s="46" t="inlineStr">
        <is>
          <t>부천지역</t>
        </is>
      </c>
      <c r="D4212" s="46" t="inlineStr">
        <is>
          <t>동부센트레빌</t>
        </is>
      </c>
      <c r="E4212" s="46" t="inlineStr">
        <is>
          <t>1600/273</t>
        </is>
      </c>
      <c r="F4212" s="46" t="inlineStr">
        <is>
          <t>역곡동</t>
        </is>
      </c>
      <c r="G4212" s="50" t="n">
        <v>0.3958333333333333</v>
      </c>
      <c r="H4212" s="51" t="n">
        <v>1211540</v>
      </c>
      <c r="I4212" s="46" t="n"/>
      <c r="K4212" s="46" t="n">
        <v>4211</v>
      </c>
      <c r="L4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3">
      <c r="A4213" s="229" t="n">
        <v>46336</v>
      </c>
      <c r="B4213" s="46" t="inlineStr">
        <is>
          <t>정기검사</t>
        </is>
      </c>
      <c r="C4213" s="46" t="inlineStr">
        <is>
          <t>부천지역</t>
        </is>
      </c>
      <c r="D4213" s="46" t="inlineStr">
        <is>
          <t>동부센트레빌</t>
        </is>
      </c>
      <c r="E4213" s="46" t="inlineStr">
        <is>
          <t>1150/250</t>
        </is>
      </c>
      <c r="F4213" s="46" t="inlineStr">
        <is>
          <t>역곡동</t>
        </is>
      </c>
      <c r="G4213" s="50" t="n">
        <v>0.4583333333333333</v>
      </c>
      <c r="H4213" s="51" t="n">
        <v>1138940</v>
      </c>
      <c r="I4213" s="46" t="n"/>
      <c r="K4213" s="46" t="n">
        <v>4212</v>
      </c>
      <c r="L4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4">
      <c r="A4214" s="229" t="n">
        <v>46336</v>
      </c>
      <c r="B4214" s="46" t="inlineStr">
        <is>
          <t>정기검사</t>
        </is>
      </c>
      <c r="C4214" s="46" t="inlineStr">
        <is>
          <t>김포지역</t>
        </is>
      </c>
      <c r="D4214" s="46" t="inlineStr">
        <is>
          <t>센타프라자</t>
        </is>
      </c>
      <c r="E4214" s="46" t="inlineStr">
        <is>
          <t>990/291</t>
        </is>
      </c>
      <c r="F4214" s="46" t="inlineStr">
        <is>
          <t>구래동</t>
        </is>
      </c>
      <c r="G4214" s="50" t="n">
        <v>0.25</v>
      </c>
      <c r="H4214" s="51" t="n">
        <v>1463440</v>
      </c>
      <c r="I4214" s="46" t="n"/>
      <c r="K4214" s="46" t="n">
        <v>4213</v>
      </c>
      <c r="L4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5">
      <c r="A4215" s="229" t="n">
        <v>46336</v>
      </c>
      <c r="B4215" s="46" t="inlineStr">
        <is>
          <t>정기검사</t>
        </is>
      </c>
      <c r="C4215" s="46" t="inlineStr">
        <is>
          <t>김포지역</t>
        </is>
      </c>
      <c r="D4215" s="46" t="inlineStr">
        <is>
          <t>케이에프엔지에스</t>
        </is>
      </c>
      <c r="E4215" s="46" t="n">
        <v>200</v>
      </c>
      <c r="F4215" s="46" t="inlineStr">
        <is>
          <t>대능리</t>
        </is>
      </c>
      <c r="G4215" s="50" t="n">
        <v>0.5</v>
      </c>
      <c r="H4215" s="51" t="n">
        <v>456720</v>
      </c>
      <c r="I4215" s="46" t="n"/>
      <c r="K4215" s="46" t="n">
        <v>4214</v>
      </c>
      <c r="L4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6">
      <c r="A4216" s="229" t="n">
        <v>46336</v>
      </c>
      <c r="B4216" s="46" t="inlineStr">
        <is>
          <t>정기검사</t>
        </is>
      </c>
      <c r="C4216" s="46" t="inlineStr">
        <is>
          <t>김포지역</t>
        </is>
      </c>
      <c r="D4216" s="46" t="inlineStr">
        <is>
          <t>에스엠월드</t>
        </is>
      </c>
      <c r="E4216" s="46" t="n">
        <v>290</v>
      </c>
      <c r="F4216" s="46" t="inlineStr">
        <is>
          <t>누산리</t>
        </is>
      </c>
      <c r="G4216" s="50" t="n">
        <v>0.5625</v>
      </c>
      <c r="H4216" s="51" t="n">
        <v>515130</v>
      </c>
      <c r="I4216" s="46" t="n"/>
      <c r="K4216" s="46" t="n">
        <v>4215</v>
      </c>
      <c r="L4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7">
      <c r="A4217" s="229" t="n">
        <v>46337</v>
      </c>
      <c r="B4217" s="46" t="inlineStr">
        <is>
          <t>정기검사</t>
        </is>
      </c>
      <c r="C4217" s="46" t="inlineStr">
        <is>
          <t>부천지역</t>
        </is>
      </c>
      <c r="D4217" s="46" t="inlineStr">
        <is>
          <t>상동시크마타워</t>
        </is>
      </c>
      <c r="E4217" s="46" t="inlineStr">
        <is>
          <t>1900/182</t>
        </is>
      </c>
      <c r="F4217" s="46" t="inlineStr">
        <is>
          <t>상동</t>
        </is>
      </c>
      <c r="G4217" s="50" t="n">
        <v>0.3958333333333333</v>
      </c>
      <c r="H4217" s="51" t="n">
        <v>1228480</v>
      </c>
      <c r="I4217" s="46" t="n"/>
      <c r="K4217" s="46" t="n">
        <v>4216</v>
      </c>
      <c r="L4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8">
      <c r="A4218" s="229" t="n">
        <v>46337</v>
      </c>
      <c r="B4218" s="46" t="inlineStr">
        <is>
          <t>정기검사</t>
        </is>
      </c>
      <c r="C4218" s="46" t="inlineStr">
        <is>
          <t>부천지역</t>
        </is>
      </c>
      <c r="D4218" s="46" t="inlineStr">
        <is>
          <t>피더스빌딩</t>
        </is>
      </c>
      <c r="E4218" s="46" t="n">
        <v>650</v>
      </c>
      <c r="F4218" s="46" t="inlineStr">
        <is>
          <t>역곡동</t>
        </is>
      </c>
      <c r="G4218" s="50" t="n">
        <v>0.5</v>
      </c>
      <c r="H4218" s="51" t="n">
        <v>787820</v>
      </c>
      <c r="I4218" s="46" t="n"/>
      <c r="K4218" s="46" t="n">
        <v>4217</v>
      </c>
      <c r="L4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9">
      <c r="A4219" s="229" t="n">
        <v>46337</v>
      </c>
      <c r="B4219" s="46" t="inlineStr">
        <is>
          <t>정기검사</t>
        </is>
      </c>
      <c r="C4219" s="46" t="inlineStr">
        <is>
          <t>김포지역</t>
        </is>
      </c>
      <c r="D4219" s="46" t="inlineStr">
        <is>
          <t>경서프라자</t>
        </is>
      </c>
      <c r="E4219" s="46" t="n"/>
      <c r="F4219" s="46" t="inlineStr">
        <is>
          <t>구래동</t>
        </is>
      </c>
      <c r="G4219" s="50" t="n">
        <v>0.3333333333333333</v>
      </c>
      <c r="H4219" s="51" t="n">
        <v>1267970</v>
      </c>
      <c r="I4219" s="46" t="n"/>
      <c r="K4219" s="46" t="n">
        <v>4218</v>
      </c>
      <c r="L4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0">
      <c r="A4220" s="229" t="n">
        <v>46337</v>
      </c>
      <c r="B4220" s="46" t="inlineStr">
        <is>
          <t>정기검사</t>
        </is>
      </c>
      <c r="C4220" s="46" t="inlineStr">
        <is>
          <t>김포지역</t>
        </is>
      </c>
      <c r="D4220" s="46" t="inlineStr">
        <is>
          <t>가연1호</t>
        </is>
      </c>
      <c r="E4220" s="46" t="n">
        <v>99</v>
      </c>
      <c r="F4220" s="46" t="inlineStr">
        <is>
          <t>대벽리</t>
        </is>
      </c>
      <c r="G4220" s="50" t="n">
        <v>0.4166666666666667</v>
      </c>
      <c r="H4220" s="51" t="n">
        <v>255530</v>
      </c>
      <c r="I4220" s="46" t="n"/>
      <c r="K4220" s="46" t="n">
        <v>4219</v>
      </c>
      <c r="L4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1">
      <c r="A4221" s="229" t="n">
        <v>46337</v>
      </c>
      <c r="B4221" s="46" t="inlineStr">
        <is>
          <t>정기검사</t>
        </is>
      </c>
      <c r="C4221" s="46" t="inlineStr">
        <is>
          <t>김포지역</t>
        </is>
      </c>
      <c r="D4221" s="46" t="inlineStr">
        <is>
          <t>가연2호</t>
        </is>
      </c>
      <c r="E4221" s="46" t="n">
        <v>100</v>
      </c>
      <c r="F4221" s="46" t="inlineStr">
        <is>
          <t>대벽리</t>
        </is>
      </c>
      <c r="G4221" s="50" t="n">
        <v>0.4583333333333333</v>
      </c>
      <c r="H4221" s="51" t="n">
        <v>254980</v>
      </c>
      <c r="I4221" s="46" t="n"/>
      <c r="K4221" s="46" t="n">
        <v>4220</v>
      </c>
      <c r="L4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2">
      <c r="A4222" s="229" t="n">
        <v>46337</v>
      </c>
      <c r="B4222" s="46" t="inlineStr">
        <is>
          <t>정기검사</t>
        </is>
      </c>
      <c r="C4222" s="46" t="inlineStr">
        <is>
          <t>김포지역</t>
        </is>
      </c>
      <c r="D4222" s="46" t="inlineStr">
        <is>
          <t>가연3호</t>
        </is>
      </c>
      <c r="E4222" s="46" t="n">
        <v>101</v>
      </c>
      <c r="F4222" s="46" t="inlineStr">
        <is>
          <t>대벽리</t>
        </is>
      </c>
      <c r="G4222" s="50" t="n">
        <v>0.5</v>
      </c>
      <c r="H4222" s="51" t="n">
        <v>255530</v>
      </c>
      <c r="I4222" s="46" t="n"/>
      <c r="K4222" s="46" t="n">
        <v>4221</v>
      </c>
      <c r="L4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3">
      <c r="A4223" s="229" t="n">
        <v>46337</v>
      </c>
      <c r="B4223" s="46" t="inlineStr">
        <is>
          <t>정기검사</t>
        </is>
      </c>
      <c r="C4223" s="46" t="inlineStr">
        <is>
          <t>김포지역</t>
        </is>
      </c>
      <c r="D4223" s="46" t="inlineStr">
        <is>
          <t>보리수1호</t>
        </is>
      </c>
      <c r="E4223" s="46" t="n">
        <v>99</v>
      </c>
      <c r="F4223" s="46" t="inlineStr">
        <is>
          <t>대벽리</t>
        </is>
      </c>
      <c r="G4223" s="50" t="n">
        <v>0.4583333333333333</v>
      </c>
      <c r="H4223" s="51" t="n">
        <v>255530</v>
      </c>
      <c r="I4223" s="46" t="n"/>
      <c r="K4223" s="46" t="n">
        <v>4222</v>
      </c>
      <c r="L4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4">
      <c r="A4224" s="229" t="n">
        <v>46337</v>
      </c>
      <c r="B4224" s="46" t="inlineStr">
        <is>
          <t>정기검사</t>
        </is>
      </c>
      <c r="C4224" s="46" t="inlineStr">
        <is>
          <t>김포지역</t>
        </is>
      </c>
      <c r="D4224" s="46" t="inlineStr">
        <is>
          <t>보리수2호</t>
        </is>
      </c>
      <c r="E4224" s="46" t="n">
        <v>100</v>
      </c>
      <c r="F4224" s="46" t="inlineStr">
        <is>
          <t>대벽리</t>
        </is>
      </c>
      <c r="G4224" s="50" t="n">
        <v>0.5</v>
      </c>
      <c r="H4224" s="51" t="n">
        <v>255531</v>
      </c>
      <c r="I4224" s="46" t="n"/>
      <c r="K4224" s="46" t="n">
        <v>4223</v>
      </c>
      <c r="L4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5">
      <c r="A4225" s="229" t="n">
        <v>46337</v>
      </c>
      <c r="B4225" s="46" t="inlineStr">
        <is>
          <t>정기검사</t>
        </is>
      </c>
      <c r="C4225" s="46" t="inlineStr">
        <is>
          <t>김포지역</t>
        </is>
      </c>
      <c r="D4225" s="46" t="inlineStr">
        <is>
          <t>보리수3호</t>
        </is>
      </c>
      <c r="E4225" s="46" t="n">
        <v>101</v>
      </c>
      <c r="F4225" s="46" t="inlineStr">
        <is>
          <t>대벽리</t>
        </is>
      </c>
      <c r="G4225" s="50" t="n">
        <v>0.5416666666666666</v>
      </c>
      <c r="H4225" s="51" t="n">
        <v>255532</v>
      </c>
      <c r="I4225" s="46" t="n"/>
      <c r="K4225" s="46" t="n">
        <v>4224</v>
      </c>
      <c r="L4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6">
      <c r="A4226" s="229" t="n">
        <v>46338</v>
      </c>
      <c r="B4226" s="46" t="inlineStr">
        <is>
          <t>정기검사</t>
        </is>
      </c>
      <c r="C4226" s="46" t="inlineStr">
        <is>
          <t>부천지역</t>
        </is>
      </c>
      <c r="D4226" s="46" t="inlineStr">
        <is>
          <t>부천시청</t>
        </is>
      </c>
      <c r="E4226" s="46" t="n">
        <v>61</v>
      </c>
      <c r="F4226" s="46" t="inlineStr">
        <is>
          <t>고강동</t>
        </is>
      </c>
      <c r="G4226" s="50" t="n">
        <v>0.75</v>
      </c>
      <c r="H4226" s="51" t="n">
        <v>279950</v>
      </c>
      <c r="I4226" s="46" t="n"/>
      <c r="K4226" s="46" t="n">
        <v>4225</v>
      </c>
      <c r="L4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7">
      <c r="A4227" s="229" t="n">
        <v>46338</v>
      </c>
      <c r="B4227" s="46" t="inlineStr">
        <is>
          <t>정기검사</t>
        </is>
      </c>
      <c r="C4227" s="46" t="inlineStr">
        <is>
          <t>부천지역</t>
        </is>
      </c>
      <c r="D4227" s="46" t="inlineStr">
        <is>
          <t>가나베스트타운</t>
        </is>
      </c>
      <c r="E4227" s="46" t="inlineStr">
        <is>
          <t>3250/400</t>
        </is>
      </c>
      <c r="F4227" s="46" t="inlineStr">
        <is>
          <t>상동</t>
        </is>
      </c>
      <c r="G4227" s="50" t="n">
        <v>0.2708333333333333</v>
      </c>
      <c r="H4227" s="51" t="n">
        <v>1912680</v>
      </c>
      <c r="I4227" s="46" t="n"/>
      <c r="K4227" s="46" t="n">
        <v>4226</v>
      </c>
      <c r="L4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8">
      <c r="A4228" s="229" t="n">
        <v>46338</v>
      </c>
      <c r="B4228" s="46" t="inlineStr">
        <is>
          <t>정기검사</t>
        </is>
      </c>
      <c r="C4228" s="46" t="inlineStr">
        <is>
          <t>김포지역</t>
        </is>
      </c>
      <c r="D4228" s="46" t="inlineStr">
        <is>
          <t>서림</t>
        </is>
      </c>
      <c r="E4228" s="46" t="n">
        <v>290</v>
      </c>
      <c r="F4228" s="46" t="inlineStr">
        <is>
          <t>거물대리</t>
        </is>
      </c>
      <c r="G4228" s="50" t="n">
        <v>0.4583333333333333</v>
      </c>
      <c r="H4228" s="51" t="n">
        <v>515130</v>
      </c>
      <c r="I4228" s="46" t="n"/>
      <c r="K4228" s="46" t="n">
        <v>4227</v>
      </c>
      <c r="L4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9">
      <c r="A4229" s="229" t="n">
        <v>46338</v>
      </c>
      <c r="B4229" s="46" t="inlineStr">
        <is>
          <t>정기검사</t>
        </is>
      </c>
      <c r="C4229" s="46" t="inlineStr">
        <is>
          <t>김포지역</t>
        </is>
      </c>
      <c r="D4229" s="46" t="inlineStr">
        <is>
          <t>태양트레이</t>
        </is>
      </c>
      <c r="E4229" s="46" t="n">
        <v>250</v>
      </c>
      <c r="F4229" s="46" t="inlineStr">
        <is>
          <t>대명리</t>
        </is>
      </c>
      <c r="G4229" s="50" t="n">
        <v>0.4791666666666667</v>
      </c>
      <c r="H4229" s="51" t="n">
        <v>489170</v>
      </c>
      <c r="I4229" s="46" t="n"/>
      <c r="K4229" s="46" t="n">
        <v>4228</v>
      </c>
      <c r="L4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0">
      <c r="A4230" s="229" t="n">
        <v>46338</v>
      </c>
      <c r="B4230" s="46" t="inlineStr">
        <is>
          <t>정기검사</t>
        </is>
      </c>
      <c r="C4230" s="46" t="inlineStr">
        <is>
          <t>김포지역</t>
        </is>
      </c>
      <c r="D4230" s="46" t="inlineStr">
        <is>
          <t>통진읍행정복지</t>
        </is>
      </c>
      <c r="E4230" s="46" t="n">
        <v>126</v>
      </c>
      <c r="F4230" s="46" t="inlineStr">
        <is>
          <t>마송리</t>
        </is>
      </c>
      <c r="G4230" s="50" t="n"/>
      <c r="H4230" s="51" t="n">
        <v>282810</v>
      </c>
      <c r="I4230" s="46" t="n"/>
      <c r="K4230" s="46" t="n">
        <v>4229</v>
      </c>
      <c r="L4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1">
      <c r="A4231" s="229" t="n">
        <v>46339</v>
      </c>
      <c r="B4231" s="46" t="inlineStr">
        <is>
          <t>정기검사</t>
        </is>
      </c>
      <c r="C4231" s="46" t="inlineStr">
        <is>
          <t>부천지역</t>
        </is>
      </c>
      <c r="D4231" s="46" t="inlineStr">
        <is>
          <t>영화산업전기</t>
        </is>
      </c>
      <c r="E4231" s="46" t="n">
        <v>290</v>
      </c>
      <c r="F4231" s="46" t="inlineStr">
        <is>
          <t>내동</t>
        </is>
      </c>
      <c r="G4231" s="50" t="n">
        <v>0.5625</v>
      </c>
      <c r="H4231" s="51" t="n">
        <v>515130</v>
      </c>
      <c r="I4231" s="46" t="n"/>
      <c r="K4231" s="46" t="n">
        <v>4230</v>
      </c>
      <c r="L4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2">
      <c r="A4232" s="229" t="n">
        <v>46339</v>
      </c>
      <c r="B4232" s="46" t="inlineStr">
        <is>
          <t>정기검사</t>
        </is>
      </c>
      <c r="C4232" s="46" t="inlineStr">
        <is>
          <t>부천지역</t>
        </is>
      </c>
      <c r="D4232" s="46" t="inlineStr">
        <is>
          <t>영화산업전기</t>
        </is>
      </c>
      <c r="E4232" s="46" t="n">
        <v>150</v>
      </c>
      <c r="F4232" s="46" t="inlineStr">
        <is>
          <t>내동</t>
        </is>
      </c>
      <c r="G4232" s="50" t="n">
        <v>0.5208333333333334</v>
      </c>
      <c r="H4232" s="51" t="n">
        <v>424160</v>
      </c>
      <c r="I4232" s="46" t="n"/>
      <c r="K4232" s="46" t="n">
        <v>4231</v>
      </c>
      <c r="L4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3">
      <c r="A4233" s="229" t="n">
        <v>46339</v>
      </c>
      <c r="B4233" s="46" t="inlineStr">
        <is>
          <t>정기검사</t>
        </is>
      </c>
      <c r="C4233" s="46" t="inlineStr">
        <is>
          <t>부천지역</t>
        </is>
      </c>
      <c r="D4233" s="46" t="inlineStr">
        <is>
          <t>휴안뷰</t>
        </is>
      </c>
      <c r="E4233" s="46" t="n">
        <v>400</v>
      </c>
      <c r="F4233" s="46" t="inlineStr">
        <is>
          <t>소사동</t>
        </is>
      </c>
      <c r="G4233" s="50" t="n">
        <v>0.4791666666666667</v>
      </c>
      <c r="H4233" s="51" t="n">
        <v>703120</v>
      </c>
      <c r="I4233" s="46" t="n"/>
      <c r="K4233" s="46" t="n">
        <v>4232</v>
      </c>
      <c r="L4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4">
      <c r="A4234" s="229" t="n">
        <v>46339</v>
      </c>
      <c r="B4234" s="46" t="inlineStr">
        <is>
          <t>정기검사</t>
        </is>
      </c>
      <c r="C4234" s="46" t="inlineStr">
        <is>
          <t>부천지역</t>
        </is>
      </c>
      <c r="D4234" s="46" t="inlineStr">
        <is>
          <t>정남빌딩</t>
        </is>
      </c>
      <c r="E4234" s="46" t="inlineStr">
        <is>
          <t>700/182</t>
        </is>
      </c>
      <c r="F4234" s="46" t="inlineStr">
        <is>
          <t>삼정동</t>
        </is>
      </c>
      <c r="G4234" s="50" t="n">
        <v>0.2708333333333333</v>
      </c>
      <c r="H4234" s="51" t="n">
        <v>1293710</v>
      </c>
      <c r="I4234" s="46" t="n"/>
      <c r="K4234" s="46" t="n">
        <v>4233</v>
      </c>
      <c r="L4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5">
      <c r="A4235" s="229" t="n">
        <v>46339</v>
      </c>
      <c r="B4235" s="46" t="inlineStr">
        <is>
          <t>정기검사</t>
        </is>
      </c>
      <c r="C4235" s="46" t="inlineStr">
        <is>
          <t>김포지역</t>
        </is>
      </c>
      <c r="D4235" s="46" t="inlineStr">
        <is>
          <t>썬텍글라스</t>
        </is>
      </c>
      <c r="E4235" s="46" t="n">
        <v>950</v>
      </c>
      <c r="F4235" s="46" t="inlineStr">
        <is>
          <t>학운리</t>
        </is>
      </c>
      <c r="G4235" s="50" t="n">
        <v>0.4583333333333333</v>
      </c>
      <c r="H4235" s="51" t="n">
        <v>889460</v>
      </c>
      <c r="I4235" s="46" t="n"/>
      <c r="K4235" s="46" t="n">
        <v>4234</v>
      </c>
      <c r="L4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6">
      <c r="A4236" s="229" t="n">
        <v>46340</v>
      </c>
      <c r="B4236" s="46" t="inlineStr">
        <is>
          <t>메모</t>
        </is>
      </c>
      <c r="C4236" s="46" t="inlineStr">
        <is>
          <t>부천지역</t>
        </is>
      </c>
      <c r="D4236" s="46" t="inlineStr">
        <is>
          <t>한태희 휴가</t>
        </is>
      </c>
      <c r="E4236" s="46" t="n"/>
      <c r="F4236" s="46" t="n"/>
      <c r="G4236" s="50" t="n"/>
      <c r="H4236" s="51" t="n"/>
      <c r="I4236" s="46" t="n"/>
      <c r="K4236" s="46" t="n">
        <v>4235</v>
      </c>
      <c r="L4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7">
      <c r="A4237" s="229" t="n">
        <v>46342</v>
      </c>
      <c r="B4237" s="46" t="inlineStr">
        <is>
          <t>정기검사</t>
        </is>
      </c>
      <c r="C4237" s="46" t="inlineStr">
        <is>
          <t>부천지역</t>
        </is>
      </c>
      <c r="D4237" s="46" t="inlineStr">
        <is>
          <t>대야하이빌라</t>
        </is>
      </c>
      <c r="E4237" s="46" t="inlineStr">
        <is>
          <t>600/155</t>
        </is>
      </c>
      <c r="F4237" s="46" t="inlineStr">
        <is>
          <t>상동</t>
        </is>
      </c>
      <c r="G4237" s="50" t="n">
        <v>0.3958333333333333</v>
      </c>
      <c r="H4237" s="51" t="n">
        <v>953260</v>
      </c>
      <c r="I4237" s="46" t="n"/>
      <c r="K4237" s="46" t="n">
        <v>4236</v>
      </c>
      <c r="L4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8">
      <c r="A4238" s="229" t="n">
        <v>46342</v>
      </c>
      <c r="B4238" s="46" t="inlineStr">
        <is>
          <t>정기검사</t>
        </is>
      </c>
      <c r="C4238" s="46" t="inlineStr">
        <is>
          <t>부천지역</t>
        </is>
      </c>
      <c r="D4238" s="46" t="inlineStr">
        <is>
          <t>선학전기</t>
        </is>
      </c>
      <c r="E4238" s="46" t="n">
        <v>400</v>
      </c>
      <c r="F4238" s="46" t="inlineStr">
        <is>
          <t>도당동</t>
        </is>
      </c>
      <c r="G4238" s="50" t="n">
        <v>0.5625</v>
      </c>
      <c r="H4238" s="51" t="n">
        <v>703120</v>
      </c>
      <c r="I4238" s="46" t="n"/>
      <c r="K4238" s="46" t="n">
        <v>4237</v>
      </c>
      <c r="L4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9">
      <c r="A4239" s="229" t="n">
        <v>46342</v>
      </c>
      <c r="B4239" s="46" t="inlineStr">
        <is>
          <t>정기검사</t>
        </is>
      </c>
      <c r="C4239" s="46" t="inlineStr">
        <is>
          <t>김포지역</t>
        </is>
      </c>
      <c r="D4239" s="46" t="inlineStr">
        <is>
          <t>성락침례교회</t>
        </is>
      </c>
      <c r="E4239" s="46" t="n">
        <v>500</v>
      </c>
      <c r="F4239" s="46" t="inlineStr">
        <is>
          <t>감정동</t>
        </is>
      </c>
      <c r="G4239" s="50" t="n">
        <v>0.5625</v>
      </c>
      <c r="H4239" s="51" t="n">
        <v>737000</v>
      </c>
      <c r="I4239" s="46" t="n"/>
      <c r="K4239" s="46" t="n">
        <v>4238</v>
      </c>
      <c r="L4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0">
      <c r="A4240" s="229" t="n">
        <v>46342</v>
      </c>
      <c r="B4240" s="46" t="inlineStr">
        <is>
          <t>정기검사</t>
        </is>
      </c>
      <c r="C4240" s="46" t="inlineStr">
        <is>
          <t>김포지역</t>
        </is>
      </c>
      <c r="D4240" s="46" t="inlineStr">
        <is>
          <t>우진폴리텍</t>
        </is>
      </c>
      <c r="E4240" s="46" t="n">
        <v>500</v>
      </c>
      <c r="F4240" s="46" t="inlineStr">
        <is>
          <t>대포리</t>
        </is>
      </c>
      <c r="G4240" s="50" t="n">
        <v>0.4791666666666667</v>
      </c>
      <c r="H4240" s="51" t="n">
        <v>737000</v>
      </c>
      <c r="I4240" s="46" t="n"/>
      <c r="K4240" s="46" t="n">
        <v>4239</v>
      </c>
      <c r="L4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1">
      <c r="A4241" s="229" t="n">
        <v>46342</v>
      </c>
      <c r="B4241" s="46" t="inlineStr">
        <is>
          <t>사용전검사</t>
        </is>
      </c>
      <c r="C4241" s="46" t="inlineStr">
        <is>
          <t>김포지역</t>
        </is>
      </c>
      <c r="D4241" s="46" t="inlineStr">
        <is>
          <t>에스에이</t>
        </is>
      </c>
      <c r="E4241" s="46" t="n">
        <v>154</v>
      </c>
      <c r="F4241" s="46" t="inlineStr">
        <is>
          <t>송마리</t>
        </is>
      </c>
      <c r="G4241" s="50" t="n"/>
      <c r="H4241" s="51" t="n"/>
      <c r="I4241" s="46" t="n"/>
      <c r="K4241" s="46" t="n">
        <v>4240</v>
      </c>
      <c r="L4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2">
      <c r="A4242" s="229" t="n">
        <v>46343</v>
      </c>
      <c r="B4242" s="46" t="inlineStr">
        <is>
          <t>정기검사</t>
        </is>
      </c>
      <c r="C4242" s="46" t="inlineStr">
        <is>
          <t>부천지역</t>
        </is>
      </c>
      <c r="D4242" s="46" t="inlineStr">
        <is>
          <t>우남푸르미아</t>
        </is>
      </c>
      <c r="E4242" s="46" t="inlineStr">
        <is>
          <t>500/115</t>
        </is>
      </c>
      <c r="F4242" s="46" t="inlineStr">
        <is>
          <t>송내동</t>
        </is>
      </c>
      <c r="G4242" s="50" t="n">
        <v>0.4375</v>
      </c>
      <c r="H4242" s="51" t="n">
        <v>907610</v>
      </c>
      <c r="I4242" s="46" t="n"/>
      <c r="K4242" s="46" t="n">
        <v>4241</v>
      </c>
      <c r="L4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3">
      <c r="A4243" s="229" t="n">
        <v>46343</v>
      </c>
      <c r="B4243" s="46" t="inlineStr">
        <is>
          <t>정기검사</t>
        </is>
      </c>
      <c r="C4243" s="46" t="inlineStr">
        <is>
          <t>부천지역</t>
        </is>
      </c>
      <c r="D4243" s="46" t="inlineStr">
        <is>
          <t>제이곱아이앤씨</t>
        </is>
      </c>
      <c r="E4243" s="46" t="n">
        <v>900</v>
      </c>
      <c r="F4243" s="46" t="inlineStr">
        <is>
          <t>역곡동</t>
        </is>
      </c>
      <c r="G4243" s="50" t="n">
        <v>0.5</v>
      </c>
      <c r="H4243" s="51" t="n">
        <v>872520</v>
      </c>
      <c r="I4243" s="46" t="n"/>
      <c r="K4243" s="46" t="n">
        <v>4242</v>
      </c>
      <c r="L4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4">
      <c r="A4244" s="229" t="n">
        <v>46343</v>
      </c>
      <c r="B4244" s="46" t="inlineStr">
        <is>
          <t>정기검사</t>
        </is>
      </c>
      <c r="C4244" s="46" t="inlineStr">
        <is>
          <t>김포지역</t>
        </is>
      </c>
      <c r="D4244" s="46" t="inlineStr">
        <is>
          <t>에스에이치</t>
        </is>
      </c>
      <c r="E4244" s="46" t="n">
        <v>750</v>
      </c>
      <c r="F4244" s="46" t="inlineStr">
        <is>
          <t>걸포동</t>
        </is>
      </c>
      <c r="G4244" s="50" t="n">
        <v>0.2916666666666667</v>
      </c>
      <c r="H4244" s="51" t="n">
        <v>1068210</v>
      </c>
      <c r="I4244" s="46" t="n"/>
      <c r="K4244" s="46" t="n">
        <v>4243</v>
      </c>
      <c r="L4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5">
      <c r="A4245" s="229" t="n">
        <v>46343</v>
      </c>
      <c r="B4245" s="46" t="inlineStr">
        <is>
          <t>정기검사</t>
        </is>
      </c>
      <c r="C4245" s="46" t="inlineStr">
        <is>
          <t>김포지역</t>
        </is>
      </c>
      <c r="D4245" s="46" t="inlineStr">
        <is>
          <t>월곶공영차고</t>
        </is>
      </c>
      <c r="E4245" s="46" t="n">
        <v>300</v>
      </c>
      <c r="F4245" s="46" t="inlineStr">
        <is>
          <t>갈산리</t>
        </is>
      </c>
      <c r="G4245" s="50" t="n">
        <v>0.5833333333333334</v>
      </c>
      <c r="H4245" s="51" t="n">
        <v>521730</v>
      </c>
      <c r="I4245" s="46" t="n"/>
      <c r="K4245" s="46" t="n">
        <v>4244</v>
      </c>
      <c r="L4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6">
      <c r="A4246" s="229" t="n">
        <v>46343</v>
      </c>
      <c r="B4246" s="46" t="inlineStr">
        <is>
          <t>정기검사</t>
        </is>
      </c>
      <c r="C4246" s="46" t="inlineStr">
        <is>
          <t>김포지역</t>
        </is>
      </c>
      <c r="D4246" s="46" t="inlineStr">
        <is>
          <t>참우드</t>
        </is>
      </c>
      <c r="E4246" s="46" t="n">
        <v>295</v>
      </c>
      <c r="F4246" s="46" t="inlineStr">
        <is>
          <t>약암리</t>
        </is>
      </c>
      <c r="G4246" s="50" t="n">
        <v>0.4791666666666667</v>
      </c>
      <c r="H4246" s="51" t="n">
        <v>518430</v>
      </c>
      <c r="I4246" s="46" t="n"/>
      <c r="K4246" s="46" t="n">
        <v>4245</v>
      </c>
      <c r="L4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7">
      <c r="A4247" s="229" t="n">
        <v>46343</v>
      </c>
      <c r="B4247" s="46" t="inlineStr">
        <is>
          <t>정기검사</t>
        </is>
      </c>
      <c r="C4247" s="46" t="inlineStr">
        <is>
          <t>김포지역</t>
        </is>
      </c>
      <c r="D4247" s="46" t="inlineStr">
        <is>
          <t>오성태양광</t>
        </is>
      </c>
      <c r="E4247" s="46" t="n">
        <v>30</v>
      </c>
      <c r="F4247" s="46" t="inlineStr">
        <is>
          <t>가현리</t>
        </is>
      </c>
      <c r="G4247" s="50" t="n">
        <v>0.4166666666666667</v>
      </c>
      <c r="H4247" s="51" t="n">
        <v>183260</v>
      </c>
      <c r="I4247" s="46" t="n"/>
      <c r="K4247" s="46" t="n">
        <v>4246</v>
      </c>
      <c r="L4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8">
      <c r="A4248" s="229" t="n">
        <v>46344</v>
      </c>
      <c r="B4248" s="46" t="inlineStr">
        <is>
          <t>정기검사</t>
        </is>
      </c>
      <c r="C4248" s="46" t="inlineStr">
        <is>
          <t>부천지역</t>
        </is>
      </c>
      <c r="D4248" s="46" t="inlineStr">
        <is>
          <t>동남아파트</t>
        </is>
      </c>
      <c r="E4248" s="46" t="inlineStr">
        <is>
          <t>1750/545</t>
        </is>
      </c>
      <c r="F4248" s="46" t="inlineStr">
        <is>
          <t>상동</t>
        </is>
      </c>
      <c r="G4248" s="50" t="n">
        <v>0.5416666666666666</v>
      </c>
      <c r="H4248" s="51" t="n">
        <v>1291730</v>
      </c>
      <c r="I4248" s="46" t="n"/>
      <c r="K4248" s="46" t="n">
        <v>4247</v>
      </c>
      <c r="L4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9">
      <c r="A4249" s="229" t="n">
        <v>46344</v>
      </c>
      <c r="B4249" s="46" t="inlineStr">
        <is>
          <t>정기검사</t>
        </is>
      </c>
      <c r="C4249" s="46" t="inlineStr">
        <is>
          <t>부천지역</t>
        </is>
      </c>
      <c r="D4249" s="46" t="inlineStr">
        <is>
          <t>홈차운프라자</t>
        </is>
      </c>
      <c r="E4249" s="46" t="inlineStr">
        <is>
          <t>950/155</t>
        </is>
      </c>
      <c r="F4249" s="46" t="inlineStr">
        <is>
          <t>괴안동</t>
        </is>
      </c>
      <c r="G4249" s="50" t="n">
        <v>0.3958333333333333</v>
      </c>
      <c r="H4249" s="51" t="n">
        <v>1071840</v>
      </c>
      <c r="I4249" s="46" t="n"/>
      <c r="K4249" s="46" t="n">
        <v>4248</v>
      </c>
      <c r="L4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0">
      <c r="A4250" s="229" t="n">
        <v>46344</v>
      </c>
      <c r="B4250" s="46" t="inlineStr">
        <is>
          <t>정기검사</t>
        </is>
      </c>
      <c r="C4250" s="46" t="inlineStr">
        <is>
          <t>부천지역</t>
        </is>
      </c>
      <c r="D4250" s="46" t="inlineStr">
        <is>
          <t>홈차운프라자</t>
        </is>
      </c>
      <c r="E4250" s="46" t="inlineStr">
        <is>
          <t>전기차</t>
        </is>
      </c>
      <c r="F4250" s="46" t="n"/>
      <c r="G4250" s="50" t="n"/>
      <c r="H4250" s="51" t="n">
        <v>64240</v>
      </c>
      <c r="I4250" s="46" t="n"/>
      <c r="K4250" s="46" t="n">
        <v>4249</v>
      </c>
      <c r="L4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1">
      <c r="A4251" s="229" t="n">
        <v>46345</v>
      </c>
      <c r="B4251" s="46" t="inlineStr">
        <is>
          <t>정기검사</t>
        </is>
      </c>
      <c r="C4251" s="46" t="inlineStr">
        <is>
          <t>부천지역</t>
        </is>
      </c>
      <c r="D4251" s="46" t="inlineStr">
        <is>
          <t>그랜트프라자</t>
        </is>
      </c>
      <c r="E4251" s="46" t="inlineStr">
        <is>
          <t>964/115</t>
        </is>
      </c>
      <c r="F4251" s="46" t="inlineStr">
        <is>
          <t>상동</t>
        </is>
      </c>
      <c r="G4251" s="50" t="n">
        <v>0.2708333333333333</v>
      </c>
      <c r="H4251" s="51" t="n">
        <v>1505680</v>
      </c>
      <c r="I4251" s="46" t="n"/>
      <c r="K4251" s="46" t="n">
        <v>4250</v>
      </c>
      <c r="L4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2">
      <c r="A4252" s="229" t="n">
        <v>46345</v>
      </c>
      <c r="B4252" s="46" t="inlineStr">
        <is>
          <t>정기검사</t>
        </is>
      </c>
      <c r="C4252" s="46" t="inlineStr">
        <is>
          <t>부천지역</t>
        </is>
      </c>
      <c r="D4252" s="46" t="inlineStr">
        <is>
          <t>새롬프라자</t>
        </is>
      </c>
      <c r="E4252" s="46" t="inlineStr">
        <is>
          <t>500/105</t>
        </is>
      </c>
      <c r="F4252" s="46" t="inlineStr">
        <is>
          <t>상동</t>
        </is>
      </c>
      <c r="G4252" s="50" t="n">
        <v>0.3958333333333333</v>
      </c>
      <c r="H4252" s="51" t="n">
        <v>904640</v>
      </c>
      <c r="I4252" s="46" t="n"/>
      <c r="K4252" s="46" t="n">
        <v>4251</v>
      </c>
      <c r="L4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3">
      <c r="A4253" s="229" t="n">
        <v>46345</v>
      </c>
      <c r="B4253" s="46" t="inlineStr">
        <is>
          <t>정기검사</t>
        </is>
      </c>
      <c r="C4253" s="46" t="inlineStr">
        <is>
          <t>김포지역</t>
        </is>
      </c>
      <c r="D4253" s="46" t="inlineStr">
        <is>
          <t>한양수자인</t>
        </is>
      </c>
      <c r="E4253" s="46" t="inlineStr">
        <is>
          <t>전기차</t>
        </is>
      </c>
      <c r="F4253" s="46" t="inlineStr">
        <is>
          <t>장기동</t>
        </is>
      </c>
      <c r="G4253" s="50" t="n">
        <v>0.4166666666666667</v>
      </c>
      <c r="H4253" s="51" t="n">
        <v>216700</v>
      </c>
      <c r="I4253" s="46" t="n"/>
      <c r="K4253" s="46" t="n">
        <v>4252</v>
      </c>
      <c r="L4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4">
      <c r="A4254" s="229" t="n">
        <v>46345</v>
      </c>
      <c r="B4254" s="46" t="inlineStr">
        <is>
          <t>정기검사</t>
        </is>
      </c>
      <c r="C4254" s="46" t="inlineStr">
        <is>
          <t>김포지역</t>
        </is>
      </c>
      <c r="D4254" s="46" t="inlineStr">
        <is>
          <t>하인에스앤디</t>
        </is>
      </c>
      <c r="E4254" s="46" t="inlineStr">
        <is>
          <t>500/182</t>
        </is>
      </c>
      <c r="F4254" s="46" t="inlineStr">
        <is>
          <t>구래동</t>
        </is>
      </c>
      <c r="G4254" s="50" t="n">
        <v>0.3958333333333333</v>
      </c>
      <c r="H4254" s="51" t="n">
        <v>927410</v>
      </c>
      <c r="I4254" s="46" t="n"/>
      <c r="K4254" s="46" t="n">
        <v>4253</v>
      </c>
      <c r="L4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5">
      <c r="A4255" s="229" t="n">
        <v>46346</v>
      </c>
      <c r="B4255" s="46" t="inlineStr">
        <is>
          <t>정기검사</t>
        </is>
      </c>
      <c r="C4255" s="46" t="inlineStr">
        <is>
          <t>김포지역</t>
        </is>
      </c>
      <c r="D4255" s="46" t="inlineStr">
        <is>
          <t>도움메티칼</t>
        </is>
      </c>
      <c r="E4255" s="46" t="n">
        <v>150</v>
      </c>
      <c r="F4255" s="46" t="inlineStr">
        <is>
          <t>석탄리</t>
        </is>
      </c>
      <c r="G4255" s="50" t="n">
        <v>0.4791666666666667</v>
      </c>
      <c r="H4255" s="51" t="n">
        <v>424160</v>
      </c>
      <c r="I4255" s="46" t="n"/>
      <c r="K4255" s="46" t="n">
        <v>4254</v>
      </c>
      <c r="L4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6">
      <c r="A4256" s="229" t="n">
        <v>46346</v>
      </c>
      <c r="B4256" s="46" t="inlineStr">
        <is>
          <t>정기검사</t>
        </is>
      </c>
      <c r="C4256" s="46" t="inlineStr">
        <is>
          <t>김포지역</t>
        </is>
      </c>
      <c r="D4256" s="46" t="inlineStr">
        <is>
          <t>세화정밀</t>
        </is>
      </c>
      <c r="E4256" s="46" t="n">
        <v>150</v>
      </c>
      <c r="F4256" s="46" t="inlineStr">
        <is>
          <t>학운리</t>
        </is>
      </c>
      <c r="G4256" s="50" t="n">
        <v>0.4791666666666667</v>
      </c>
      <c r="H4256" s="51" t="n">
        <v>424160</v>
      </c>
      <c r="I4256" s="46" t="n"/>
      <c r="K4256" s="46" t="n">
        <v>4255</v>
      </c>
      <c r="L4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7">
      <c r="A4257" s="229" t="n">
        <v>46346</v>
      </c>
      <c r="B4257" s="46" t="inlineStr">
        <is>
          <t>정기검사</t>
        </is>
      </c>
      <c r="C4257" s="46" t="inlineStr">
        <is>
          <t>김포지역</t>
        </is>
      </c>
      <c r="D4257" s="46" t="inlineStr">
        <is>
          <t>선인산업</t>
        </is>
      </c>
      <c r="E4257" s="46" t="n">
        <v>350</v>
      </c>
      <c r="F4257" s="46" t="inlineStr">
        <is>
          <t>원산리</t>
        </is>
      </c>
      <c r="G4257" s="50" t="n">
        <v>0.5416666666666666</v>
      </c>
      <c r="H4257" s="51" t="n">
        <v>686180</v>
      </c>
      <c r="I4257" s="46" t="n"/>
      <c r="K4257" s="46" t="n">
        <v>4256</v>
      </c>
      <c r="L4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8">
      <c r="A4258" s="229" t="n">
        <v>46347</v>
      </c>
      <c r="B4258" s="46" t="inlineStr">
        <is>
          <t>정기검사</t>
        </is>
      </c>
      <c r="C4258" s="46" t="inlineStr">
        <is>
          <t>부천지역</t>
        </is>
      </c>
      <c r="D4258" s="46" t="inlineStr">
        <is>
          <t>아이피디</t>
        </is>
      </c>
      <c r="E4258" s="46" t="n">
        <v>2750</v>
      </c>
      <c r="F4258" s="46" t="inlineStr">
        <is>
          <t>도당동</t>
        </is>
      </c>
      <c r="G4258" s="50" t="n">
        <v>0.4166666666666667</v>
      </c>
      <c r="H4258" s="51" t="n">
        <v>1511070</v>
      </c>
      <c r="I4258" s="46" t="n"/>
      <c r="K4258" s="46" t="n">
        <v>4257</v>
      </c>
      <c r="L4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9">
      <c r="A4259" s="229" t="n">
        <v>46348</v>
      </c>
      <c r="B4259" s="46" t="inlineStr">
        <is>
          <t>정기검사</t>
        </is>
      </c>
      <c r="C4259" s="46" t="inlineStr">
        <is>
          <t>김포지역</t>
        </is>
      </c>
      <c r="D4259" s="46" t="inlineStr">
        <is>
          <t>홍우프라자</t>
        </is>
      </c>
      <c r="E4259" s="46" t="inlineStr">
        <is>
          <t>950/328</t>
        </is>
      </c>
      <c r="F4259" s="46" t="inlineStr">
        <is>
          <t>장기동</t>
        </is>
      </c>
      <c r="G4259" s="50" t="n">
        <v>0.25</v>
      </c>
      <c r="H4259" s="51" t="n">
        <v>1442650</v>
      </c>
      <c r="I4259" s="46" t="n"/>
      <c r="K4259" s="46" t="n">
        <v>4258</v>
      </c>
      <c r="L4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0">
      <c r="A4260" s="229" t="n">
        <v>46348</v>
      </c>
      <c r="B4260" s="46" t="inlineStr">
        <is>
          <t>메모</t>
        </is>
      </c>
      <c r="C4260" s="46" t="inlineStr">
        <is>
          <t>부천지역</t>
        </is>
      </c>
      <c r="D4260" s="46" t="inlineStr">
        <is>
          <t>한태희 휴가</t>
        </is>
      </c>
      <c r="E4260" s="46" t="n"/>
      <c r="F4260" s="46" t="n"/>
      <c r="G4260" s="50" t="n"/>
      <c r="H4260" s="51" t="n"/>
      <c r="I4260" s="46" t="n"/>
      <c r="K4260" s="46" t="n">
        <v>4259</v>
      </c>
      <c r="L4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1">
      <c r="A4261" s="229" t="n">
        <v>46349</v>
      </c>
      <c r="B4261" s="46" t="inlineStr">
        <is>
          <t>정기검사</t>
        </is>
      </c>
      <c r="C4261" s="46" t="inlineStr">
        <is>
          <t>부천지역</t>
        </is>
      </c>
      <c r="D4261" s="46" t="inlineStr">
        <is>
          <t>펠리스가툰티</t>
        </is>
      </c>
      <c r="E4261" s="46" t="inlineStr">
        <is>
          <t>800/200</t>
        </is>
      </c>
      <c r="F4261" s="46" t="inlineStr">
        <is>
          <t>중동</t>
        </is>
      </c>
      <c r="G4261" s="50" t="n">
        <v>0.3958333333333333</v>
      </c>
      <c r="H4261" s="51" t="n">
        <v>1034440</v>
      </c>
      <c r="I4261" s="46" t="n"/>
      <c r="K4261" s="46" t="n">
        <v>4260</v>
      </c>
      <c r="L4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2">
      <c r="A4262" s="229" t="n">
        <v>46350</v>
      </c>
      <c r="B4262" s="46" t="inlineStr">
        <is>
          <t>정기검사</t>
        </is>
      </c>
      <c r="C4262" s="46" t="inlineStr">
        <is>
          <t>김포지역</t>
        </is>
      </c>
      <c r="D4262" s="46" t="inlineStr">
        <is>
          <t>스위트엠아크라시티</t>
        </is>
      </c>
      <c r="E4262" s="46" t="inlineStr">
        <is>
          <t>950/318</t>
        </is>
      </c>
      <c r="F4262" s="46" t="inlineStr">
        <is>
          <t>구래동</t>
        </is>
      </c>
      <c r="G4262" s="50" t="n">
        <v>0.4166666666666667</v>
      </c>
      <c r="H4262" s="51" t="n">
        <v>1107590</v>
      </c>
      <c r="I4262" s="46" t="n"/>
      <c r="K4262" s="46" t="n">
        <v>4261</v>
      </c>
      <c r="L4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3">
      <c r="A4263" s="229" t="n">
        <v>46350</v>
      </c>
      <c r="B4263" s="46" t="inlineStr">
        <is>
          <t>정기검사</t>
        </is>
      </c>
      <c r="C4263" s="46" t="inlineStr">
        <is>
          <t>김포지역</t>
        </is>
      </c>
      <c r="D4263" s="46" t="inlineStr">
        <is>
          <t>스위트엠아크라시티</t>
        </is>
      </c>
      <c r="E4263" s="46" t="inlineStr">
        <is>
          <t>전기차</t>
        </is>
      </c>
      <c r="F4263" s="46" t="inlineStr">
        <is>
          <t>구래동</t>
        </is>
      </c>
      <c r="G4263" s="50" t="n">
        <v>0.4166666666666667</v>
      </c>
      <c r="H4263" s="51" t="n">
        <v>64240</v>
      </c>
      <c r="I4263" s="46" t="n"/>
      <c r="K4263" s="46" t="n">
        <v>4262</v>
      </c>
      <c r="L4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4">
      <c r="A4264" s="229" t="n">
        <v>46350</v>
      </c>
      <c r="B4264" s="46" t="inlineStr">
        <is>
          <t>정기검사</t>
        </is>
      </c>
      <c r="C4264" s="46" t="inlineStr">
        <is>
          <t>김포지역</t>
        </is>
      </c>
      <c r="D4264" s="46" t="inlineStr">
        <is>
          <t>우미산업</t>
        </is>
      </c>
      <c r="E4264" s="46" t="n">
        <v>600</v>
      </c>
      <c r="F4264" s="46" t="inlineStr">
        <is>
          <t>학운리</t>
        </is>
      </c>
      <c r="G4264" s="50" t="n">
        <v>0.4791666666666667</v>
      </c>
      <c r="H4264" s="51" t="n">
        <v>770880</v>
      </c>
      <c r="I4264" s="46" t="n"/>
      <c r="K4264" s="46" t="n">
        <v>4263</v>
      </c>
      <c r="L4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5">
      <c r="A4265" s="229" t="n">
        <v>46351</v>
      </c>
      <c r="B4265" s="46" t="inlineStr">
        <is>
          <t>정기검사</t>
        </is>
      </c>
      <c r="C4265" s="46" t="inlineStr">
        <is>
          <t>김포지역</t>
        </is>
      </c>
      <c r="D4265" s="46" t="inlineStr">
        <is>
          <t>대원칸타빌</t>
        </is>
      </c>
      <c r="E4265" s="46" t="inlineStr">
        <is>
          <t>300/180</t>
        </is>
      </c>
      <c r="F4265" s="46" t="inlineStr">
        <is>
          <t>장기동</t>
        </is>
      </c>
      <c r="G4265" s="50" t="n">
        <v>0.4166666666666667</v>
      </c>
      <c r="H4265" s="51" t="n">
        <v>711590</v>
      </c>
      <c r="I4265" s="46" t="n"/>
      <c r="K4265" s="46" t="n">
        <v>4264</v>
      </c>
      <c r="L4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6">
      <c r="A4266" s="229" t="n">
        <v>46351</v>
      </c>
      <c r="B4266" s="46" t="inlineStr">
        <is>
          <t>정기검사</t>
        </is>
      </c>
      <c r="C4266" s="46" t="inlineStr">
        <is>
          <t>김포지역</t>
        </is>
      </c>
      <c r="D4266" s="46" t="inlineStr">
        <is>
          <t>홈프러스풍무점</t>
        </is>
      </c>
      <c r="E4266" s="46" t="inlineStr">
        <is>
          <t>4000/909</t>
        </is>
      </c>
      <c r="F4266" s="46" t="inlineStr">
        <is>
          <t>풍무동</t>
        </is>
      </c>
      <c r="G4266" s="50" t="n">
        <v>0.3958333333333333</v>
      </c>
      <c r="H4266" s="51" t="n">
        <v>1688940</v>
      </c>
      <c r="I4266" s="46" t="n"/>
      <c r="K4266" s="46" t="n">
        <v>4265</v>
      </c>
      <c r="L4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7">
      <c r="A4267" s="229" t="n">
        <v>46351</v>
      </c>
      <c r="B4267" s="46" t="inlineStr">
        <is>
          <t>정기검사</t>
        </is>
      </c>
      <c r="C4267" s="46" t="inlineStr">
        <is>
          <t>김포지역</t>
        </is>
      </c>
      <c r="D4267" s="46" t="inlineStr">
        <is>
          <t>월드아파트</t>
        </is>
      </c>
      <c r="E4267" s="46" t="inlineStr">
        <is>
          <t>980/270</t>
        </is>
      </c>
      <c r="F4267" s="46" t="inlineStr">
        <is>
          <t>운양동</t>
        </is>
      </c>
      <c r="G4267" s="50" t="n">
        <v>0.4375</v>
      </c>
      <c r="H4267" s="51" t="n">
        <v>1116060</v>
      </c>
      <c r="I4267" s="46" t="n"/>
      <c r="K4267" s="46" t="n">
        <v>4266</v>
      </c>
      <c r="L4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8">
      <c r="A4268" s="229" t="n">
        <v>46352</v>
      </c>
      <c r="B4268" s="46" t="inlineStr">
        <is>
          <t>정기검사</t>
        </is>
      </c>
      <c r="C4268" s="46" t="inlineStr">
        <is>
          <t>김포지역</t>
        </is>
      </c>
      <c r="D4268" s="46" t="inlineStr">
        <is>
          <t>한강호텔</t>
        </is>
      </c>
      <c r="E4268" s="46" t="n">
        <v>2000</v>
      </c>
      <c r="F4268" s="46" t="inlineStr">
        <is>
          <t>고촌</t>
        </is>
      </c>
      <c r="G4268" s="50" t="n">
        <v>0.5833333333333334</v>
      </c>
      <c r="H4268" s="51" t="n">
        <v>1309880</v>
      </c>
      <c r="I4268" s="46" t="n"/>
      <c r="K4268" s="46" t="n">
        <v>4267</v>
      </c>
      <c r="L4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9">
      <c r="A4269" s="229" t="n">
        <v>46352</v>
      </c>
      <c r="B4269" s="46" t="inlineStr">
        <is>
          <t>정기검사</t>
        </is>
      </c>
      <c r="C4269" s="46" t="inlineStr">
        <is>
          <t>김포지역</t>
        </is>
      </c>
      <c r="D4269" s="46" t="inlineStr">
        <is>
          <t>한국전기</t>
        </is>
      </c>
      <c r="E4269" s="46" t="inlineStr">
        <is>
          <t>950/364</t>
        </is>
      </c>
      <c r="F4269" s="46" t="inlineStr">
        <is>
          <t>구래동</t>
        </is>
      </c>
      <c r="G4269" s="50" t="n">
        <v>0.5208333333333334</v>
      </c>
      <c r="H4269" s="51" t="n">
        <v>1125190</v>
      </c>
      <c r="I4269" s="46" t="n"/>
      <c r="K4269" s="46" t="n">
        <v>4268</v>
      </c>
      <c r="L4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0">
      <c r="A4270" s="229" t="n">
        <v>46353</v>
      </c>
      <c r="B4270" s="46" t="inlineStr">
        <is>
          <t>정기검사</t>
        </is>
      </c>
      <c r="C4270" s="46" t="inlineStr">
        <is>
          <t>김포지역</t>
        </is>
      </c>
      <c r="D4270" s="46" t="inlineStr">
        <is>
          <t>이랜드힐스타운상가</t>
        </is>
      </c>
      <c r="E4270" s="46" t="n">
        <v>175</v>
      </c>
      <c r="F4270" s="46" t="inlineStr">
        <is>
          <t>운양동</t>
        </is>
      </c>
      <c r="G4270" s="50" t="n">
        <v>0.4166666666666667</v>
      </c>
      <c r="H4270" s="51" t="n">
        <v>188320</v>
      </c>
      <c r="I4270" s="46" t="n"/>
      <c r="K4270" s="46" t="n">
        <v>4269</v>
      </c>
      <c r="L4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1">
      <c r="A4271" s="229" t="n">
        <v>46353</v>
      </c>
      <c r="B4271" s="46" t="inlineStr">
        <is>
          <t>정기검사</t>
        </is>
      </c>
      <c r="C4271" s="46" t="inlineStr">
        <is>
          <t>김포지역</t>
        </is>
      </c>
      <c r="D4271" s="46" t="inlineStr">
        <is>
          <t>kcc스웨친</t>
        </is>
      </c>
      <c r="E4271" s="46" t="inlineStr">
        <is>
          <t>6500/1750</t>
        </is>
      </c>
      <c r="F4271" s="46" t="inlineStr">
        <is>
          <t>운양동</t>
        </is>
      </c>
      <c r="G4271" s="50" t="n">
        <v>0.4166666666666667</v>
      </c>
      <c r="H4271" s="51" t="n">
        <v>2066020</v>
      </c>
      <c r="I4271" s="46" t="n"/>
      <c r="K4271" s="46" t="n">
        <v>4270</v>
      </c>
      <c r="L4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2">
      <c r="A4272" s="229" t="n">
        <v>46353</v>
      </c>
      <c r="B4272" s="46" t="inlineStr">
        <is>
          <t>정기검사</t>
        </is>
      </c>
      <c r="C4272" s="46" t="inlineStr">
        <is>
          <t>김포지역</t>
        </is>
      </c>
      <c r="D4272" s="46" t="inlineStr">
        <is>
          <t>kcc스웨친</t>
        </is>
      </c>
      <c r="E4272" s="46" t="inlineStr">
        <is>
          <t>전기차</t>
        </is>
      </c>
      <c r="F4272" s="46" t="n"/>
      <c r="G4272" s="50" t="n"/>
      <c r="H4272" s="51" t="n">
        <v>132000</v>
      </c>
      <c r="I4272" s="46" t="n"/>
      <c r="K4272" s="46" t="n">
        <v>4271</v>
      </c>
      <c r="L4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3">
      <c r="A4273" s="229" t="n">
        <v>46356</v>
      </c>
      <c r="B4273" s="46" t="inlineStr">
        <is>
          <t>정기검사</t>
        </is>
      </c>
      <c r="C4273" s="46" t="inlineStr">
        <is>
          <t>부천지역</t>
        </is>
      </c>
      <c r="D4273" s="46" t="inlineStr">
        <is>
          <t>이차밥</t>
        </is>
      </c>
      <c r="E4273" s="46" t="n">
        <v>990</v>
      </c>
      <c r="F4273" s="46" t="inlineStr">
        <is>
          <t>고강동</t>
        </is>
      </c>
      <c r="G4273" s="50" t="n">
        <v>0.4375</v>
      </c>
      <c r="H4273" s="51" t="n">
        <v>902990</v>
      </c>
      <c r="I4273" s="46" t="n"/>
      <c r="K4273" s="46" t="n">
        <v>4272</v>
      </c>
      <c r="L4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4">
      <c r="A4274" s="229" t="n">
        <v>46356</v>
      </c>
      <c r="B4274" s="46" t="inlineStr">
        <is>
          <t>정기검사</t>
        </is>
      </c>
      <c r="C4274" s="46" t="inlineStr">
        <is>
          <t>부천지역</t>
        </is>
      </c>
      <c r="D4274" s="46" t="inlineStr">
        <is>
          <t>이차밥</t>
        </is>
      </c>
      <c r="E4274" s="46" t="n">
        <v>991</v>
      </c>
      <c r="F4274" s="46" t="inlineStr">
        <is>
          <t>고강동</t>
        </is>
      </c>
      <c r="G4274" s="50" t="n">
        <v>0.4791666666666667</v>
      </c>
      <c r="H4274" s="51" t="n">
        <v>902990</v>
      </c>
      <c r="I4274" s="46" t="n"/>
      <c r="K4274" s="46" t="n">
        <v>4273</v>
      </c>
      <c r="L4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5">
      <c r="A4275" s="229" t="n">
        <v>46358</v>
      </c>
      <c r="B4275" s="46" t="inlineStr">
        <is>
          <t>정기검사</t>
        </is>
      </c>
      <c r="C4275" s="46" t="inlineStr">
        <is>
          <t>부천지역</t>
        </is>
      </c>
      <c r="D4275" s="46" t="inlineStr">
        <is>
          <t>상승프라자</t>
        </is>
      </c>
      <c r="E4275" s="46" t="n">
        <v>300</v>
      </c>
      <c r="F4275" s="46" t="inlineStr">
        <is>
          <t>중동</t>
        </is>
      </c>
      <c r="G4275" s="50" t="n">
        <v>0.4166666666666667</v>
      </c>
      <c r="H4275" s="51" t="n">
        <v>521730</v>
      </c>
      <c r="I4275" s="46" t="n"/>
      <c r="K4275" s="46" t="n">
        <v>4274</v>
      </c>
      <c r="L4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6">
      <c r="A4276" s="229" t="n">
        <v>46362</v>
      </c>
      <c r="B4276" s="46" t="inlineStr">
        <is>
          <t>정기검사</t>
        </is>
      </c>
      <c r="C4276" s="46" t="inlineStr">
        <is>
          <t>부천지역</t>
        </is>
      </c>
      <c r="D4276" s="46" t="inlineStr">
        <is>
          <t>st산업개발</t>
        </is>
      </c>
      <c r="E4276" s="46" t="n">
        <v>500</v>
      </c>
      <c r="F4276" s="46" t="inlineStr">
        <is>
          <t>춘의동</t>
        </is>
      </c>
      <c r="G4276" s="50" t="n">
        <v>0.4166666666666667</v>
      </c>
      <c r="H4276" s="51" t="n">
        <v>958100</v>
      </c>
      <c r="I4276" s="46" t="n"/>
      <c r="K4276" s="46" t="n">
        <v>4275</v>
      </c>
      <c r="L4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7">
      <c r="A4277" s="229" t="n">
        <v>46366</v>
      </c>
      <c r="B4277" s="46" t="inlineStr">
        <is>
          <t>정기검사</t>
        </is>
      </c>
      <c r="C4277" s="46" t="inlineStr">
        <is>
          <t>김포지역</t>
        </is>
      </c>
      <c r="D4277" s="46" t="inlineStr">
        <is>
          <t>제이엠컨텐츠</t>
        </is>
      </c>
      <c r="E4277" s="46" t="n">
        <v>750</v>
      </c>
      <c r="F4277" s="46" t="inlineStr">
        <is>
          <t>고촌</t>
        </is>
      </c>
      <c r="G4277" s="50" t="n">
        <v>0.3333333333333333</v>
      </c>
      <c r="H4277" s="51" t="n">
        <v>1068210</v>
      </c>
      <c r="I4277" s="46" t="n"/>
      <c r="K4277" s="46" t="n">
        <v>4276</v>
      </c>
      <c r="L4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8">
      <c r="A4278" s="229" t="n">
        <v>46371</v>
      </c>
      <c r="B4278" s="46" t="inlineStr">
        <is>
          <t>정기검사</t>
        </is>
      </c>
      <c r="C4278" s="46" t="inlineStr">
        <is>
          <t>부천지역</t>
        </is>
      </c>
      <c r="D4278" s="46" t="inlineStr">
        <is>
          <t>삼성레미안</t>
        </is>
      </c>
      <c r="E4278" s="46" t="inlineStr">
        <is>
          <t>2650/727</t>
        </is>
      </c>
      <c r="F4278" s="46" t="inlineStr">
        <is>
          <t>중동</t>
        </is>
      </c>
      <c r="G4278" s="50" t="n">
        <v>0.4166666666666667</v>
      </c>
      <c r="H4278" s="51" t="n">
        <v>1457390</v>
      </c>
      <c r="I4278" s="46" t="n"/>
      <c r="K4278" s="46" t="n">
        <v>4277</v>
      </c>
      <c r="L4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9">
      <c r="A4279" s="229" t="n">
        <v>46371</v>
      </c>
      <c r="B4279" s="46" t="inlineStr">
        <is>
          <t>정기검사</t>
        </is>
      </c>
      <c r="C4279" s="46" t="inlineStr">
        <is>
          <t>부천지역</t>
        </is>
      </c>
      <c r="D4279" s="46" t="inlineStr">
        <is>
          <t>삼성레미안</t>
        </is>
      </c>
      <c r="E4279" s="46" t="inlineStr">
        <is>
          <t>500/272</t>
        </is>
      </c>
      <c r="F4279" s="46" t="inlineStr">
        <is>
          <t>중동</t>
        </is>
      </c>
      <c r="G4279" s="50" t="n">
        <v>0.4583333333333333</v>
      </c>
      <c r="H4279" s="51" t="n">
        <v>954030</v>
      </c>
      <c r="I4279" s="46" t="n"/>
      <c r="K4279" s="46" t="n">
        <v>4278</v>
      </c>
      <c r="L4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</sheetData>
  <conditionalFormatting sqref="L2:L7279">
    <cfRule type="expression" priority="1" dxfId="16">
      <formula>$L2&lt;&gt;""</formula>
    </cfRule>
  </conditionalFormatting>
  <conditionalFormatting sqref="A2:K7279">
    <cfRule type="expression" priority="2" dxfId="17">
      <formula>$B2="메모"</formula>
    </cfRule>
  </conditionalFormatting>
  <dataValidations count="3">
    <dataValidation sqref="B2:B7279" showDropDown="0" showInputMessage="1" showErrorMessage="1" allowBlank="1" type="list">
      <formula1>"정기검사,사용전검사,메모"</formula1>
    </dataValidation>
    <dataValidation sqref="C2:C7279" showDropDown="0" showInputMessage="1" showErrorMessage="1" allowBlank="1" type="list">
      <formula1>"부천지역,김포지역"</formula1>
    </dataValidation>
    <dataValidation sqref="I2:I7279" showDropDown="0" showInputMessage="0" showErrorMessage="0" allowBlank="1" type="list">
      <formula1>검사자명단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13">
    <tabColor rgb="007F7F7F"/>
    <outlinePr summaryBelow="1" summaryRight="1"/>
    <pageSetUpPr fitToPage="1"/>
  </sheetPr>
  <dimension ref="A1:CL180"/>
  <sheetViews>
    <sheetView tabSelected="0" workbookViewId="0">
      <selection activeCell="G21" sqref="G21"/>
    </sheetView>
  </sheetViews>
  <sheetFormatPr baseColWidth="8" defaultRowHeight="17.4"/>
  <cols>
    <col width="2" customWidth="1" style="22" min="1" max="1"/>
    <col width="9" customWidth="1" style="22" min="2" max="2"/>
    <col width="20" customWidth="1" style="22" min="3" max="3"/>
    <col width="8" customWidth="1" style="22" min="4" max="4"/>
    <col width="9" customWidth="1" style="22" min="5" max="5"/>
    <col width="6.5" customWidth="1" style="22" min="6" max="6"/>
    <col width="10" customWidth="1" style="22" min="7" max="7"/>
    <col width="8" customWidth="1" style="22" min="8" max="8"/>
    <col width="20" customWidth="1" style="22" min="9" max="9"/>
    <col width="8" customWidth="1" style="22" min="10" max="10"/>
    <col width="9" customWidth="1" style="22" min="11" max="11"/>
    <col width="6.5" customWidth="1" style="22" min="12" max="12"/>
    <col width="8" customWidth="1" style="22" min="13" max="13"/>
    <col width="2" customWidth="1" style="22" min="14" max="14"/>
    <col width="9" customWidth="1" style="22" min="15" max="15"/>
    <col width="20" customWidth="1" style="22" min="16" max="16"/>
    <col width="8" customWidth="1" style="22" min="17" max="17"/>
    <col width="9" customWidth="1" style="22" min="18" max="18"/>
    <col width="6.5" customWidth="1" style="22" min="19" max="19"/>
    <col width="10" customWidth="1" style="22" min="20" max="20"/>
    <col width="8" customWidth="1" style="22" min="21" max="21"/>
    <col width="20" customWidth="1" style="22" min="22" max="22"/>
    <col width="8" customWidth="1" style="22" min="23" max="23"/>
    <col width="9" customWidth="1" style="22" min="24" max="24"/>
    <col width="6.5" customWidth="1" style="22" min="25" max="25"/>
    <col width="8" customWidth="1" style="22" min="26" max="26"/>
    <col width="2" customWidth="1" style="22" min="27" max="27"/>
    <col width="9" customWidth="1" style="22" min="28" max="28"/>
    <col width="20" customWidth="1" style="22" min="29" max="29"/>
    <col width="8" customWidth="1" style="22" min="30" max="30"/>
    <col width="9" customWidth="1" style="22" min="31" max="31"/>
    <col width="6.5" customWidth="1" style="22" min="32" max="32"/>
    <col width="10" customWidth="1" style="22" min="33" max="33"/>
    <col width="8" customWidth="1" style="22" min="34" max="34"/>
    <col width="20" customWidth="1" style="22" min="35" max="35"/>
    <col width="8" customWidth="1" style="22" min="36" max="36"/>
    <col width="9" customWidth="1" style="22" min="37" max="37"/>
    <col width="6.5" customWidth="1" style="22" min="38" max="38"/>
    <col width="8" customWidth="1" style="22" min="39" max="39"/>
    <col width="2" customWidth="1" style="22" min="40" max="40"/>
    <col width="9" customWidth="1" style="22" min="41" max="41"/>
    <col width="20" customWidth="1" style="22" min="42" max="42"/>
    <col width="8" customWidth="1" style="22" min="43" max="43"/>
    <col width="9" customWidth="1" style="22" min="44" max="44"/>
    <col width="6.5" customWidth="1" style="22" min="45" max="45"/>
    <col width="10" customWidth="1" style="22" min="46" max="46"/>
    <col width="8" customWidth="1" style="22" min="47" max="47"/>
    <col width="20" customWidth="1" style="22" min="48" max="48"/>
    <col width="8" customWidth="1" style="22" min="49" max="49"/>
    <col width="9" customWidth="1" style="22" min="50" max="50"/>
    <col width="6.5" customWidth="1" style="22" min="51" max="51"/>
    <col width="8" customWidth="1" style="22" min="52" max="52"/>
    <col width="2" customWidth="1" style="22" min="53" max="53"/>
    <col width="9" customWidth="1" style="22" min="54" max="54"/>
    <col width="20" customWidth="1" style="22" min="55" max="55"/>
    <col width="8" customWidth="1" style="22" min="56" max="56"/>
    <col width="9" customWidth="1" style="22" min="57" max="57"/>
    <col width="6.5" customWidth="1" style="22" min="58" max="58"/>
    <col width="10" customWidth="1" style="22" min="59" max="59"/>
    <col width="8" customWidth="1" style="22" min="60" max="60"/>
    <col width="20" customWidth="1" style="22" min="61" max="61"/>
    <col width="8" customWidth="1" style="22" min="62" max="62"/>
    <col width="9" customWidth="1" style="22" min="63" max="63"/>
    <col width="6.5" customWidth="1" style="22" min="64" max="64"/>
    <col width="8" customWidth="1" style="22" min="65" max="65"/>
    <col width="2" customWidth="1" style="22" min="66" max="66"/>
    <col width="9" customWidth="1" style="22" min="67" max="67"/>
    <col width="20" customWidth="1" style="22" min="68" max="68"/>
    <col width="8" customWidth="1" style="22" min="69" max="69"/>
    <col width="9" customWidth="1" style="22" min="70" max="70"/>
    <col width="6.5" customWidth="1" style="22" min="71" max="71"/>
    <col width="10" customWidth="1" style="22" min="72" max="72"/>
    <col width="8" customWidth="1" style="22" min="73" max="73"/>
    <col width="20" customWidth="1" style="22" min="74" max="74"/>
    <col width="8" customWidth="1" style="22" min="75" max="75"/>
    <col width="9" customWidth="1" style="22" min="76" max="76"/>
    <col width="6.5" customWidth="1" style="22" min="77" max="77"/>
    <col width="8" customWidth="1" style="22" min="78" max="78"/>
    <col width="2" customWidth="1" style="22" min="79" max="79"/>
  </cols>
  <sheetData>
    <row r="1" ht="20.4" customHeight="1" s="22">
      <c r="A1" s="171" t="n"/>
      <c r="B1" s="230" t="inlineStr">
        <is>
          <t>2026년 10월 접수대장 (원데이터 기준 자동 생성)</t>
        </is>
      </c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  <c r="AI1" s="171" t="n"/>
      <c r="AJ1" s="171" t="n"/>
      <c r="AK1" s="171" t="n"/>
      <c r="AL1" s="171" t="n"/>
      <c r="AM1" s="171" t="n"/>
      <c r="AN1" s="171" t="n"/>
      <c r="AO1" s="171" t="n"/>
      <c r="AP1" s="171" t="n"/>
      <c r="AQ1" s="171" t="n"/>
      <c r="AR1" s="171" t="n"/>
      <c r="AS1" s="171" t="n"/>
      <c r="AT1" s="171" t="n"/>
      <c r="AU1" s="171" t="n"/>
      <c r="AV1" s="171" t="n"/>
      <c r="AW1" s="171" t="n"/>
      <c r="AX1" s="171" t="n"/>
      <c r="AY1" s="171" t="n"/>
      <c r="AZ1" s="171" t="n"/>
      <c r="BA1" s="171" t="n"/>
      <c r="BB1" s="171" t="n"/>
      <c r="BC1" s="171" t="n"/>
      <c r="BD1" s="171" t="n"/>
      <c r="BE1" s="171" t="n"/>
      <c r="BF1" s="171" t="n"/>
      <c r="BG1" s="171" t="n"/>
      <c r="BH1" s="171" t="n"/>
      <c r="BI1" s="171" t="n"/>
      <c r="BJ1" s="171" t="n"/>
      <c r="BK1" s="171" t="n"/>
      <c r="BL1" s="171" t="n"/>
      <c r="BM1" s="171" t="n"/>
      <c r="BN1" s="171" t="n"/>
      <c r="BO1" s="171" t="n"/>
      <c r="BP1" s="171" t="n"/>
      <c r="BQ1" s="171" t="n"/>
      <c r="BR1" s="171" t="n"/>
      <c r="BS1" s="171" t="n"/>
      <c r="BT1" s="171" t="n"/>
      <c r="BU1" s="171" t="n"/>
      <c r="BV1" s="171" t="n"/>
      <c r="BW1" s="171" t="n"/>
      <c r="BX1" s="171" t="n"/>
      <c r="BY1" s="171" t="n"/>
      <c r="BZ1" s="171" t="n"/>
      <c r="CA1" s="171" t="n"/>
      <c r="CB1" s="171" t="n"/>
      <c r="CC1" s="171" t="n"/>
      <c r="CD1" s="171" t="n"/>
      <c r="CE1" s="171" t="n"/>
      <c r="CF1" s="171" t="n"/>
      <c r="CG1" s="171" t="n"/>
      <c r="CH1" s="171" t="n"/>
      <c r="CI1" s="171" t="n"/>
      <c r="CJ1" s="171" t="n"/>
      <c r="CK1" s="171" t="n"/>
      <c r="CL1" s="171" t="n"/>
    </row>
    <row r="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  <c r="AI2" s="171" t="n"/>
      <c r="AJ2" s="171" t="n"/>
      <c r="AK2" s="171" t="n"/>
      <c r="AL2" s="171" t="n"/>
      <c r="AM2" s="171" t="n"/>
      <c r="AN2" s="171" t="n"/>
      <c r="AO2" s="171" t="n"/>
      <c r="AP2" s="171" t="n"/>
      <c r="AQ2" s="171" t="n"/>
      <c r="AR2" s="171" t="n"/>
      <c r="AS2" s="171" t="n"/>
      <c r="AT2" s="171" t="n"/>
      <c r="AU2" s="171" t="n"/>
      <c r="AV2" s="171" t="n"/>
      <c r="AW2" s="171" t="n"/>
      <c r="AX2" s="171" t="n"/>
      <c r="AY2" s="171" t="n"/>
      <c r="AZ2" s="171" t="n"/>
      <c r="BA2" s="171" t="n"/>
      <c r="BB2" s="171" t="n"/>
      <c r="BC2" s="171" t="n"/>
      <c r="BD2" s="171" t="n"/>
      <c r="BE2" s="171" t="n"/>
      <c r="BF2" s="171" t="n"/>
      <c r="BG2" s="171" t="n"/>
      <c r="BH2" s="171" t="n"/>
      <c r="BI2" s="171" t="n"/>
      <c r="BJ2" s="171" t="n"/>
      <c r="BK2" s="171" t="n"/>
      <c r="BL2" s="171" t="n"/>
      <c r="BM2" s="171" t="n"/>
      <c r="BN2" s="171" t="n"/>
      <c r="BO2" s="171" t="n"/>
      <c r="BP2" s="171" t="n"/>
      <c r="BQ2" s="171" t="n"/>
      <c r="BR2" s="171" t="n"/>
      <c r="BS2" s="171" t="n"/>
      <c r="BT2" s="171" t="n"/>
      <c r="BU2" s="171" t="n"/>
      <c r="BV2" s="171" t="n"/>
      <c r="BW2" s="171" t="n"/>
      <c r="BX2" s="171" t="n"/>
      <c r="BY2" s="171" t="n"/>
      <c r="BZ2" s="171" t="n"/>
      <c r="CA2" s="171" t="n"/>
      <c r="CB2" s="171" t="n"/>
      <c r="CC2" s="171" t="n"/>
      <c r="CD2" s="171" t="n"/>
      <c r="CE2" s="171" t="n"/>
      <c r="CF2" s="171" t="n"/>
      <c r="CG2" s="171" t="n"/>
      <c r="CH2" s="171" t="n"/>
      <c r="CI2" s="171" t="n"/>
      <c r="CJ2" s="171" t="n"/>
      <c r="CK2" s="171" t="n"/>
      <c r="CL2" s="171" t="n"/>
    </row>
    <row r="3">
      <c r="A3" s="171" t="n"/>
      <c r="B3" s="171" t="inlineStr">
        <is>
          <t>기준월</t>
        </is>
      </c>
      <c r="C3" s="231" t="n">
        <v>46296</v>
      </c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  <c r="AI3" s="171" t="n"/>
      <c r="AJ3" s="171" t="n"/>
      <c r="AK3" s="171" t="n"/>
      <c r="AL3" s="171" t="n"/>
      <c r="AM3" s="171" t="n"/>
      <c r="AN3" s="171" t="n"/>
      <c r="AO3" s="171" t="n"/>
      <c r="AP3" s="171" t="n"/>
      <c r="AQ3" s="171" t="n"/>
      <c r="AR3" s="171" t="n"/>
      <c r="AS3" s="171" t="n"/>
      <c r="AT3" s="171" t="n"/>
      <c r="AU3" s="171" t="n"/>
      <c r="AV3" s="171" t="n"/>
      <c r="AW3" s="171" t="n"/>
      <c r="AX3" s="171" t="n"/>
      <c r="AY3" s="171" t="n"/>
      <c r="AZ3" s="171" t="n"/>
      <c r="BA3" s="171" t="n"/>
      <c r="BB3" s="171" t="n"/>
      <c r="BC3" s="171" t="n"/>
      <c r="BD3" s="171" t="n"/>
      <c r="BE3" s="171" t="n"/>
      <c r="BF3" s="171" t="n"/>
      <c r="BG3" s="171" t="n"/>
      <c r="BH3" s="171" t="n"/>
      <c r="BI3" s="171" t="n"/>
      <c r="BJ3" s="171" t="n"/>
      <c r="BK3" s="171" t="n"/>
      <c r="BL3" s="171" t="n"/>
      <c r="BM3" s="171" t="n"/>
      <c r="BN3" s="171" t="n"/>
      <c r="BO3" s="171" t="n"/>
      <c r="BP3" s="171" t="n"/>
      <c r="BQ3" s="171" t="n"/>
      <c r="BR3" s="171" t="n"/>
      <c r="BS3" s="171" t="n"/>
      <c r="BT3" s="171" t="n"/>
      <c r="BU3" s="171" t="n"/>
      <c r="BV3" s="171" t="n"/>
      <c r="BW3" s="171" t="n"/>
      <c r="BX3" s="171" t="n"/>
      <c r="BY3" s="171" t="n"/>
      <c r="BZ3" s="171" t="n"/>
      <c r="CA3" s="171" t="n"/>
      <c r="CB3" s="171" t="n"/>
      <c r="CC3" s="171" t="n"/>
      <c r="CD3" s="171" t="n"/>
      <c r="CE3" s="171" t="n"/>
      <c r="CF3" s="171" t="n"/>
      <c r="CG3" s="171" t="n"/>
      <c r="CH3" s="171" t="n"/>
      <c r="CI3" s="171" t="n"/>
      <c r="CJ3" s="171" t="n"/>
      <c r="CK3" s="171" t="n"/>
      <c r="CL3" s="171" t="n"/>
    </row>
    <row r="4">
      <c r="A4" s="171" t="n"/>
      <c r="B4" s="171" t="n"/>
      <c r="C4" s="171" t="n"/>
      <c r="D4" s="171" t="n"/>
      <c r="E4" s="171" t="n"/>
      <c r="F4" s="171" t="n"/>
      <c r="G4" s="171" t="n"/>
      <c r="H4" s="171" t="n"/>
      <c r="I4" s="171" t="n"/>
      <c r="J4" s="171" t="n"/>
      <c r="K4" s="171" t="n"/>
      <c r="L4" s="171" t="n"/>
      <c r="M4" s="171" t="n"/>
      <c r="N4" s="171" t="n"/>
      <c r="O4" s="171" t="n"/>
      <c r="P4" s="171" t="n"/>
      <c r="Q4" s="171" t="n"/>
      <c r="R4" s="171" t="n"/>
      <c r="S4" s="171" t="n"/>
      <c r="T4" s="171" t="n"/>
      <c r="U4" s="171" t="n"/>
      <c r="V4" s="171" t="n"/>
      <c r="W4" s="171" t="n"/>
      <c r="X4" s="171" t="n"/>
      <c r="Y4" s="171" t="n"/>
      <c r="Z4" s="171" t="n"/>
      <c r="AA4" s="171" t="n"/>
      <c r="AB4" s="171" t="n"/>
      <c r="AC4" s="171" t="n"/>
      <c r="AD4" s="171" t="n"/>
      <c r="AE4" s="171" t="n"/>
      <c r="AF4" s="171" t="n"/>
      <c r="AG4" s="171" t="n"/>
      <c r="AH4" s="171" t="n"/>
      <c r="AI4" s="171" t="n"/>
      <c r="AJ4" s="171" t="n"/>
      <c r="AK4" s="171" t="n"/>
      <c r="AL4" s="171" t="n"/>
      <c r="AM4" s="171" t="n"/>
      <c r="AN4" s="171" t="n"/>
      <c r="AO4" s="171" t="n"/>
      <c r="AP4" s="171" t="n"/>
      <c r="AQ4" s="171" t="n"/>
      <c r="AR4" s="171" t="n"/>
      <c r="AS4" s="171" t="n"/>
      <c r="AT4" s="171" t="n"/>
      <c r="AU4" s="171" t="n"/>
      <c r="AV4" s="171" t="n"/>
      <c r="AW4" s="171" t="n"/>
      <c r="AX4" s="171" t="n"/>
      <c r="AY4" s="171" t="n"/>
      <c r="AZ4" s="171" t="n"/>
      <c r="BA4" s="171" t="n"/>
      <c r="BB4" s="171" t="n"/>
      <c r="BC4" s="171" t="n"/>
      <c r="BD4" s="171" t="n"/>
      <c r="BE4" s="171" t="n"/>
      <c r="BF4" s="171" t="n"/>
      <c r="BG4" s="171" t="n"/>
      <c r="BH4" s="171" t="n"/>
      <c r="BI4" s="171" t="n"/>
      <c r="BJ4" s="171" t="n"/>
      <c r="BK4" s="171" t="n"/>
      <c r="BL4" s="171" t="n"/>
      <c r="BM4" s="171" t="n"/>
      <c r="BN4" s="171" t="n"/>
      <c r="BO4" s="171" t="n"/>
      <c r="BP4" s="171" t="n"/>
      <c r="BQ4" s="171" t="n"/>
      <c r="BR4" s="171" t="n"/>
      <c r="BS4" s="171" t="n"/>
      <c r="BT4" s="171" t="n"/>
      <c r="BU4" s="171" t="n"/>
      <c r="BV4" s="171" t="n"/>
      <c r="BW4" s="171" t="n"/>
      <c r="BX4" s="171" t="n"/>
      <c r="BY4" s="171" t="n"/>
      <c r="BZ4" s="171" t="n"/>
      <c r="CA4" s="171" t="n"/>
      <c r="CB4" s="171" t="n"/>
      <c r="CC4" s="171" t="n"/>
      <c r="CD4" s="171" t="n"/>
      <c r="CE4" s="171" t="n"/>
      <c r="CF4" s="171" t="n"/>
      <c r="CG4" s="171" t="n"/>
      <c r="CH4" s="171" t="n"/>
      <c r="CI4" s="171" t="n"/>
      <c r="CJ4" s="171" t="n"/>
      <c r="CK4" s="171" t="n"/>
      <c r="CL4" s="171" t="n"/>
    </row>
    <row r="5" ht="19.8" customHeight="1" s="22" thickBot="1">
      <c r="A5" s="171" t="n"/>
      <c r="B5" s="171" t="n"/>
      <c r="C5" s="171" t="n"/>
      <c r="D5" s="171" t="n"/>
      <c r="E5" s="171" t="n"/>
      <c r="F5" s="171" t="n"/>
      <c r="G5" s="171" t="n"/>
      <c r="H5" s="171" t="n"/>
      <c r="I5" s="171" t="n"/>
      <c r="J5" s="171" t="n"/>
      <c r="K5" s="171" t="n"/>
      <c r="L5" s="171" t="n"/>
      <c r="M5" s="171" t="n"/>
      <c r="N5" s="171" t="n"/>
      <c r="O5" s="232" t="n">
        <v>46300</v>
      </c>
      <c r="Q5" s="171" t="n"/>
      <c r="R5" s="171" t="n"/>
      <c r="S5" s="171" t="n"/>
      <c r="T5" s="171" t="n"/>
      <c r="U5" s="171" t="n"/>
      <c r="V5" s="171" t="n"/>
      <c r="W5" s="171" t="n"/>
      <c r="X5" s="171" t="n"/>
      <c r="Y5" s="171" t="n"/>
      <c r="Z5" s="233" t="inlineStr">
        <is>
          <t>(월)</t>
        </is>
      </c>
      <c r="AA5" s="171" t="n"/>
      <c r="AB5" s="232" t="n">
        <v>46307</v>
      </c>
      <c r="AD5" s="171" t="n"/>
      <c r="AE5" s="171" t="n"/>
      <c r="AF5" s="171" t="n"/>
      <c r="AG5" s="171" t="n"/>
      <c r="AH5" s="171" t="n"/>
      <c r="AI5" s="171" t="n"/>
      <c r="AJ5" s="171" t="n"/>
      <c r="AK5" s="171" t="n"/>
      <c r="AL5" s="171" t="n"/>
      <c r="AM5" s="233" t="inlineStr">
        <is>
          <t>(월)</t>
        </is>
      </c>
      <c r="AN5" s="171" t="n"/>
      <c r="AO5" s="232" t="n">
        <v>46314</v>
      </c>
      <c r="AQ5" s="171" t="n"/>
      <c r="AR5" s="171" t="n"/>
      <c r="AS5" s="171" t="n"/>
      <c r="AT5" s="171" t="n"/>
      <c r="AU5" s="171" t="n"/>
      <c r="AV5" s="171" t="n"/>
      <c r="AW5" s="171" t="n"/>
      <c r="AX5" s="171" t="n"/>
      <c r="AY5" s="171" t="n"/>
      <c r="AZ5" s="233" t="inlineStr">
        <is>
          <t>(월)</t>
        </is>
      </c>
      <c r="BA5" s="171" t="n"/>
      <c r="BB5" s="232" t="n">
        <v>46321</v>
      </c>
      <c r="BD5" s="171" t="n"/>
      <c r="BE5" s="171" t="n"/>
      <c r="BF5" s="171" t="n"/>
      <c r="BG5" s="171" t="n"/>
      <c r="BH5" s="171" t="n"/>
      <c r="BI5" s="171" t="n"/>
      <c r="BJ5" s="171" t="n"/>
      <c r="BK5" s="171" t="n"/>
      <c r="BL5" s="171" t="n"/>
      <c r="BM5" s="233" t="inlineStr">
        <is>
          <t>(월)</t>
        </is>
      </c>
      <c r="BN5" s="171" t="n"/>
      <c r="BO5" s="171" t="n"/>
      <c r="BP5" s="171" t="n"/>
      <c r="BQ5" s="171" t="n"/>
      <c r="BR5" s="171" t="n"/>
      <c r="BS5" s="171" t="n"/>
      <c r="BT5" s="171" t="n"/>
      <c r="BU5" s="171" t="n"/>
      <c r="BV5" s="171" t="n"/>
      <c r="BW5" s="171" t="n"/>
      <c r="BX5" s="171" t="n"/>
      <c r="BY5" s="171" t="n"/>
      <c r="BZ5" s="171" t="n"/>
      <c r="CA5" s="171" t="n"/>
      <c r="CB5" s="171" t="n"/>
      <c r="CC5" s="171" t="n"/>
      <c r="CD5" s="171" t="n"/>
      <c r="CE5" s="171" t="n"/>
      <c r="CF5" s="171" t="n"/>
      <c r="CG5" s="171" t="n"/>
      <c r="CH5" s="171" t="n"/>
      <c r="CI5" s="171" t="n"/>
      <c r="CJ5" s="171" t="n"/>
      <c r="CK5" s="171" t="n"/>
      <c r="CL5" s="171" t="n"/>
    </row>
    <row r="6">
      <c r="A6" s="171" t="n"/>
      <c r="B6" s="171" t="n"/>
      <c r="C6" s="171" t="n"/>
      <c r="D6" s="171" t="n"/>
      <c r="E6" s="171" t="n"/>
      <c r="F6" s="171" t="n"/>
      <c r="G6" s="171" t="n"/>
      <c r="H6" s="171" t="n"/>
      <c r="I6" s="171" t="n"/>
      <c r="J6" s="171" t="n"/>
      <c r="K6" s="171" t="n"/>
      <c r="L6" s="171" t="n"/>
      <c r="M6" s="171" t="n"/>
      <c r="N6" s="171" t="n"/>
      <c r="O6" s="234" t="inlineStr">
        <is>
          <t>정기검사</t>
        </is>
      </c>
      <c r="P6" s="235" t="n"/>
      <c r="Q6" s="235" t="n"/>
      <c r="R6" s="235" t="n"/>
      <c r="S6" s="235" t="n"/>
      <c r="T6" s="235" t="n"/>
      <c r="U6" s="235" t="n"/>
      <c r="V6" s="236" t="inlineStr">
        <is>
          <t>사용전검사</t>
        </is>
      </c>
      <c r="W6" s="237" t="n"/>
      <c r="X6" s="237" t="n"/>
      <c r="Y6" s="237" t="n"/>
      <c r="Z6" s="238" t="n"/>
      <c r="AA6" s="171" t="n"/>
      <c r="AB6" s="234" t="inlineStr">
        <is>
          <t>정기검사</t>
        </is>
      </c>
      <c r="AC6" s="235" t="n"/>
      <c r="AD6" s="235" t="n"/>
      <c r="AE6" s="235" t="n"/>
      <c r="AF6" s="235" t="n"/>
      <c r="AG6" s="235" t="n"/>
      <c r="AH6" s="235" t="n"/>
      <c r="AI6" s="236" t="inlineStr">
        <is>
          <t>사용전검사</t>
        </is>
      </c>
      <c r="AJ6" s="237" t="n"/>
      <c r="AK6" s="237" t="n"/>
      <c r="AL6" s="237" t="n"/>
      <c r="AM6" s="238" t="n"/>
      <c r="AN6" s="171" t="n"/>
      <c r="AO6" s="234" t="inlineStr">
        <is>
          <t>정기검사</t>
        </is>
      </c>
      <c r="AP6" s="235" t="n"/>
      <c r="AQ6" s="235" t="n"/>
      <c r="AR6" s="235" t="n"/>
      <c r="AS6" s="235" t="n"/>
      <c r="AT6" s="235" t="n"/>
      <c r="AU6" s="235" t="n"/>
      <c r="AV6" s="236" t="inlineStr">
        <is>
          <t>사용전검사</t>
        </is>
      </c>
      <c r="AW6" s="237" t="n"/>
      <c r="AX6" s="237" t="n"/>
      <c r="AY6" s="237" t="n"/>
      <c r="AZ6" s="238" t="n"/>
      <c r="BA6" s="171" t="n"/>
      <c r="BB6" s="234" t="inlineStr">
        <is>
          <t>정기검사</t>
        </is>
      </c>
      <c r="BC6" s="235" t="n"/>
      <c r="BD6" s="235" t="n"/>
      <c r="BE6" s="235" t="n"/>
      <c r="BF6" s="235" t="n"/>
      <c r="BG6" s="235" t="n"/>
      <c r="BH6" s="235" t="n"/>
      <c r="BI6" s="236" t="inlineStr">
        <is>
          <t>사용전검사</t>
        </is>
      </c>
      <c r="BJ6" s="237" t="n"/>
      <c r="BK6" s="237" t="n"/>
      <c r="BL6" s="237" t="n"/>
      <c r="BM6" s="238" t="n"/>
      <c r="BN6" s="171" t="n"/>
      <c r="BO6" s="171" t="n"/>
      <c r="BP6" s="171" t="n"/>
      <c r="BQ6" s="171" t="n"/>
      <c r="BR6" s="171" t="n"/>
      <c r="BS6" s="171" t="n"/>
      <c r="BT6" s="171" t="n"/>
      <c r="BU6" s="171" t="n"/>
      <c r="BV6" s="171" t="n"/>
      <c r="BW6" s="171" t="n"/>
      <c r="BX6" s="171" t="n"/>
      <c r="BY6" s="171" t="n"/>
      <c r="BZ6" s="171" t="n"/>
      <c r="CA6" s="171" t="n"/>
      <c r="CB6" s="171" t="n"/>
      <c r="CC6" s="171" t="n"/>
      <c r="CD6" s="171" t="n"/>
      <c r="CE6" s="171" t="n"/>
      <c r="CF6" s="171" t="n"/>
      <c r="CG6" s="171" t="n"/>
      <c r="CH6" s="171" t="n"/>
      <c r="CI6" s="171" t="n"/>
      <c r="CJ6" s="171" t="n"/>
      <c r="CK6" s="171" t="n"/>
      <c r="CL6" s="171" t="n"/>
    </row>
    <row r="7">
      <c r="A7" s="171" t="n"/>
      <c r="B7" s="171" t="n"/>
      <c r="C7" s="171" t="n"/>
      <c r="D7" s="171" t="n"/>
      <c r="E7" s="171" t="n"/>
      <c r="F7" s="171" t="n"/>
      <c r="G7" s="171" t="n"/>
      <c r="H7" s="171" t="n"/>
      <c r="I7" s="171" t="n"/>
      <c r="J7" s="171" t="n"/>
      <c r="K7" s="171" t="n"/>
      <c r="L7" s="171" t="n"/>
      <c r="M7" s="171" t="n"/>
      <c r="N7" s="171" t="n"/>
      <c r="O7" s="239" t="inlineStr">
        <is>
          <t>구분</t>
        </is>
      </c>
      <c r="P7" s="240" t="inlineStr">
        <is>
          <t>상호</t>
        </is>
      </c>
      <c r="Q7" s="240" t="inlineStr">
        <is>
          <t>용량</t>
        </is>
      </c>
      <c r="R7" s="240" t="inlineStr">
        <is>
          <t>지역</t>
        </is>
      </c>
      <c r="S7" s="240" t="inlineStr">
        <is>
          <t>시간</t>
        </is>
      </c>
      <c r="T7" s="240" t="inlineStr">
        <is>
          <t>수수료</t>
        </is>
      </c>
      <c r="U7" s="240" t="inlineStr">
        <is>
          <t>검사자</t>
        </is>
      </c>
      <c r="V7" s="239" t="inlineStr">
        <is>
          <t>상호</t>
        </is>
      </c>
      <c r="W7" s="240" t="inlineStr">
        <is>
          <t>용량</t>
        </is>
      </c>
      <c r="X7" s="240" t="inlineStr">
        <is>
          <t>지역</t>
        </is>
      </c>
      <c r="Y7" s="240" t="inlineStr">
        <is>
          <t>시간</t>
        </is>
      </c>
      <c r="Z7" s="241" t="inlineStr">
        <is>
          <t>검사자</t>
        </is>
      </c>
      <c r="AA7" s="171" t="n"/>
      <c r="AB7" s="239" t="inlineStr">
        <is>
          <t>구분</t>
        </is>
      </c>
      <c r="AC7" s="240" t="inlineStr">
        <is>
          <t>상호</t>
        </is>
      </c>
      <c r="AD7" s="240" t="inlineStr">
        <is>
          <t>용량</t>
        </is>
      </c>
      <c r="AE7" s="240" t="inlineStr">
        <is>
          <t>지역</t>
        </is>
      </c>
      <c r="AF7" s="240" t="inlineStr">
        <is>
          <t>시간</t>
        </is>
      </c>
      <c r="AG7" s="240" t="inlineStr">
        <is>
          <t>수수료</t>
        </is>
      </c>
      <c r="AH7" s="240" t="inlineStr">
        <is>
          <t>검사자</t>
        </is>
      </c>
      <c r="AI7" s="239" t="inlineStr">
        <is>
          <t>상호</t>
        </is>
      </c>
      <c r="AJ7" s="240" t="inlineStr">
        <is>
          <t>용량</t>
        </is>
      </c>
      <c r="AK7" s="240" t="inlineStr">
        <is>
          <t>지역</t>
        </is>
      </c>
      <c r="AL7" s="240" t="inlineStr">
        <is>
          <t>시간</t>
        </is>
      </c>
      <c r="AM7" s="241" t="inlineStr">
        <is>
          <t>검사자</t>
        </is>
      </c>
      <c r="AN7" s="171" t="n"/>
      <c r="AO7" s="239" t="inlineStr">
        <is>
          <t>구분</t>
        </is>
      </c>
      <c r="AP7" s="240" t="inlineStr">
        <is>
          <t>상호</t>
        </is>
      </c>
      <c r="AQ7" s="240" t="inlineStr">
        <is>
          <t>용량</t>
        </is>
      </c>
      <c r="AR7" s="240" t="inlineStr">
        <is>
          <t>지역</t>
        </is>
      </c>
      <c r="AS7" s="240" t="inlineStr">
        <is>
          <t>시간</t>
        </is>
      </c>
      <c r="AT7" s="240" t="inlineStr">
        <is>
          <t>수수료</t>
        </is>
      </c>
      <c r="AU7" s="240" t="inlineStr">
        <is>
          <t>검사자</t>
        </is>
      </c>
      <c r="AV7" s="239" t="inlineStr">
        <is>
          <t>상호</t>
        </is>
      </c>
      <c r="AW7" s="240" t="inlineStr">
        <is>
          <t>용량</t>
        </is>
      </c>
      <c r="AX7" s="240" t="inlineStr">
        <is>
          <t>지역</t>
        </is>
      </c>
      <c r="AY7" s="240" t="inlineStr">
        <is>
          <t>시간</t>
        </is>
      </c>
      <c r="AZ7" s="241" t="inlineStr">
        <is>
          <t>검사자</t>
        </is>
      </c>
      <c r="BA7" s="171" t="n"/>
      <c r="BB7" s="239" t="inlineStr">
        <is>
          <t>구분</t>
        </is>
      </c>
      <c r="BC7" s="240" t="inlineStr">
        <is>
          <t>상호</t>
        </is>
      </c>
      <c r="BD7" s="240" t="inlineStr">
        <is>
          <t>용량</t>
        </is>
      </c>
      <c r="BE7" s="240" t="inlineStr">
        <is>
          <t>지역</t>
        </is>
      </c>
      <c r="BF7" s="240" t="inlineStr">
        <is>
          <t>시간</t>
        </is>
      </c>
      <c r="BG7" s="240" t="inlineStr">
        <is>
          <t>수수료</t>
        </is>
      </c>
      <c r="BH7" s="240" t="inlineStr">
        <is>
          <t>검사자</t>
        </is>
      </c>
      <c r="BI7" s="239" t="inlineStr">
        <is>
          <t>상호</t>
        </is>
      </c>
      <c r="BJ7" s="240" t="inlineStr">
        <is>
          <t>용량</t>
        </is>
      </c>
      <c r="BK7" s="240" t="inlineStr">
        <is>
          <t>지역</t>
        </is>
      </c>
      <c r="BL7" s="240" t="inlineStr">
        <is>
          <t>시간</t>
        </is>
      </c>
      <c r="BM7" s="241" t="inlineStr">
        <is>
          <t>검사자</t>
        </is>
      </c>
      <c r="BN7" s="171" t="n"/>
      <c r="BO7" s="171" t="n"/>
      <c r="BP7" s="171" t="n"/>
      <c r="BQ7" s="171" t="n"/>
      <c r="BR7" s="171" t="n"/>
      <c r="BS7" s="171" t="n"/>
      <c r="BT7" s="171" t="n"/>
      <c r="BU7" s="171" t="n"/>
      <c r="BV7" s="171" t="n"/>
      <c r="BW7" s="171" t="n"/>
      <c r="BX7" s="171" t="n"/>
      <c r="BY7" s="171" t="n"/>
      <c r="BZ7" s="171" t="n"/>
      <c r="CA7" s="171" t="n"/>
      <c r="CB7" s="171" t="n"/>
      <c r="CC7" s="171" t="n"/>
      <c r="CD7" s="171" t="n"/>
      <c r="CE7" s="171" t="n"/>
      <c r="CF7" s="171" t="n"/>
      <c r="CG7" s="171" t="n"/>
      <c r="CH7" s="171" t="n"/>
      <c r="CI7" s="171" t="n"/>
      <c r="CJ7" s="171" t="n"/>
      <c r="CK7" s="171" t="n"/>
      <c r="CL7" s="171" t="n"/>
    </row>
    <row r="8">
      <c r="A8" s="171" t="n"/>
      <c r="B8" s="171" t="n"/>
      <c r="C8" s="171" t="n"/>
      <c r="D8" s="171" t="n"/>
      <c r="E8" s="171" t="n"/>
      <c r="F8" s="171" t="n"/>
      <c r="G8" s="171" t="n"/>
      <c r="H8" s="171" t="n"/>
      <c r="I8" s="171" t="n"/>
      <c r="J8" s="171" t="n"/>
      <c r="K8" s="171" t="n"/>
      <c r="L8" s="171" t="n"/>
      <c r="M8" s="171" t="n"/>
      <c r="N8" s="171" t="n"/>
      <c r="O8" s="242" t="inlineStr">
        <is>
          <t>부천지역</t>
        </is>
      </c>
      <c r="P8" s="243" t="n"/>
      <c r="Q8" s="243" t="n"/>
      <c r="R8" s="204" t="n"/>
      <c r="S8" s="205" t="n"/>
      <c r="T8" s="244" t="n"/>
      <c r="U8" s="204" t="n"/>
      <c r="V8" s="207" t="inlineStr">
        <is>
          <t>서수형휴가</t>
        </is>
      </c>
      <c r="W8" s="245" t="n"/>
      <c r="X8" s="209" t="n"/>
      <c r="Y8" s="210" t="n"/>
      <c r="Z8" s="246" t="n"/>
      <c r="AA8" s="171" t="n"/>
      <c r="AB8" s="242" t="inlineStr">
        <is>
          <t>부천지역</t>
        </is>
      </c>
      <c r="AC8" s="243" t="inlineStr">
        <is>
          <t>동인화학</t>
        </is>
      </c>
      <c r="AD8" s="243" t="n">
        <v>290</v>
      </c>
      <c r="AE8" s="204" t="inlineStr">
        <is>
          <t>삼정동</t>
        </is>
      </c>
      <c r="AF8" s="205" t="n">
        <v>0.5416666666666666</v>
      </c>
      <c r="AG8" s="244" t="n">
        <v>515130</v>
      </c>
      <c r="AH8" s="204" t="inlineStr">
        <is>
          <t>허창수</t>
        </is>
      </c>
      <c r="AI8" s="207" t="inlineStr">
        <is>
          <t>소신여객</t>
        </is>
      </c>
      <c r="AJ8" s="245" t="inlineStr">
        <is>
          <t>변변</t>
        </is>
      </c>
      <c r="AK8" s="209" t="n"/>
      <c r="AL8" s="210" t="n"/>
      <c r="AM8" s="246" t="inlineStr">
        <is>
          <t>허창수</t>
        </is>
      </c>
      <c r="AN8" s="171" t="n"/>
      <c r="AO8" s="242" t="inlineStr">
        <is>
          <t>부천지역</t>
        </is>
      </c>
      <c r="AP8" s="243" t="inlineStr">
        <is>
          <t>아머드프레시팩토리</t>
        </is>
      </c>
      <c r="AQ8" s="243" t="n">
        <v>290</v>
      </c>
      <c r="AR8" s="204" t="inlineStr">
        <is>
          <t>내동</t>
        </is>
      </c>
      <c r="AS8" s="205" t="n">
        <v>0.4791666666666667</v>
      </c>
      <c r="AT8" s="244" t="n">
        <v>515130</v>
      </c>
      <c r="AU8" s="204" t="n"/>
      <c r="AV8" s="207" t="inlineStr">
        <is>
          <t>포스코</t>
        </is>
      </c>
      <c r="AW8" s="245" t="n">
        <v>340</v>
      </c>
      <c r="AX8" s="209" t="inlineStr">
        <is>
          <t>여월동</t>
        </is>
      </c>
      <c r="AY8" s="210" t="n"/>
      <c r="AZ8" s="246" t="n"/>
      <c r="BA8" s="171" t="n"/>
      <c r="BB8" s="242" t="inlineStr">
        <is>
          <t>부천지역</t>
        </is>
      </c>
      <c r="BC8" s="243" t="inlineStr">
        <is>
          <t>에이치와이 홀딩스</t>
        </is>
      </c>
      <c r="BD8" s="243" t="n">
        <v>990</v>
      </c>
      <c r="BE8" s="204" t="inlineStr">
        <is>
          <t>상동</t>
        </is>
      </c>
      <c r="BF8" s="205" t="n">
        <v>0.6041666666666666</v>
      </c>
      <c r="BG8" s="244" t="n">
        <v>902990</v>
      </c>
      <c r="BH8" s="204" t="n"/>
      <c r="BI8" s="207" t="inlineStr">
        <is>
          <t>김영권휴가</t>
        </is>
      </c>
      <c r="BJ8" s="245" t="n"/>
      <c r="BK8" s="209" t="n"/>
      <c r="BL8" s="210" t="n"/>
      <c r="BM8" s="246" t="n"/>
      <c r="BN8" s="171" t="n"/>
      <c r="BO8" s="171" t="n"/>
      <c r="BP8" s="171" t="n"/>
      <c r="BQ8" s="171" t="n"/>
      <c r="BR8" s="171" t="n"/>
      <c r="BS8" s="171" t="n"/>
      <c r="BT8" s="171" t="n"/>
      <c r="BU8" s="171" t="n"/>
      <c r="BV8" s="171" t="n"/>
      <c r="BW8" s="171" t="n"/>
      <c r="BX8" s="171" t="n"/>
      <c r="BY8" s="171" t="n"/>
      <c r="BZ8" s="171" t="n"/>
      <c r="CA8" s="171" t="n"/>
      <c r="CB8" s="171" t="n"/>
      <c r="CC8" s="171" t="n"/>
      <c r="CD8" s="171" t="n"/>
      <c r="CE8" s="171" t="n"/>
      <c r="CF8" s="171" t="n"/>
      <c r="CG8" s="171" t="n"/>
      <c r="CH8" s="171" t="n"/>
      <c r="CI8" s="171" t="n"/>
      <c r="CJ8" s="171" t="n"/>
      <c r="CK8" s="171" t="n"/>
      <c r="CL8" s="171" t="n"/>
    </row>
    <row r="9">
      <c r="A9" s="171" t="n"/>
      <c r="B9" s="171" t="n"/>
      <c r="C9" s="171" t="n"/>
      <c r="D9" s="171" t="n"/>
      <c r="E9" s="171" t="n"/>
      <c r="F9" s="171" t="n"/>
      <c r="G9" s="171" t="n"/>
      <c r="H9" s="171" t="n"/>
      <c r="I9" s="171" t="n"/>
      <c r="J9" s="171" t="n"/>
      <c r="K9" s="171" t="n"/>
      <c r="L9" s="171" t="n"/>
      <c r="M9" s="171" t="n"/>
      <c r="N9" s="171" t="n"/>
      <c r="O9" s="242" t="n"/>
      <c r="P9" s="243" t="n"/>
      <c r="Q9" s="243" t="n"/>
      <c r="R9" s="204" t="n"/>
      <c r="S9" s="205" t="n"/>
      <c r="T9" s="244" t="n"/>
      <c r="U9" s="204" t="n"/>
      <c r="V9" s="207" t="n"/>
      <c r="W9" s="245" t="n"/>
      <c r="X9" s="209" t="n"/>
      <c r="Y9" s="210" t="n"/>
      <c r="Z9" s="246" t="n"/>
      <c r="AA9" s="171" t="n"/>
      <c r="AB9" s="242" t="n"/>
      <c r="AC9" s="243" t="inlineStr">
        <is>
          <t>맘모스타워</t>
        </is>
      </c>
      <c r="AD9" s="243" t="inlineStr">
        <is>
          <t>전기차</t>
        </is>
      </c>
      <c r="AE9" s="204" t="inlineStr">
        <is>
          <t>상동</t>
        </is>
      </c>
      <c r="AF9" s="205" t="n">
        <v>0.3958333333333333</v>
      </c>
      <c r="AG9" s="244" t="n">
        <v>72710</v>
      </c>
      <c r="AH9" s="204" t="inlineStr">
        <is>
          <t>옹승완</t>
        </is>
      </c>
      <c r="AI9" s="207" t="inlineStr">
        <is>
          <t>옥길근린공원</t>
        </is>
      </c>
      <c r="AJ9" s="245" t="n">
        <v>85</v>
      </c>
      <c r="AK9" s="209" t="inlineStr">
        <is>
          <t>옥길동</t>
        </is>
      </c>
      <c r="AL9" s="210" t="n"/>
      <c r="AM9" s="246" t="inlineStr">
        <is>
          <t>민재홍</t>
        </is>
      </c>
      <c r="AN9" s="171" t="n"/>
      <c r="AO9" s="242" t="n"/>
      <c r="AP9" s="243" t="inlineStr">
        <is>
          <t>신한테크</t>
        </is>
      </c>
      <c r="AQ9" s="243" t="n">
        <v>250</v>
      </c>
      <c r="AR9" s="204" t="inlineStr">
        <is>
          <t>오정동</t>
        </is>
      </c>
      <c r="AS9" s="205" t="n">
        <v>0.5</v>
      </c>
      <c r="AT9" s="244" t="n">
        <v>489170</v>
      </c>
      <c r="AU9" s="204" t="n"/>
      <c r="AV9" s="207" t="inlineStr">
        <is>
          <t>귀투라미</t>
        </is>
      </c>
      <c r="AW9" s="245" t="n">
        <v>651</v>
      </c>
      <c r="AX9" s="209" t="inlineStr">
        <is>
          <t>도당동</t>
        </is>
      </c>
      <c r="AY9" s="210" t="n"/>
      <c r="AZ9" s="246" t="n"/>
      <c r="BA9" s="171" t="n"/>
      <c r="BB9" s="242" t="n"/>
      <c r="BC9" s="243" t="inlineStr">
        <is>
          <t>한국특수금속</t>
        </is>
      </c>
      <c r="BD9" s="243" t="n">
        <v>295</v>
      </c>
      <c r="BE9" s="204" t="inlineStr">
        <is>
          <t>도당동</t>
        </is>
      </c>
      <c r="BF9" s="205" t="n">
        <v>0.5</v>
      </c>
      <c r="BG9" s="244" t="n">
        <v>518430</v>
      </c>
      <c r="BH9" s="204" t="n"/>
      <c r="BI9" s="207" t="n"/>
      <c r="BJ9" s="245" t="n"/>
      <c r="BK9" s="209" t="n"/>
      <c r="BL9" s="210" t="n"/>
      <c r="BM9" s="246" t="n"/>
      <c r="BN9" s="171" t="n"/>
      <c r="BO9" s="171" t="n"/>
      <c r="BP9" s="171" t="n"/>
      <c r="BQ9" s="171" t="n"/>
      <c r="BR9" s="171" t="n"/>
      <c r="BS9" s="171" t="n"/>
      <c r="BT9" s="171" t="n"/>
      <c r="BU9" s="171" t="n"/>
      <c r="BV9" s="171" t="n"/>
      <c r="BW9" s="171" t="n"/>
      <c r="BX9" s="171" t="n"/>
      <c r="BY9" s="171" t="n"/>
      <c r="BZ9" s="171" t="n"/>
      <c r="CA9" s="171" t="n"/>
      <c r="CB9" s="171" t="n"/>
      <c r="CC9" s="171" t="n"/>
      <c r="CD9" s="171" t="n"/>
      <c r="CE9" s="171" t="n"/>
      <c r="CF9" s="171" t="n"/>
      <c r="CG9" s="171" t="n"/>
      <c r="CH9" s="171" t="n"/>
      <c r="CI9" s="171" t="n"/>
      <c r="CJ9" s="171" t="n"/>
      <c r="CK9" s="171" t="n"/>
      <c r="CL9" s="171" t="n"/>
    </row>
    <row r="10">
      <c r="A10" s="171" t="n"/>
      <c r="B10" s="171" t="n"/>
      <c r="C10" s="171" t="n"/>
      <c r="D10" s="171" t="n"/>
      <c r="E10" s="171" t="n"/>
      <c r="F10" s="171" t="n"/>
      <c r="G10" s="171" t="n"/>
      <c r="H10" s="171" t="n"/>
      <c r="I10" s="171" t="n"/>
      <c r="J10" s="171" t="n"/>
      <c r="K10" s="171" t="n"/>
      <c r="L10" s="171" t="n"/>
      <c r="M10" s="171" t="n"/>
      <c r="N10" s="171" t="n"/>
      <c r="O10" s="242" t="n"/>
      <c r="P10" s="243" t="n"/>
      <c r="Q10" s="243" t="n"/>
      <c r="R10" s="204" t="n"/>
      <c r="S10" s="205" t="n"/>
      <c r="T10" s="244" t="n"/>
      <c r="U10" s="204" t="n"/>
      <c r="V10" s="207" t="n"/>
      <c r="W10" s="245" t="n"/>
      <c r="X10" s="209" t="n"/>
      <c r="Y10" s="210" t="n"/>
      <c r="Z10" s="246" t="n"/>
      <c r="AA10" s="171" t="n"/>
      <c r="AB10" s="242" t="n"/>
      <c r="AC10" s="243" t="inlineStr">
        <is>
          <t>맘모스타워</t>
        </is>
      </c>
      <c r="AD10" s="243" t="inlineStr">
        <is>
          <t>950/182</t>
        </is>
      </c>
      <c r="AE10" s="204" t="inlineStr">
        <is>
          <t>상동</t>
        </is>
      </c>
      <c r="AF10" s="205" t="n">
        <v>0.3958333333333333</v>
      </c>
      <c r="AG10" s="244" t="n">
        <v>1079870</v>
      </c>
      <c r="AH10" s="204" t="inlineStr">
        <is>
          <t>옹승완</t>
        </is>
      </c>
      <c r="AI10" s="207" t="inlineStr">
        <is>
          <t>이덕기휴가</t>
        </is>
      </c>
      <c r="AJ10" s="245" t="n"/>
      <c r="AK10" s="209" t="n"/>
      <c r="AL10" s="210" t="n"/>
      <c r="AM10" s="246" t="n"/>
      <c r="AN10" s="171" t="n"/>
      <c r="AO10" s="242" t="n"/>
      <c r="AP10" s="243" t="inlineStr">
        <is>
          <t>역곡동교회</t>
        </is>
      </c>
      <c r="AQ10" s="243" t="inlineStr">
        <is>
          <t>400/145</t>
        </is>
      </c>
      <c r="AR10" s="204" t="inlineStr">
        <is>
          <t>역곡동</t>
        </is>
      </c>
      <c r="AS10" s="205" t="n">
        <v>0.3958333333333333</v>
      </c>
      <c r="AT10" s="244" t="n">
        <v>882640</v>
      </c>
      <c r="AU10" s="204" t="n"/>
      <c r="AV10" s="207" t="inlineStr">
        <is>
          <t>비엔지빌딩</t>
        </is>
      </c>
      <c r="AW10" s="245" t="n">
        <v>600</v>
      </c>
      <c r="AX10" s="209" t="inlineStr">
        <is>
          <t>역곡동</t>
        </is>
      </c>
      <c r="AY10" s="210" t="n"/>
      <c r="AZ10" s="246" t="n"/>
      <c r="BA10" s="171" t="n"/>
      <c r="BB10" s="242" t="n"/>
      <c r="BC10" s="243" t="inlineStr">
        <is>
          <t>더포레스트</t>
        </is>
      </c>
      <c r="BD10" s="243" t="inlineStr">
        <is>
          <t>607/300</t>
        </is>
      </c>
      <c r="BE10" s="204" t="inlineStr">
        <is>
          <t>원미동</t>
        </is>
      </c>
      <c r="BF10" s="205" t="n">
        <v>0.4791666666666667</v>
      </c>
      <c r="BG10" s="244" t="n">
        <v>1077450</v>
      </c>
      <c r="BH10" s="204" t="n"/>
      <c r="BI10" s="207" t="n"/>
      <c r="BJ10" s="245" t="n"/>
      <c r="BK10" s="209" t="n"/>
      <c r="BL10" s="210" t="n"/>
      <c r="BM10" s="246" t="n"/>
      <c r="BN10" s="171" t="n"/>
      <c r="BO10" s="171" t="n"/>
      <c r="BP10" s="171" t="n"/>
      <c r="BQ10" s="171" t="n"/>
      <c r="BR10" s="171" t="n"/>
      <c r="BS10" s="171" t="n"/>
      <c r="BT10" s="171" t="n"/>
      <c r="BU10" s="171" t="n"/>
      <c r="BV10" s="171" t="n"/>
      <c r="BW10" s="171" t="n"/>
      <c r="BX10" s="171" t="n"/>
      <c r="BY10" s="171" t="n"/>
      <c r="BZ10" s="171" t="n"/>
      <c r="CA10" s="171" t="n"/>
      <c r="CB10" s="171" t="n"/>
      <c r="CC10" s="171" t="n"/>
      <c r="CD10" s="171" t="n"/>
      <c r="CE10" s="171" t="n"/>
      <c r="CF10" s="171" t="n"/>
      <c r="CG10" s="171" t="n"/>
      <c r="CH10" s="171" t="n"/>
      <c r="CI10" s="171" t="n"/>
      <c r="CJ10" s="171" t="n"/>
      <c r="CK10" s="171" t="n"/>
      <c r="CL10" s="171" t="n"/>
    </row>
    <row r="11">
      <c r="A11" s="171" t="n"/>
      <c r="B11" s="171" t="n"/>
      <c r="C11" s="171" t="n"/>
      <c r="D11" s="171" t="n"/>
      <c r="E11" s="171" t="n"/>
      <c r="F11" s="171" t="n"/>
      <c r="G11" s="171" t="n"/>
      <c r="H11" s="171" t="n"/>
      <c r="I11" s="171" t="n"/>
      <c r="J11" s="171" t="n"/>
      <c r="K11" s="171" t="n"/>
      <c r="L11" s="171" t="n"/>
      <c r="M11" s="171" t="n"/>
      <c r="N11" s="171" t="n"/>
      <c r="O11" s="242" t="n"/>
      <c r="P11" s="243" t="n"/>
      <c r="Q11" s="243" t="n"/>
      <c r="R11" s="204" t="n"/>
      <c r="S11" s="205" t="n"/>
      <c r="T11" s="244" t="n"/>
      <c r="U11" s="204" t="n"/>
      <c r="V11" s="207" t="n"/>
      <c r="W11" s="245" t="n"/>
      <c r="X11" s="209" t="n"/>
      <c r="Y11" s="210" t="n"/>
      <c r="Z11" s="246" t="n"/>
      <c r="AA11" s="171" t="n"/>
      <c r="AB11" s="242" t="n"/>
      <c r="AC11" s="243" t="inlineStr">
        <is>
          <t>순천향대학</t>
        </is>
      </c>
      <c r="AD11" s="243" t="inlineStr">
        <is>
          <t>전기차</t>
        </is>
      </c>
      <c r="AE11" s="204" t="inlineStr">
        <is>
          <t>상동</t>
        </is>
      </c>
      <c r="AF11" s="205" t="n">
        <v>0.5625</v>
      </c>
      <c r="AG11" s="244" t="n">
        <v>356180</v>
      </c>
      <c r="AH11" s="204" t="inlineStr">
        <is>
          <t>김영권</t>
        </is>
      </c>
      <c r="AI11" s="207" t="n"/>
      <c r="AJ11" s="245" t="n"/>
      <c r="AK11" s="209" t="n"/>
      <c r="AL11" s="210" t="n"/>
      <c r="AM11" s="246" t="n"/>
      <c r="AN11" s="171" t="n"/>
      <c r="AO11" s="242" t="n"/>
      <c r="AP11" s="243" t="inlineStr">
        <is>
          <t>신한테크</t>
        </is>
      </c>
      <c r="AQ11" s="243" t="n">
        <v>250</v>
      </c>
      <c r="AR11" s="204" t="inlineStr">
        <is>
          <t>오정동</t>
        </is>
      </c>
      <c r="AS11" s="205" t="n">
        <v>0.5</v>
      </c>
      <c r="AT11" s="244" t="n">
        <v>489170</v>
      </c>
      <c r="AU11" s="204" t="n"/>
      <c r="AV11" s="207" t="inlineStr">
        <is>
          <t>엘지유플러스</t>
        </is>
      </c>
      <c r="AW11" s="245" t="n">
        <v>64</v>
      </c>
      <c r="AX11" s="209" t="inlineStr">
        <is>
          <t>상동</t>
        </is>
      </c>
      <c r="AY11" s="210" t="n"/>
      <c r="AZ11" s="246" t="n"/>
      <c r="BA11" s="171" t="n"/>
      <c r="BB11" s="242" t="n"/>
      <c r="BC11" s="243" t="inlineStr">
        <is>
          <t>아름다운프라자</t>
        </is>
      </c>
      <c r="BD11" s="243" t="inlineStr">
        <is>
          <t>500/105</t>
        </is>
      </c>
      <c r="BE11" s="204" t="inlineStr">
        <is>
          <t>송내동</t>
        </is>
      </c>
      <c r="BF11" s="205" t="n">
        <v>0.3958333333333333</v>
      </c>
      <c r="BG11" s="244" t="n">
        <v>904640</v>
      </c>
      <c r="BH11" s="204" t="n"/>
      <c r="BI11" s="207" t="n"/>
      <c r="BJ11" s="245" t="n"/>
      <c r="BK11" s="209" t="n"/>
      <c r="BL11" s="210" t="n"/>
      <c r="BM11" s="246" t="n"/>
      <c r="BN11" s="171" t="n"/>
      <c r="BO11" s="171" t="n"/>
      <c r="BP11" s="171" t="n"/>
      <c r="BQ11" s="171" t="n"/>
      <c r="BR11" s="171" t="n"/>
      <c r="BS11" s="171" t="n"/>
      <c r="BT11" s="171" t="n"/>
      <c r="BU11" s="171" t="n"/>
      <c r="BV11" s="171" t="n"/>
      <c r="BW11" s="171" t="n"/>
      <c r="BX11" s="171" t="n"/>
      <c r="BY11" s="171" t="n"/>
      <c r="BZ11" s="171" t="n"/>
      <c r="CA11" s="171" t="n"/>
      <c r="CB11" s="171" t="n"/>
      <c r="CC11" s="171" t="n"/>
      <c r="CD11" s="171" t="n"/>
      <c r="CE11" s="171" t="n"/>
      <c r="CF11" s="171" t="n"/>
      <c r="CG11" s="171" t="n"/>
      <c r="CH11" s="171" t="n"/>
      <c r="CI11" s="171" t="n"/>
      <c r="CJ11" s="171" t="n"/>
      <c r="CK11" s="171" t="n"/>
      <c r="CL11" s="171" t="n"/>
    </row>
    <row r="12">
      <c r="A12" s="171" t="n"/>
      <c r="B12" s="171" t="n"/>
      <c r="C12" s="171" t="n"/>
      <c r="D12" s="171" t="n"/>
      <c r="E12" s="171" t="n"/>
      <c r="F12" s="171" t="n"/>
      <c r="G12" s="171" t="n"/>
      <c r="H12" s="171" t="n"/>
      <c r="I12" s="171" t="n"/>
      <c r="J12" s="171" t="n"/>
      <c r="K12" s="171" t="n"/>
      <c r="L12" s="171" t="n"/>
      <c r="M12" s="171" t="n"/>
      <c r="N12" s="171" t="n"/>
      <c r="O12" s="242" t="n"/>
      <c r="P12" s="243" t="n"/>
      <c r="Q12" s="243" t="n"/>
      <c r="R12" s="204" t="n"/>
      <c r="S12" s="205" t="n"/>
      <c r="T12" s="244" t="n"/>
      <c r="U12" s="204" t="n"/>
      <c r="V12" s="207" t="n"/>
      <c r="W12" s="245" t="n"/>
      <c r="X12" s="209" t="n"/>
      <c r="Y12" s="210" t="n"/>
      <c r="Z12" s="246" t="n"/>
      <c r="AA12" s="171" t="n"/>
      <c r="AB12" s="242" t="n"/>
      <c r="AC12" s="243" t="inlineStr">
        <is>
          <t>일도 RMC</t>
        </is>
      </c>
      <c r="AD12" s="243" t="n">
        <v>150</v>
      </c>
      <c r="AE12" s="204" t="inlineStr">
        <is>
          <t>도당동</t>
        </is>
      </c>
      <c r="AF12" s="205" t="n">
        <v>0.4791666666666667</v>
      </c>
      <c r="AG12" s="244" t="n">
        <v>424160</v>
      </c>
      <c r="AH12" s="204" t="inlineStr">
        <is>
          <t>송낙명</t>
        </is>
      </c>
      <c r="AI12" s="207" t="n"/>
      <c r="AJ12" s="245" t="n"/>
      <c r="AK12" s="209" t="n"/>
      <c r="AL12" s="210" t="n"/>
      <c r="AM12" s="246" t="n"/>
      <c r="AN12" s="171" t="n"/>
      <c r="AO12" s="242" t="n"/>
      <c r="AP12" s="243" t="inlineStr">
        <is>
          <t>혜동테크</t>
        </is>
      </c>
      <c r="AQ12" s="243" t="n">
        <v>350</v>
      </c>
      <c r="AR12" s="204" t="inlineStr">
        <is>
          <t>오정동</t>
        </is>
      </c>
      <c r="AS12" s="205" t="n">
        <v>0.5416666666666666</v>
      </c>
      <c r="AT12" s="244" t="n">
        <v>686180</v>
      </c>
      <c r="AU12" s="204" t="n"/>
      <c r="AV12" s="207" t="inlineStr">
        <is>
          <t>당효진휴가</t>
        </is>
      </c>
      <c r="AW12" s="245" t="n"/>
      <c r="AX12" s="209" t="n"/>
      <c r="AY12" s="210" t="n"/>
      <c r="AZ12" s="246" t="n"/>
      <c r="BA12" s="171" t="n"/>
      <c r="BB12" s="242" t="n"/>
      <c r="BC12" s="243" t="inlineStr">
        <is>
          <t>도원교통</t>
        </is>
      </c>
      <c r="BD12" s="243" t="n">
        <v>1230</v>
      </c>
      <c r="BE12" s="204" t="inlineStr">
        <is>
          <t>고강동</t>
        </is>
      </c>
      <c r="BF12" s="205" t="n">
        <v>0.4166666666666667</v>
      </c>
      <c r="BG12" s="244" t="n">
        <v>1272810</v>
      </c>
      <c r="BH12" s="204" t="n"/>
      <c r="BI12" s="207" t="n"/>
      <c r="BJ12" s="245" t="n"/>
      <c r="BK12" s="209" t="n"/>
      <c r="BL12" s="210" t="n"/>
      <c r="BM12" s="246" t="n"/>
      <c r="BN12" s="171" t="n"/>
      <c r="BO12" s="171" t="n"/>
      <c r="BP12" s="171" t="n"/>
      <c r="BQ12" s="171" t="n"/>
      <c r="BR12" s="171" t="n"/>
      <c r="BS12" s="171" t="n"/>
      <c r="BT12" s="171" t="n"/>
      <c r="BU12" s="171" t="n"/>
      <c r="BV12" s="171" t="n"/>
      <c r="BW12" s="171" t="n"/>
      <c r="BX12" s="171" t="n"/>
      <c r="BY12" s="171" t="n"/>
      <c r="BZ12" s="171" t="n"/>
      <c r="CA12" s="171" t="n"/>
      <c r="CB12" s="171" t="n"/>
      <c r="CC12" s="171" t="n"/>
      <c r="CD12" s="171" t="n"/>
      <c r="CE12" s="171" t="n"/>
      <c r="CF12" s="171" t="n"/>
      <c r="CG12" s="171" t="n"/>
      <c r="CH12" s="171" t="n"/>
      <c r="CI12" s="171" t="n"/>
      <c r="CJ12" s="171" t="n"/>
      <c r="CK12" s="171" t="n"/>
      <c r="CL12" s="171" t="n"/>
    </row>
    <row r="13">
      <c r="A13" s="171" t="n"/>
      <c r="B13" s="171" t="n"/>
      <c r="C13" s="171" t="n"/>
      <c r="D13" s="171" t="n"/>
      <c r="E13" s="171" t="n"/>
      <c r="F13" s="171" t="n"/>
      <c r="G13" s="171" t="n"/>
      <c r="H13" s="171" t="n"/>
      <c r="I13" s="171" t="n"/>
      <c r="J13" s="171" t="n"/>
      <c r="K13" s="171" t="n"/>
      <c r="L13" s="171" t="n"/>
      <c r="M13" s="171" t="n"/>
      <c r="N13" s="171" t="n"/>
      <c r="O13" s="242" t="n"/>
      <c r="P13" s="243" t="n"/>
      <c r="Q13" s="243" t="n"/>
      <c r="R13" s="204" t="n"/>
      <c r="S13" s="205" t="n"/>
      <c r="T13" s="244" t="n"/>
      <c r="U13" s="204" t="n"/>
      <c r="V13" s="207" t="n"/>
      <c r="W13" s="245" t="n"/>
      <c r="X13" s="209" t="n"/>
      <c r="Y13" s="210" t="n"/>
      <c r="Z13" s="246" t="n"/>
      <c r="AA13" s="171" t="n"/>
      <c r="AB13" s="242" t="n"/>
      <c r="AC13" s="243" t="inlineStr">
        <is>
          <t>부천호텔</t>
        </is>
      </c>
      <c r="AD13" s="243" t="n">
        <v>870</v>
      </c>
      <c r="AE13" s="204" t="inlineStr">
        <is>
          <t>상동</t>
        </is>
      </c>
      <c r="AF13" s="205" t="n">
        <v>0.3958333333333333</v>
      </c>
      <c r="AG13" s="244" t="n">
        <v>987360</v>
      </c>
      <c r="AH13" s="204" t="inlineStr">
        <is>
          <t>이종석</t>
        </is>
      </c>
      <c r="AI13" s="207" t="n"/>
      <c r="AJ13" s="245" t="n"/>
      <c r="AK13" s="209" t="n"/>
      <c r="AL13" s="210" t="n"/>
      <c r="AM13" s="246" t="n"/>
      <c r="AN13" s="171" t="n"/>
      <c r="AO13" s="242" t="n"/>
      <c r="AP13" s="243" t="inlineStr">
        <is>
          <t>비엔지빌딩</t>
        </is>
      </c>
      <c r="AQ13" s="243" t="n">
        <v>600</v>
      </c>
      <c r="AR13" s="204" t="inlineStr">
        <is>
          <t>역곡동</t>
        </is>
      </c>
      <c r="AS13" s="205" t="n">
        <v>0.2916666666666667</v>
      </c>
      <c r="AT13" s="244" t="n">
        <v>247170</v>
      </c>
      <c r="AU13" s="204" t="n"/>
      <c r="AV13" s="207" t="inlineStr">
        <is>
          <t>변종국교육</t>
        </is>
      </c>
      <c r="AW13" s="245" t="n"/>
      <c r="AX13" s="209" t="n"/>
      <c r="AY13" s="210" t="n"/>
      <c r="AZ13" s="246" t="n"/>
      <c r="BA13" s="171" t="n"/>
      <c r="BB13" s="242" t="n"/>
      <c r="BC13" s="243" t="inlineStr">
        <is>
          <t>도원교통</t>
        </is>
      </c>
      <c r="BD13" s="243" t="n">
        <v>1530</v>
      </c>
      <c r="BE13" s="204" t="inlineStr">
        <is>
          <t>고강동</t>
        </is>
      </c>
      <c r="BF13" s="205" t="n">
        <v>0.4166666666666667</v>
      </c>
      <c r="BG13" s="244" t="n">
        <v>1333750</v>
      </c>
      <c r="BH13" s="204" t="n"/>
      <c r="BI13" s="207" t="n"/>
      <c r="BJ13" s="245" t="n"/>
      <c r="BK13" s="209" t="n"/>
      <c r="BL13" s="210" t="n"/>
      <c r="BM13" s="246" t="n"/>
      <c r="BN13" s="171" t="n"/>
      <c r="BO13" s="171" t="n"/>
      <c r="BP13" s="171" t="n"/>
      <c r="BQ13" s="171" t="n"/>
      <c r="BR13" s="171" t="n"/>
      <c r="BS13" s="171" t="n"/>
      <c r="BT13" s="171" t="n"/>
      <c r="BU13" s="171" t="n"/>
      <c r="BV13" s="171" t="n"/>
      <c r="BW13" s="171" t="n"/>
      <c r="BX13" s="171" t="n"/>
      <c r="BY13" s="171" t="n"/>
      <c r="BZ13" s="171" t="n"/>
      <c r="CA13" s="171" t="n"/>
      <c r="CB13" s="171" t="n"/>
      <c r="CC13" s="171" t="n"/>
      <c r="CD13" s="171" t="n"/>
      <c r="CE13" s="171" t="n"/>
      <c r="CF13" s="171" t="n"/>
      <c r="CG13" s="171" t="n"/>
      <c r="CH13" s="171" t="n"/>
      <c r="CI13" s="171" t="n"/>
      <c r="CJ13" s="171" t="n"/>
      <c r="CK13" s="171" t="n"/>
      <c r="CL13" s="171" t="n"/>
    </row>
    <row r="14">
      <c r="A14" s="171" t="n"/>
      <c r="B14" s="171" t="n"/>
      <c r="C14" s="171" t="n"/>
      <c r="D14" s="171" t="n"/>
      <c r="E14" s="171" t="n"/>
      <c r="F14" s="171" t="n"/>
      <c r="G14" s="171" t="n"/>
      <c r="H14" s="171" t="n"/>
      <c r="I14" s="171" t="n"/>
      <c r="J14" s="171" t="n"/>
      <c r="K14" s="171" t="n"/>
      <c r="L14" s="171" t="n"/>
      <c r="M14" s="171" t="n"/>
      <c r="N14" s="171" t="n"/>
      <c r="O14" s="242" t="n"/>
      <c r="P14" s="243" t="n"/>
      <c r="Q14" s="243" t="n"/>
      <c r="R14" s="204" t="n"/>
      <c r="S14" s="205" t="n"/>
      <c r="T14" s="244" t="n"/>
      <c r="U14" s="204" t="n"/>
      <c r="V14" s="207" t="n"/>
      <c r="W14" s="245" t="n"/>
      <c r="X14" s="209" t="n"/>
      <c r="Y14" s="210" t="n"/>
      <c r="Z14" s="246" t="n"/>
      <c r="AA14" s="171" t="n"/>
      <c r="AB14" s="242" t="n"/>
      <c r="AC14" s="243" t="inlineStr">
        <is>
          <t>부천호텔</t>
        </is>
      </c>
      <c r="AD14" s="243" t="inlineStr">
        <is>
          <t>전기차</t>
        </is>
      </c>
      <c r="AE14" s="204" t="inlineStr">
        <is>
          <t>상동</t>
        </is>
      </c>
      <c r="AF14" s="205" t="n">
        <v>0.3958333333333333</v>
      </c>
      <c r="AG14" s="244" t="n">
        <v>64240</v>
      </c>
      <c r="AH14" s="204" t="inlineStr">
        <is>
          <t>이종석</t>
        </is>
      </c>
      <c r="AI14" s="207" t="n"/>
      <c r="AJ14" s="245" t="n"/>
      <c r="AK14" s="209" t="n"/>
      <c r="AL14" s="210" t="n"/>
      <c r="AM14" s="246" t="n"/>
      <c r="AN14" s="171" t="n"/>
      <c r="AO14" s="242" t="n"/>
      <c r="AP14" s="243" t="inlineStr">
        <is>
          <t>기도교회감리회</t>
        </is>
      </c>
      <c r="AQ14" s="243" t="n">
        <v>200</v>
      </c>
      <c r="AR14" s="204" t="inlineStr">
        <is>
          <t>작동</t>
        </is>
      </c>
      <c r="AS14" s="205" t="n">
        <v>0.3958333333333333</v>
      </c>
      <c r="AT14" s="244" t="n">
        <v>456720</v>
      </c>
      <c r="AU14" s="204" t="n"/>
      <c r="AV14" s="207" t="inlineStr">
        <is>
          <t>금호건설</t>
        </is>
      </c>
      <c r="AW14" s="245" t="inlineStr">
        <is>
          <t>부분</t>
        </is>
      </c>
      <c r="AX14" s="209" t="inlineStr">
        <is>
          <t>괴안동ㄷ</t>
        </is>
      </c>
      <c r="AY14" s="210" t="n"/>
      <c r="AZ14" s="246" t="inlineStr">
        <is>
          <t>정성관</t>
        </is>
      </c>
      <c r="BA14" s="171" t="n"/>
      <c r="BB14" s="242" t="n"/>
      <c r="BC14" s="243" t="n"/>
      <c r="BD14" s="243" t="n"/>
      <c r="BE14" s="204" t="n"/>
      <c r="BF14" s="205" t="n"/>
      <c r="BG14" s="244" t="n"/>
      <c r="BH14" s="204" t="n"/>
      <c r="BI14" s="207" t="n"/>
      <c r="BJ14" s="245" t="n"/>
      <c r="BK14" s="209" t="n"/>
      <c r="BL14" s="210" t="n"/>
      <c r="BM14" s="246" t="n"/>
      <c r="BN14" s="171" t="n"/>
      <c r="BO14" s="171" t="n"/>
      <c r="BP14" s="171" t="n"/>
      <c r="BQ14" s="171" t="n"/>
      <c r="BR14" s="171" t="n"/>
      <c r="BS14" s="171" t="n"/>
      <c r="BT14" s="171" t="n"/>
      <c r="BU14" s="171" t="n"/>
      <c r="BV14" s="171" t="n"/>
      <c r="BW14" s="171" t="n"/>
      <c r="BX14" s="171" t="n"/>
      <c r="BY14" s="171" t="n"/>
      <c r="BZ14" s="171" t="n"/>
      <c r="CA14" s="171" t="n"/>
      <c r="CB14" s="171" t="n"/>
      <c r="CC14" s="171" t="n"/>
      <c r="CD14" s="171" t="n"/>
      <c r="CE14" s="171" t="n"/>
      <c r="CF14" s="171" t="n"/>
      <c r="CG14" s="171" t="n"/>
      <c r="CH14" s="171" t="n"/>
      <c r="CI14" s="171" t="n"/>
      <c r="CJ14" s="171" t="n"/>
      <c r="CK14" s="171" t="n"/>
      <c r="CL14" s="171" t="n"/>
    </row>
    <row r="15">
      <c r="A15" s="171" t="n"/>
      <c r="B15" s="171" t="n"/>
      <c r="C15" s="171" t="n"/>
      <c r="D15" s="171" t="n"/>
      <c r="E15" s="171" t="n"/>
      <c r="F15" s="171" t="n"/>
      <c r="G15" s="171" t="n"/>
      <c r="H15" s="171" t="n"/>
      <c r="I15" s="171" t="n"/>
      <c r="J15" s="171" t="n"/>
      <c r="K15" s="171" t="n"/>
      <c r="L15" s="171" t="n"/>
      <c r="M15" s="171" t="n"/>
      <c r="N15" s="171" t="n"/>
      <c r="O15" s="242" t="n"/>
      <c r="P15" s="243" t="n"/>
      <c r="Q15" s="243" t="n"/>
      <c r="R15" s="204" t="n"/>
      <c r="S15" s="205" t="n"/>
      <c r="T15" s="244" t="n"/>
      <c r="U15" s="204" t="n"/>
      <c r="V15" s="207" t="n"/>
      <c r="W15" s="245" t="n"/>
      <c r="X15" s="209" t="n"/>
      <c r="Y15" s="210" t="n"/>
      <c r="Z15" s="246" t="n"/>
      <c r="AA15" s="171" t="n"/>
      <c r="AB15" s="242" t="n"/>
      <c r="AC15" s="243" t="inlineStr">
        <is>
          <t>원종시장</t>
        </is>
      </c>
      <c r="AD15" s="243" t="n">
        <v>300</v>
      </c>
      <c r="AE15" s="204" t="inlineStr">
        <is>
          <t>원종동</t>
        </is>
      </c>
      <c r="AF15" s="205" t="n">
        <v>0.6041666666666666</v>
      </c>
      <c r="AG15" s="244" t="n">
        <v>521730</v>
      </c>
      <c r="AH15" s="204" t="inlineStr">
        <is>
          <t>민재홍</t>
        </is>
      </c>
      <c r="AI15" s="207" t="n"/>
      <c r="AJ15" s="245" t="n"/>
      <c r="AK15" s="209" t="n"/>
      <c r="AL15" s="210" t="n"/>
      <c r="AM15" s="246" t="n"/>
      <c r="AN15" s="171" t="n"/>
      <c r="AO15" s="242" t="n"/>
      <c r="AP15" s="243" t="n"/>
      <c r="AQ15" s="243" t="n"/>
      <c r="AR15" s="204" t="n"/>
      <c r="AS15" s="205" t="n"/>
      <c r="AT15" s="244" t="n"/>
      <c r="AU15" s="204" t="n"/>
      <c r="AV15" s="207" t="n"/>
      <c r="AW15" s="245" t="n"/>
      <c r="AX15" s="209" t="n"/>
      <c r="AY15" s="210" t="n"/>
      <c r="AZ15" s="246" t="n"/>
      <c r="BA15" s="171" t="n"/>
      <c r="BB15" s="242" t="n"/>
      <c r="BC15" s="243" t="n"/>
      <c r="BD15" s="243" t="n"/>
      <c r="BE15" s="204" t="n"/>
      <c r="BF15" s="205" t="n"/>
      <c r="BG15" s="244" t="n"/>
      <c r="BH15" s="204" t="n"/>
      <c r="BI15" s="207" t="n"/>
      <c r="BJ15" s="245" t="n"/>
      <c r="BK15" s="209" t="n"/>
      <c r="BL15" s="210" t="n"/>
      <c r="BM15" s="246" t="n"/>
      <c r="BN15" s="171" t="n"/>
      <c r="BO15" s="171" t="n"/>
      <c r="BP15" s="171" t="n"/>
      <c r="BQ15" s="171" t="n"/>
      <c r="BR15" s="171" t="n"/>
      <c r="BS15" s="171" t="n"/>
      <c r="BT15" s="171" t="n"/>
      <c r="BU15" s="171" t="n"/>
      <c r="BV15" s="171" t="n"/>
      <c r="BW15" s="171" t="n"/>
      <c r="BX15" s="171" t="n"/>
      <c r="BY15" s="171" t="n"/>
      <c r="BZ15" s="171" t="n"/>
      <c r="CA15" s="171" t="n"/>
      <c r="CB15" s="171" t="n"/>
      <c r="CC15" s="171" t="n"/>
      <c r="CD15" s="171" t="n"/>
      <c r="CE15" s="171" t="n"/>
      <c r="CF15" s="171" t="n"/>
      <c r="CG15" s="171" t="n"/>
      <c r="CH15" s="171" t="n"/>
      <c r="CI15" s="171" t="n"/>
      <c r="CJ15" s="171" t="n"/>
      <c r="CK15" s="171" t="n"/>
      <c r="CL15" s="171" t="n"/>
    </row>
    <row r="16">
      <c r="A16" s="171" t="n"/>
      <c r="B16" s="171" t="n"/>
      <c r="C16" s="171" t="n"/>
      <c r="D16" s="171" t="n"/>
      <c r="E16" s="171" t="n"/>
      <c r="F16" s="171" t="n"/>
      <c r="G16" s="171" t="n"/>
      <c r="H16" s="171" t="n"/>
      <c r="I16" s="171" t="n"/>
      <c r="J16" s="171" t="n"/>
      <c r="K16" s="171" t="n"/>
      <c r="L16" s="171" t="n"/>
      <c r="M16" s="171" t="n"/>
      <c r="N16" s="171" t="n"/>
      <c r="O16" s="242" t="n"/>
      <c r="P16" s="243" t="n"/>
      <c r="Q16" s="243" t="n"/>
      <c r="R16" s="204" t="n"/>
      <c r="S16" s="205" t="n"/>
      <c r="T16" s="244" t="n"/>
      <c r="U16" s="204" t="n"/>
      <c r="V16" s="207" t="n"/>
      <c r="W16" s="245" t="n"/>
      <c r="X16" s="209" t="n"/>
      <c r="Y16" s="210" t="n"/>
      <c r="Z16" s="246" t="n"/>
      <c r="AA16" s="171" t="n"/>
      <c r="AB16" s="242" t="n"/>
      <c r="AC16" s="243" t="n"/>
      <c r="AD16" s="243" t="n"/>
      <c r="AE16" s="204" t="n"/>
      <c r="AF16" s="205" t="n"/>
      <c r="AG16" s="244" t="n"/>
      <c r="AH16" s="204" t="n"/>
      <c r="AI16" s="207" t="n"/>
      <c r="AJ16" s="245" t="n"/>
      <c r="AK16" s="209" t="n"/>
      <c r="AL16" s="210" t="n"/>
      <c r="AM16" s="246" t="n"/>
      <c r="AN16" s="171" t="n"/>
      <c r="AO16" s="242" t="n"/>
      <c r="AP16" s="243" t="n"/>
      <c r="AQ16" s="243" t="n"/>
      <c r="AR16" s="204" t="n"/>
      <c r="AS16" s="205" t="n"/>
      <c r="AT16" s="244" t="n"/>
      <c r="AU16" s="204" t="n"/>
      <c r="AV16" s="207" t="n"/>
      <c r="AW16" s="245" t="n"/>
      <c r="AX16" s="209" t="n"/>
      <c r="AY16" s="210" t="n"/>
      <c r="AZ16" s="246" t="n"/>
      <c r="BA16" s="171" t="n"/>
      <c r="BB16" s="242" t="n"/>
      <c r="BC16" s="243" t="n"/>
      <c r="BD16" s="243" t="n"/>
      <c r="BE16" s="204" t="n"/>
      <c r="BF16" s="205" t="n"/>
      <c r="BG16" s="244" t="n"/>
      <c r="BH16" s="204" t="n"/>
      <c r="BI16" s="207" t="n"/>
      <c r="BJ16" s="245" t="n"/>
      <c r="BK16" s="209" t="n"/>
      <c r="BL16" s="210" t="n"/>
      <c r="BM16" s="246" t="n"/>
      <c r="BN16" s="171" t="n"/>
      <c r="BO16" s="171" t="n"/>
      <c r="BP16" s="171" t="n"/>
      <c r="BQ16" s="171" t="n"/>
      <c r="BR16" s="171" t="n"/>
      <c r="BS16" s="171" t="n"/>
      <c r="BT16" s="171" t="n"/>
      <c r="BU16" s="171" t="n"/>
      <c r="BV16" s="171" t="n"/>
      <c r="BW16" s="171" t="n"/>
      <c r="BX16" s="171" t="n"/>
      <c r="BY16" s="171" t="n"/>
      <c r="BZ16" s="171" t="n"/>
      <c r="CA16" s="171" t="n"/>
      <c r="CB16" s="171" t="n"/>
      <c r="CC16" s="171" t="n"/>
      <c r="CD16" s="171" t="n"/>
      <c r="CE16" s="171" t="n"/>
      <c r="CF16" s="171" t="n"/>
      <c r="CG16" s="171" t="n"/>
      <c r="CH16" s="171" t="n"/>
      <c r="CI16" s="171" t="n"/>
      <c r="CJ16" s="171" t="n"/>
      <c r="CK16" s="171" t="n"/>
      <c r="CL16" s="171" t="n"/>
    </row>
    <row r="17" ht="18" customHeight="1" s="22" thickBot="1">
      <c r="A17" s="171" t="n"/>
      <c r="B17" s="171" t="n"/>
      <c r="C17" s="171" t="n"/>
      <c r="D17" s="171" t="n"/>
      <c r="E17" s="171" t="n"/>
      <c r="F17" s="171" t="n"/>
      <c r="G17" s="171" t="n"/>
      <c r="H17" s="171" t="n"/>
      <c r="I17" s="171" t="n"/>
      <c r="J17" s="171" t="n"/>
      <c r="K17" s="171" t="n"/>
      <c r="L17" s="171" t="n"/>
      <c r="M17" s="171" t="n"/>
      <c r="N17" s="171" t="n"/>
      <c r="O17" s="242" t="n"/>
      <c r="P17" s="243" t="n"/>
      <c r="Q17" s="243" t="n"/>
      <c r="R17" s="204" t="n"/>
      <c r="S17" s="205" t="n"/>
      <c r="T17" s="244" t="n"/>
      <c r="U17" s="204" t="n"/>
      <c r="V17" s="207" t="n"/>
      <c r="W17" s="245" t="n"/>
      <c r="X17" s="209" t="n"/>
      <c r="Y17" s="210" t="n"/>
      <c r="Z17" s="246" t="n"/>
      <c r="AA17" s="171" t="n"/>
      <c r="AB17" s="242" t="n"/>
      <c r="AC17" s="243" t="n"/>
      <c r="AD17" s="243" t="n"/>
      <c r="AE17" s="204" t="n"/>
      <c r="AF17" s="205" t="n"/>
      <c r="AG17" s="244" t="n"/>
      <c r="AH17" s="204" t="n"/>
      <c r="AI17" s="207" t="n"/>
      <c r="AJ17" s="245" t="n"/>
      <c r="AK17" s="209" t="n"/>
      <c r="AL17" s="210" t="n"/>
      <c r="AM17" s="246" t="n"/>
      <c r="AN17" s="171" t="n"/>
      <c r="AO17" s="242" t="n"/>
      <c r="AP17" s="243" t="n"/>
      <c r="AQ17" s="243" t="n"/>
      <c r="AR17" s="204" t="n"/>
      <c r="AS17" s="205" t="n"/>
      <c r="AT17" s="244" t="n"/>
      <c r="AU17" s="204" t="n"/>
      <c r="AV17" s="207" t="n"/>
      <c r="AW17" s="245" t="n"/>
      <c r="AX17" s="209" t="n"/>
      <c r="AY17" s="210" t="n"/>
      <c r="AZ17" s="246" t="n"/>
      <c r="BA17" s="171" t="n"/>
      <c r="BB17" s="242" t="n"/>
      <c r="BC17" s="243" t="n"/>
      <c r="BD17" s="243" t="n"/>
      <c r="BE17" s="204" t="n"/>
      <c r="BF17" s="205" t="n"/>
      <c r="BG17" s="244" t="n"/>
      <c r="BH17" s="204" t="n"/>
      <c r="BI17" s="207" t="n"/>
      <c r="BJ17" s="245" t="n"/>
      <c r="BK17" s="209" t="n"/>
      <c r="BL17" s="210" t="n"/>
      <c r="BM17" s="246" t="n"/>
      <c r="BN17" s="171" t="n"/>
      <c r="BO17" s="171" t="n"/>
      <c r="BP17" s="171" t="n"/>
      <c r="BQ17" s="171" t="n"/>
      <c r="BR17" s="171" t="n"/>
      <c r="BS17" s="171" t="n"/>
      <c r="BT17" s="171" t="n"/>
      <c r="BU17" s="171" t="n"/>
      <c r="BV17" s="171" t="n"/>
      <c r="BW17" s="171" t="n"/>
      <c r="BX17" s="171" t="n"/>
      <c r="BY17" s="171" t="n"/>
      <c r="BZ17" s="171" t="n"/>
      <c r="CA17" s="171" t="n"/>
      <c r="CB17" s="171" t="n"/>
      <c r="CC17" s="171" t="n"/>
      <c r="CD17" s="171" t="n"/>
      <c r="CE17" s="171" t="n"/>
      <c r="CF17" s="171" t="n"/>
      <c r="CG17" s="171" t="n"/>
      <c r="CH17" s="171" t="n"/>
      <c r="CI17" s="171" t="n"/>
      <c r="CJ17" s="171" t="n"/>
      <c r="CK17" s="171" t="n"/>
      <c r="CL17" s="171" t="n"/>
    </row>
    <row r="18">
      <c r="A18" s="171" t="n"/>
      <c r="B18" s="171" t="n"/>
      <c r="C18" s="171" t="n"/>
      <c r="D18" s="171" t="n"/>
      <c r="E18" s="171" t="n"/>
      <c r="F18" s="171" t="n"/>
      <c r="G18" s="171" t="n"/>
      <c r="H18" s="171" t="n"/>
      <c r="I18" s="171" t="n"/>
      <c r="J18" s="171" t="n"/>
      <c r="K18" s="171" t="n"/>
      <c r="L18" s="171" t="n"/>
      <c r="M18" s="171" t="n"/>
      <c r="N18" s="171" t="n"/>
      <c r="O18" s="247" t="inlineStr">
        <is>
          <t>김포지역</t>
        </is>
      </c>
      <c r="P18" s="248" t="n"/>
      <c r="Q18" s="248" t="n"/>
      <c r="R18" s="191" t="n"/>
      <c r="S18" s="192" t="n"/>
      <c r="T18" s="249" t="n"/>
      <c r="U18" s="191" t="n"/>
      <c r="V18" s="194" t="n"/>
      <c r="W18" s="250" t="n"/>
      <c r="X18" s="196" t="n"/>
      <c r="Y18" s="197" t="n"/>
      <c r="Z18" s="251" t="n"/>
      <c r="AA18" s="171" t="n"/>
      <c r="AB18" s="247" t="inlineStr">
        <is>
          <t>김포지역</t>
        </is>
      </c>
      <c r="AC18" s="248" t="inlineStr">
        <is>
          <t>신안실크벨리상가</t>
        </is>
      </c>
      <c r="AD18" s="248" t="inlineStr">
        <is>
          <t>950/82</t>
        </is>
      </c>
      <c r="AE18" s="191" t="inlineStr">
        <is>
          <t>감정동</t>
        </is>
      </c>
      <c r="AF18" s="192" t="n">
        <v>0.3958333333333333</v>
      </c>
      <c r="AG18" s="249" t="n">
        <v>1050280</v>
      </c>
      <c r="AH18" s="191" t="inlineStr">
        <is>
          <t>허록종</t>
        </is>
      </c>
      <c r="AI18" s="194" t="inlineStr">
        <is>
          <t>선덕태양광</t>
        </is>
      </c>
      <c r="AJ18" s="250" t="n">
        <v>59</v>
      </c>
      <c r="AK18" s="196" t="inlineStr">
        <is>
          <t>개곡리</t>
        </is>
      </c>
      <c r="AL18" s="197" t="n"/>
      <c r="AM18" s="251" t="inlineStr">
        <is>
          <t>변종국</t>
        </is>
      </c>
      <c r="AN18" s="171" t="n"/>
      <c r="AO18" s="247" t="inlineStr">
        <is>
          <t>김포지역</t>
        </is>
      </c>
      <c r="AP18" s="248" t="inlineStr">
        <is>
          <t>메트로타워예미지</t>
        </is>
      </c>
      <c r="AQ18" s="248" t="inlineStr">
        <is>
          <t>전기차</t>
        </is>
      </c>
      <c r="AR18" s="191" t="inlineStr">
        <is>
          <t>구래동</t>
        </is>
      </c>
      <c r="AS18" s="192" t="n">
        <v>0.4166666666666667</v>
      </c>
      <c r="AT18" s="249" t="n">
        <v>301400</v>
      </c>
      <c r="AU18" s="191" t="n"/>
      <c r="AV18" s="194" t="inlineStr">
        <is>
          <t>임채화</t>
        </is>
      </c>
      <c r="AW18" s="250" t="n">
        <v>81</v>
      </c>
      <c r="AX18" s="196" t="inlineStr">
        <is>
          <t>율생리</t>
        </is>
      </c>
      <c r="AY18" s="197" t="n"/>
      <c r="AZ18" s="251" t="n"/>
      <c r="BA18" s="171" t="n"/>
      <c r="BB18" s="247" t="inlineStr">
        <is>
          <t>김포지역</t>
        </is>
      </c>
      <c r="BC18" s="248" t="inlineStr">
        <is>
          <t>만조테크</t>
        </is>
      </c>
      <c r="BD18" s="248" t="n">
        <v>290</v>
      </c>
      <c r="BE18" s="191" t="inlineStr">
        <is>
          <t>가현리</t>
        </is>
      </c>
      <c r="BF18" s="192" t="n">
        <v>0.5416666666666666</v>
      </c>
      <c r="BG18" s="249" t="n">
        <v>515130</v>
      </c>
      <c r="BH18" s="191" t="n"/>
      <c r="BI18" s="194" t="n"/>
      <c r="BJ18" s="250" t="n"/>
      <c r="BK18" s="196" t="n"/>
      <c r="BL18" s="197" t="n"/>
      <c r="BM18" s="251" t="n"/>
      <c r="BN18" s="171" t="n"/>
      <c r="BO18" s="171" t="n"/>
      <c r="BP18" s="171" t="n"/>
      <c r="BQ18" s="171" t="n"/>
      <c r="BR18" s="171" t="n"/>
      <c r="BS18" s="171" t="n"/>
      <c r="BT18" s="171" t="n"/>
      <c r="BU18" s="171" t="n"/>
      <c r="BV18" s="171" t="n"/>
      <c r="BW18" s="171" t="n"/>
      <c r="BX18" s="171" t="n"/>
      <c r="BY18" s="171" t="n"/>
      <c r="BZ18" s="171" t="n"/>
      <c r="CA18" s="171" t="n"/>
      <c r="CB18" s="171" t="n"/>
      <c r="CC18" s="171" t="n"/>
      <c r="CD18" s="171" t="n"/>
      <c r="CE18" s="171" t="n"/>
      <c r="CF18" s="171" t="n"/>
      <c r="CG18" s="171" t="n"/>
      <c r="CH18" s="171" t="n"/>
      <c r="CI18" s="171" t="n"/>
      <c r="CJ18" s="171" t="n"/>
      <c r="CK18" s="171" t="n"/>
      <c r="CL18" s="171" t="n"/>
    </row>
    <row r="19">
      <c r="A19" s="171" t="n"/>
      <c r="B19" s="171" t="n"/>
      <c r="C19" s="171" t="n"/>
      <c r="D19" s="171" t="n"/>
      <c r="E19" s="171" t="n"/>
      <c r="F19" s="171" t="n"/>
      <c r="G19" s="171" t="n"/>
      <c r="H19" s="171" t="n"/>
      <c r="I19" s="171" t="n"/>
      <c r="J19" s="171" t="n"/>
      <c r="K19" s="171" t="n"/>
      <c r="L19" s="171" t="n"/>
      <c r="M19" s="171" t="n"/>
      <c r="N19" s="171" t="n"/>
      <c r="O19" s="242" t="n"/>
      <c r="P19" s="243" t="n"/>
      <c r="Q19" s="243" t="n"/>
      <c r="R19" s="204" t="n"/>
      <c r="S19" s="205" t="n"/>
      <c r="T19" s="244" t="n"/>
      <c r="U19" s="204" t="n"/>
      <c r="V19" s="207" t="n"/>
      <c r="W19" s="245" t="n"/>
      <c r="X19" s="209" t="n"/>
      <c r="Y19" s="210" t="n"/>
      <c r="Z19" s="246" t="n"/>
      <c r="AA19" s="171" t="n"/>
      <c r="AB19" s="242" t="n"/>
      <c r="AC19" s="243" t="inlineStr">
        <is>
          <t>이솔빌딩</t>
        </is>
      </c>
      <c r="AD19" s="243" t="inlineStr">
        <is>
          <t>400/150</t>
        </is>
      </c>
      <c r="AE19" s="204" t="inlineStr">
        <is>
          <t>장기동</t>
        </is>
      </c>
      <c r="AF19" s="205" t="n">
        <v>0.3958333333333333</v>
      </c>
      <c r="AG19" s="244" t="n">
        <v>879670</v>
      </c>
      <c r="AH19" s="204" t="inlineStr">
        <is>
          <t>정성관</t>
        </is>
      </c>
      <c r="AI19" s="207" t="inlineStr">
        <is>
          <t>대벽태양광</t>
        </is>
      </c>
      <c r="AJ19" s="245" t="n">
        <v>408</v>
      </c>
      <c r="AK19" s="209" t="inlineStr">
        <is>
          <t>약암리</t>
        </is>
      </c>
      <c r="AL19" s="210" t="n"/>
      <c r="AM19" s="246" t="inlineStr">
        <is>
          <t>정신배</t>
        </is>
      </c>
      <c r="AN19" s="171" t="n"/>
      <c r="AO19" s="242" t="n"/>
      <c r="AP19" s="243" t="inlineStr">
        <is>
          <t>효성푸드</t>
        </is>
      </c>
      <c r="AQ19" s="243" t="n">
        <v>290</v>
      </c>
      <c r="AR19" s="204" t="inlineStr">
        <is>
          <t>귀전리</t>
        </is>
      </c>
      <c r="AS19" s="205" t="n">
        <v>0.5</v>
      </c>
      <c r="AT19" s="244" t="n">
        <v>515130</v>
      </c>
      <c r="AU19" s="204" t="n"/>
      <c r="AV19" s="207" t="inlineStr">
        <is>
          <t>네씨주니어키즈</t>
        </is>
      </c>
      <c r="AW19" s="245" t="n">
        <v>50</v>
      </c>
      <c r="AX19" s="209" t="inlineStr">
        <is>
          <t>운양동</t>
        </is>
      </c>
      <c r="AY19" s="210" t="n"/>
      <c r="AZ19" s="246" t="n"/>
      <c r="BA19" s="171" t="n"/>
      <c r="BB19" s="242" t="n"/>
      <c r="BC19" s="243" t="inlineStr">
        <is>
          <t>디자인파크</t>
        </is>
      </c>
      <c r="BD19" s="243" t="n">
        <v>200</v>
      </c>
      <c r="BE19" s="204" t="inlineStr">
        <is>
          <t>옹정리</t>
        </is>
      </c>
      <c r="BF19" s="205" t="n">
        <v>0.3958333333333333</v>
      </c>
      <c r="BG19" s="244" t="n">
        <v>456720</v>
      </c>
      <c r="BH19" s="204" t="n"/>
      <c r="BI19" s="207" t="n"/>
      <c r="BJ19" s="245" t="n"/>
      <c r="BK19" s="209" t="n"/>
      <c r="BL19" s="210" t="n"/>
      <c r="BM19" s="246" t="n"/>
      <c r="BN19" s="171" t="n"/>
      <c r="BO19" s="171" t="n"/>
      <c r="BP19" s="171" t="n"/>
      <c r="BQ19" s="171" t="n"/>
      <c r="BR19" s="171" t="n"/>
      <c r="BS19" s="171" t="n"/>
      <c r="BT19" s="171" t="n"/>
      <c r="BU19" s="171" t="n"/>
      <c r="BV19" s="171" t="n"/>
      <c r="BW19" s="171" t="n"/>
      <c r="BX19" s="171" t="n"/>
      <c r="BY19" s="171" t="n"/>
      <c r="BZ19" s="171" t="n"/>
      <c r="CA19" s="171" t="n"/>
      <c r="CB19" s="171" t="n"/>
      <c r="CC19" s="171" t="n"/>
      <c r="CD19" s="171" t="n"/>
      <c r="CE19" s="171" t="n"/>
      <c r="CF19" s="171" t="n"/>
      <c r="CG19" s="171" t="n"/>
      <c r="CH19" s="171" t="n"/>
      <c r="CI19" s="171" t="n"/>
      <c r="CJ19" s="171" t="n"/>
      <c r="CK19" s="171" t="n"/>
      <c r="CL19" s="171" t="n"/>
    </row>
    <row r="20">
      <c r="A20" s="171" t="n"/>
      <c r="B20" s="171" t="n"/>
      <c r="C20" s="171" t="n"/>
      <c r="D20" s="171" t="n"/>
      <c r="E20" s="171" t="n"/>
      <c r="F20" s="171" t="n"/>
      <c r="G20" s="171" t="n"/>
      <c r="H20" s="171" t="n"/>
      <c r="I20" s="171" t="n"/>
      <c r="J20" s="171" t="n"/>
      <c r="K20" s="171" t="n"/>
      <c r="L20" s="171" t="n"/>
      <c r="M20" s="171" t="n"/>
      <c r="N20" s="171" t="n"/>
      <c r="O20" s="242" t="n"/>
      <c r="P20" s="243" t="n"/>
      <c r="Q20" s="243" t="n"/>
      <c r="R20" s="204" t="n"/>
      <c r="S20" s="205" t="n"/>
      <c r="T20" s="244" t="n"/>
      <c r="U20" s="204" t="n"/>
      <c r="V20" s="207" t="n"/>
      <c r="W20" s="245" t="n"/>
      <c r="X20" s="209" t="n"/>
      <c r="Y20" s="210" t="n"/>
      <c r="Z20" s="246" t="n"/>
      <c r="AA20" s="171" t="n"/>
      <c r="AB20" s="242" t="n"/>
      <c r="AC20" s="243" t="inlineStr">
        <is>
          <t>유카스주유소</t>
        </is>
      </c>
      <c r="AD20" s="243" t="n">
        <v>50</v>
      </c>
      <c r="AE20" s="204" t="inlineStr">
        <is>
          <t>누산리</t>
        </is>
      </c>
      <c r="AF20" s="205" t="n">
        <v>0.4375</v>
      </c>
      <c r="AG20" s="244" t="n">
        <v>288200</v>
      </c>
      <c r="AH20" s="204" t="inlineStr">
        <is>
          <t>당효진</t>
        </is>
      </c>
      <c r="AI20" s="207" t="inlineStr">
        <is>
          <t>엠에스텐</t>
        </is>
      </c>
      <c r="AJ20" s="245" t="n">
        <v>150</v>
      </c>
      <c r="AK20" s="209" t="inlineStr">
        <is>
          <t>풍무동</t>
        </is>
      </c>
      <c r="AL20" s="210" t="n"/>
      <c r="AM20" s="246" t="inlineStr">
        <is>
          <t>한태희</t>
        </is>
      </c>
      <c r="AN20" s="171" t="n"/>
      <c r="AO20" s="242" t="n"/>
      <c r="AP20" s="243" t="inlineStr">
        <is>
          <t>메트로타워예미지</t>
        </is>
      </c>
      <c r="AQ20" s="243" t="inlineStr">
        <is>
          <t>3650/1136</t>
        </is>
      </c>
      <c r="AR20" s="204" t="inlineStr">
        <is>
          <t>구래동</t>
        </is>
      </c>
      <c r="AS20" s="205" t="n">
        <v>0.4166666666666667</v>
      </c>
      <c r="AT20" s="244" t="n">
        <v>1933580</v>
      </c>
      <c r="AU20" s="204" t="n"/>
      <c r="AV20" s="207" t="inlineStr">
        <is>
          <t>영창펀치</t>
        </is>
      </c>
      <c r="AW20" s="245" t="n">
        <v>100</v>
      </c>
      <c r="AX20" s="209" t="inlineStr">
        <is>
          <t>학운리</t>
        </is>
      </c>
      <c r="AY20" s="210" t="n"/>
      <c r="AZ20" s="246" t="n"/>
      <c r="BA20" s="171" t="n"/>
      <c r="BB20" s="242" t="n"/>
      <c r="BC20" s="243" t="inlineStr">
        <is>
          <t>폴리프라자</t>
        </is>
      </c>
      <c r="BD20" s="243" t="inlineStr">
        <is>
          <t>전기차</t>
        </is>
      </c>
      <c r="BE20" s="204" t="inlineStr">
        <is>
          <t>구래동</t>
        </is>
      </c>
      <c r="BF20" s="205" t="n">
        <v>0.3958333333333333</v>
      </c>
      <c r="BG20" s="244" t="n">
        <v>64240</v>
      </c>
      <c r="BH20" s="204" t="n"/>
      <c r="BI20" s="207" t="n"/>
      <c r="BJ20" s="245" t="n"/>
      <c r="BK20" s="209" t="n"/>
      <c r="BL20" s="210" t="n"/>
      <c r="BM20" s="246" t="n"/>
      <c r="BN20" s="171" t="n"/>
      <c r="BO20" s="171" t="n"/>
      <c r="BP20" s="171" t="n"/>
      <c r="BQ20" s="171" t="n"/>
      <c r="BR20" s="171" t="n"/>
      <c r="BS20" s="171" t="n"/>
      <c r="BT20" s="171" t="n"/>
      <c r="BU20" s="171" t="n"/>
      <c r="BV20" s="171" t="n"/>
      <c r="BW20" s="171" t="n"/>
      <c r="BX20" s="171" t="n"/>
      <c r="BY20" s="171" t="n"/>
      <c r="BZ20" s="171" t="n"/>
      <c r="CA20" s="171" t="n"/>
      <c r="CB20" s="171" t="n"/>
      <c r="CC20" s="171" t="n"/>
      <c r="CD20" s="171" t="n"/>
      <c r="CE20" s="171" t="n"/>
      <c r="CF20" s="171" t="n"/>
      <c r="CG20" s="171" t="n"/>
      <c r="CH20" s="171" t="n"/>
      <c r="CI20" s="171" t="n"/>
      <c r="CJ20" s="171" t="n"/>
      <c r="CK20" s="171" t="n"/>
      <c r="CL20" s="171" t="n"/>
    </row>
    <row r="21">
      <c r="A21" s="171" t="n"/>
      <c r="B21" s="171" t="n"/>
      <c r="C21" s="171" t="n"/>
      <c r="D21" s="171" t="n"/>
      <c r="E21" s="171" t="n"/>
      <c r="F21" s="171" t="n"/>
      <c r="G21" s="171" t="n"/>
      <c r="H21" s="171" t="n"/>
      <c r="I21" s="171" t="n"/>
      <c r="J21" s="171" t="n"/>
      <c r="K21" s="171" t="n"/>
      <c r="L21" s="171" t="n"/>
      <c r="M21" s="171" t="n"/>
      <c r="N21" s="171" t="n"/>
      <c r="O21" s="242" t="n"/>
      <c r="P21" s="243" t="n"/>
      <c r="Q21" s="243" t="n"/>
      <c r="R21" s="204" t="n"/>
      <c r="S21" s="205" t="n"/>
      <c r="T21" s="244" t="n"/>
      <c r="U21" s="204" t="n"/>
      <c r="V21" s="207" t="n"/>
      <c r="W21" s="245" t="n"/>
      <c r="X21" s="209" t="n"/>
      <c r="Y21" s="210" t="n"/>
      <c r="Z21" s="246" t="n"/>
      <c r="AA21" s="171" t="n"/>
      <c r="AB21" s="242" t="n"/>
      <c r="AC21" s="243" t="inlineStr">
        <is>
          <t>인투알</t>
        </is>
      </c>
      <c r="AD21" s="243" t="n">
        <v>95</v>
      </c>
      <c r="AE21" s="204" t="inlineStr">
        <is>
          <t>학운리</t>
        </is>
      </c>
      <c r="AF21" s="205" t="n">
        <v>0.5416666666666666</v>
      </c>
      <c r="AG21" s="244" t="n">
        <v>287100</v>
      </c>
      <c r="AH21" s="204" t="inlineStr">
        <is>
          <t>당효진</t>
        </is>
      </c>
      <c r="AI21" s="207" t="inlineStr">
        <is>
          <t>상동폴리태양광</t>
        </is>
      </c>
      <c r="AJ21" s="245" t="n">
        <v>67</v>
      </c>
      <c r="AK21" s="209" t="inlineStr">
        <is>
          <t>옹정리</t>
        </is>
      </c>
      <c r="AL21" s="210" t="n"/>
      <c r="AM21" s="246" t="inlineStr">
        <is>
          <t>당효진</t>
        </is>
      </c>
      <c r="AN21" s="171" t="n"/>
      <c r="AO21" s="242" t="n"/>
      <c r="AP21" s="243" t="inlineStr">
        <is>
          <t>프라미스</t>
        </is>
      </c>
      <c r="AQ21" s="243" t="n">
        <v>350</v>
      </c>
      <c r="AR21" s="204" t="inlineStr">
        <is>
          <t>장기동</t>
        </is>
      </c>
      <c r="AS21" s="205" t="n">
        <v>0.3958333333333333</v>
      </c>
      <c r="AT21" s="244" t="n">
        <v>686180</v>
      </c>
      <c r="AU21" s="204" t="n"/>
      <c r="AV21" s="207" t="inlineStr">
        <is>
          <t>성지2호</t>
        </is>
      </c>
      <c r="AW21" s="245" t="n">
        <v>188</v>
      </c>
      <c r="AX21" s="209" t="inlineStr">
        <is>
          <t>송마리</t>
        </is>
      </c>
      <c r="AY21" s="210" t="n"/>
      <c r="AZ21" s="246" t="n"/>
      <c r="BA21" s="171" t="n"/>
      <c r="BB21" s="242" t="n"/>
      <c r="BC21" s="243" t="inlineStr">
        <is>
          <t>협신철망</t>
        </is>
      </c>
      <c r="BD21" s="243" t="n">
        <v>99</v>
      </c>
      <c r="BE21" s="204" t="inlineStr">
        <is>
          <t>석정리</t>
        </is>
      </c>
      <c r="BF21" s="205" t="n">
        <v>0.3958333333333333</v>
      </c>
      <c r="BG21" s="244" t="n">
        <v>255530</v>
      </c>
      <c r="BH21" s="204" t="n"/>
      <c r="BI21" s="207" t="n"/>
      <c r="BJ21" s="245" t="n"/>
      <c r="BK21" s="209" t="n"/>
      <c r="BL21" s="210" t="n"/>
      <c r="BM21" s="246" t="n"/>
      <c r="BN21" s="171" t="n"/>
      <c r="BO21" s="171" t="n"/>
      <c r="BP21" s="171" t="n"/>
      <c r="BQ21" s="171" t="n"/>
      <c r="BR21" s="171" t="n"/>
      <c r="BS21" s="171" t="n"/>
      <c r="BT21" s="171" t="n"/>
      <c r="BU21" s="171" t="n"/>
      <c r="BV21" s="171" t="n"/>
      <c r="BW21" s="171" t="n"/>
      <c r="BX21" s="171" t="n"/>
      <c r="BY21" s="171" t="n"/>
      <c r="BZ21" s="171" t="n"/>
      <c r="CA21" s="171" t="n"/>
      <c r="CB21" s="171" t="n"/>
      <c r="CC21" s="171" t="n"/>
      <c r="CD21" s="171" t="n"/>
      <c r="CE21" s="171" t="n"/>
      <c r="CF21" s="171" t="n"/>
      <c r="CG21" s="171" t="n"/>
      <c r="CH21" s="171" t="n"/>
      <c r="CI21" s="171" t="n"/>
      <c r="CJ21" s="171" t="n"/>
      <c r="CK21" s="171" t="n"/>
      <c r="CL21" s="171" t="n"/>
    </row>
    <row r="22">
      <c r="A22" s="171" t="n"/>
      <c r="B22" s="171" t="n"/>
      <c r="C22" s="171" t="n"/>
      <c r="D22" s="171" t="n"/>
      <c r="E22" s="171" t="n"/>
      <c r="F22" s="171" t="n"/>
      <c r="G22" s="171" t="n"/>
      <c r="H22" s="171" t="n"/>
      <c r="I22" s="171" t="n"/>
      <c r="J22" s="171" t="n"/>
      <c r="K22" s="171" t="n"/>
      <c r="L22" s="171" t="n"/>
      <c r="M22" s="171" t="n"/>
      <c r="N22" s="171" t="n"/>
      <c r="O22" s="242" t="n"/>
      <c r="P22" s="243" t="n"/>
      <c r="Q22" s="243" t="n"/>
      <c r="R22" s="204" t="n"/>
      <c r="S22" s="205" t="n"/>
      <c r="T22" s="244" t="n"/>
      <c r="U22" s="204" t="n"/>
      <c r="V22" s="207" t="n"/>
      <c r="W22" s="245" t="n"/>
      <c r="X22" s="209" t="n"/>
      <c r="Y22" s="210" t="n"/>
      <c r="Z22" s="246" t="n"/>
      <c r="AA22" s="171" t="n"/>
      <c r="AB22" s="242" t="n"/>
      <c r="AC22" s="243" t="inlineStr">
        <is>
          <t>지엘케이</t>
        </is>
      </c>
      <c r="AD22" s="243" t="n">
        <v>295</v>
      </c>
      <c r="AE22" s="204" t="inlineStr">
        <is>
          <t>학운리</t>
        </is>
      </c>
      <c r="AF22" s="205" t="n">
        <v>0.3958333333333333</v>
      </c>
      <c r="AG22" s="244" t="n">
        <v>518430</v>
      </c>
      <c r="AH22" s="204" t="inlineStr">
        <is>
          <t>변종국</t>
        </is>
      </c>
      <c r="AI22" s="207" t="n"/>
      <c r="AJ22" s="245" t="n"/>
      <c r="AK22" s="209" t="n"/>
      <c r="AL22" s="210" t="n"/>
      <c r="AM22" s="246" t="n"/>
      <c r="AN22" s="171" t="n"/>
      <c r="AO22" s="242" t="n"/>
      <c r="AP22" s="243" t="inlineStr">
        <is>
          <t>김포풍무꿈에그린5</t>
        </is>
      </c>
      <c r="AQ22" s="243" t="n">
        <v>11</v>
      </c>
      <c r="AR22" s="204" t="inlineStr">
        <is>
          <t>풍무동</t>
        </is>
      </c>
      <c r="AS22" s="205" t="n">
        <v>0.5833333333333334</v>
      </c>
      <c r="AT22" s="244" t="n">
        <v>92070</v>
      </c>
      <c r="AU22" s="204" t="n"/>
      <c r="AV22" s="207" t="inlineStr">
        <is>
          <t>페이퍼큐브</t>
        </is>
      </c>
      <c r="AW22" s="245" t="n">
        <v>129</v>
      </c>
      <c r="AX22" s="209" t="inlineStr">
        <is>
          <t>원산리</t>
        </is>
      </c>
      <c r="AY22" s="210" t="n"/>
      <c r="AZ22" s="246" t="n"/>
      <c r="BA22" s="171" t="n"/>
      <c r="BB22" s="242" t="n"/>
      <c r="BC22" s="243" t="inlineStr">
        <is>
          <t>효성피엠</t>
        </is>
      </c>
      <c r="BD22" s="243" t="n">
        <v>500</v>
      </c>
      <c r="BE22" s="204" t="inlineStr">
        <is>
          <t>원산리</t>
        </is>
      </c>
      <c r="BF22" s="205" t="n">
        <v>0.4791666666666667</v>
      </c>
      <c r="BG22" s="244" t="n">
        <v>737000</v>
      </c>
      <c r="BH22" s="204" t="n"/>
      <c r="BI22" s="207" t="n"/>
      <c r="BJ22" s="245" t="n"/>
      <c r="BK22" s="209" t="n"/>
      <c r="BL22" s="210" t="n"/>
      <c r="BM22" s="246" t="n"/>
      <c r="BN22" s="171" t="n"/>
      <c r="BO22" s="171" t="n"/>
      <c r="BP22" s="171" t="n"/>
      <c r="BQ22" s="171" t="n"/>
      <c r="BR22" s="171" t="n"/>
      <c r="BS22" s="171" t="n"/>
      <c r="BT22" s="171" t="n"/>
      <c r="BU22" s="171" t="n"/>
      <c r="BV22" s="171" t="n"/>
      <c r="BW22" s="171" t="n"/>
      <c r="BX22" s="171" t="n"/>
      <c r="BY22" s="171" t="n"/>
      <c r="BZ22" s="171" t="n"/>
      <c r="CA22" s="171" t="n"/>
      <c r="CB22" s="171" t="n"/>
      <c r="CC22" s="171" t="n"/>
      <c r="CD22" s="171" t="n"/>
      <c r="CE22" s="171" t="n"/>
      <c r="CF22" s="171" t="n"/>
      <c r="CG22" s="171" t="n"/>
      <c r="CH22" s="171" t="n"/>
      <c r="CI22" s="171" t="n"/>
      <c r="CJ22" s="171" t="n"/>
      <c r="CK22" s="171" t="n"/>
      <c r="CL22" s="171" t="n"/>
    </row>
    <row r="23">
      <c r="A23" s="171" t="n"/>
      <c r="B23" s="171" t="n"/>
      <c r="C23" s="171" t="n"/>
      <c r="D23" s="171" t="n"/>
      <c r="E23" s="171" t="n"/>
      <c r="F23" s="171" t="n"/>
      <c r="G23" s="171" t="n"/>
      <c r="H23" s="171" t="n"/>
      <c r="I23" s="171" t="n"/>
      <c r="J23" s="171" t="n"/>
      <c r="K23" s="171" t="n"/>
      <c r="L23" s="171" t="n"/>
      <c r="M23" s="171" t="n"/>
      <c r="N23" s="171" t="n"/>
      <c r="O23" s="242" t="n"/>
      <c r="P23" s="243" t="n"/>
      <c r="Q23" s="243" t="n"/>
      <c r="R23" s="204" t="n"/>
      <c r="S23" s="205" t="n"/>
      <c r="T23" s="244" t="n"/>
      <c r="U23" s="204" t="n"/>
      <c r="V23" s="207" t="n"/>
      <c r="W23" s="245" t="n"/>
      <c r="X23" s="209" t="n"/>
      <c r="Y23" s="210" t="n"/>
      <c r="Z23" s="246" t="n"/>
      <c r="AA23" s="171" t="n"/>
      <c r="AB23" s="242" t="n"/>
      <c r="AC23" s="243" t="inlineStr">
        <is>
          <t>우진퍼니처</t>
        </is>
      </c>
      <c r="AD23" s="243" t="n">
        <v>300</v>
      </c>
      <c r="AE23" s="204" t="inlineStr">
        <is>
          <t>쇄암리</t>
        </is>
      </c>
      <c r="AF23" s="205" t="n">
        <v>0.4791666666666667</v>
      </c>
      <c r="AG23" s="244" t="n">
        <v>521730</v>
      </c>
      <c r="AH23" s="204" t="inlineStr">
        <is>
          <t>정신배</t>
        </is>
      </c>
      <c r="AI23" s="207" t="n"/>
      <c r="AJ23" s="245" t="n"/>
      <c r="AK23" s="209" t="n"/>
      <c r="AL23" s="210" t="n"/>
      <c r="AM23" s="246" t="n"/>
      <c r="AN23" s="171" t="n"/>
      <c r="AO23" s="242" t="n"/>
      <c r="AP23" s="243" t="n"/>
      <c r="AQ23" s="243" t="n"/>
      <c r="AR23" s="204" t="n"/>
      <c r="AS23" s="205" t="n"/>
      <c r="AT23" s="244" t="n"/>
      <c r="AU23" s="204" t="n"/>
      <c r="AV23" s="207" t="n"/>
      <c r="AW23" s="245" t="n"/>
      <c r="AX23" s="209" t="n"/>
      <c r="AY23" s="210" t="n"/>
      <c r="AZ23" s="246" t="n"/>
      <c r="BA23" s="171" t="n"/>
      <c r="BB23" s="242" t="n"/>
      <c r="BC23" s="243" t="inlineStr">
        <is>
          <t>태진공업</t>
        </is>
      </c>
      <c r="BD23" s="243" t="n">
        <v>170</v>
      </c>
      <c r="BE23" s="204" t="inlineStr">
        <is>
          <t>고정리</t>
        </is>
      </c>
      <c r="BF23" s="205" t="n">
        <v>0.5</v>
      </c>
      <c r="BG23" s="244" t="n">
        <v>437140</v>
      </c>
      <c r="BH23" s="204" t="n"/>
      <c r="BI23" s="207" t="n"/>
      <c r="BJ23" s="245" t="n"/>
      <c r="BK23" s="209" t="n"/>
      <c r="BL23" s="210" t="n"/>
      <c r="BM23" s="246" t="n"/>
      <c r="BN23" s="171" t="n"/>
      <c r="BO23" s="171" t="n"/>
      <c r="BP23" s="171" t="n"/>
      <c r="BQ23" s="171" t="n"/>
      <c r="BR23" s="171" t="n"/>
      <c r="BS23" s="171" t="n"/>
      <c r="BT23" s="171" t="n"/>
      <c r="BU23" s="171" t="n"/>
      <c r="BV23" s="171" t="n"/>
      <c r="BW23" s="171" t="n"/>
      <c r="BX23" s="171" t="n"/>
      <c r="BY23" s="171" t="n"/>
      <c r="BZ23" s="171" t="n"/>
      <c r="CA23" s="171" t="n"/>
      <c r="CB23" s="171" t="n"/>
      <c r="CC23" s="171" t="n"/>
      <c r="CD23" s="171" t="n"/>
      <c r="CE23" s="171" t="n"/>
      <c r="CF23" s="171" t="n"/>
      <c r="CG23" s="171" t="n"/>
      <c r="CH23" s="171" t="n"/>
      <c r="CI23" s="171" t="n"/>
      <c r="CJ23" s="171" t="n"/>
      <c r="CK23" s="171" t="n"/>
      <c r="CL23" s="171" t="n"/>
    </row>
    <row r="24">
      <c r="A24" s="171" t="n"/>
      <c r="B24" s="171" t="n"/>
      <c r="C24" s="171" t="n"/>
      <c r="D24" s="171" t="n"/>
      <c r="E24" s="171" t="n"/>
      <c r="F24" s="171" t="n"/>
      <c r="G24" s="171" t="n"/>
      <c r="H24" s="171" t="n"/>
      <c r="I24" s="171" t="n"/>
      <c r="J24" s="171" t="n"/>
      <c r="K24" s="171" t="n"/>
      <c r="L24" s="171" t="n"/>
      <c r="M24" s="171" t="n"/>
      <c r="N24" s="171" t="n"/>
      <c r="O24" s="242" t="n"/>
      <c r="P24" s="243" t="n"/>
      <c r="Q24" s="243" t="n"/>
      <c r="R24" s="204" t="n"/>
      <c r="S24" s="205" t="n"/>
      <c r="T24" s="244" t="n"/>
      <c r="U24" s="204" t="n"/>
      <c r="V24" s="207" t="n"/>
      <c r="W24" s="245" t="n"/>
      <c r="X24" s="209" t="n"/>
      <c r="Y24" s="210" t="n"/>
      <c r="Z24" s="246" t="n"/>
      <c r="AA24" s="171" t="n"/>
      <c r="AB24" s="242" t="n"/>
      <c r="AC24" s="243" t="inlineStr">
        <is>
          <t>천연목재</t>
        </is>
      </c>
      <c r="AD24" s="243" t="n">
        <v>890</v>
      </c>
      <c r="AE24" s="204" t="inlineStr">
        <is>
          <t>갈산리</t>
        </is>
      </c>
      <c r="AF24" s="205" t="n">
        <v>0.4791666666666667</v>
      </c>
      <c r="AG24" s="244" t="n">
        <v>869110</v>
      </c>
      <c r="AH24" s="204" t="inlineStr">
        <is>
          <t>서수형</t>
        </is>
      </c>
      <c r="AI24" s="207" t="n"/>
      <c r="AJ24" s="245" t="n"/>
      <c r="AK24" s="209" t="n"/>
      <c r="AL24" s="210" t="n"/>
      <c r="AM24" s="246" t="n"/>
      <c r="AN24" s="171" t="n"/>
      <c r="AO24" s="242" t="n"/>
      <c r="AP24" s="243" t="n"/>
      <c r="AQ24" s="243" t="n"/>
      <c r="AR24" s="204" t="n"/>
      <c r="AS24" s="205" t="n"/>
      <c r="AT24" s="244" t="n"/>
      <c r="AU24" s="204" t="n"/>
      <c r="AV24" s="207" t="n"/>
      <c r="AW24" s="245" t="n"/>
      <c r="AX24" s="209" t="n"/>
      <c r="AY24" s="210" t="n"/>
      <c r="AZ24" s="246" t="n"/>
      <c r="BA24" s="171" t="n"/>
      <c r="BB24" s="242" t="n"/>
      <c r="BC24" s="243" t="inlineStr">
        <is>
          <t>제이후렉스</t>
        </is>
      </c>
      <c r="BD24" s="243" t="n">
        <v>200</v>
      </c>
      <c r="BE24" s="204" t="inlineStr">
        <is>
          <t>가현리</t>
        </is>
      </c>
      <c r="BF24" s="205" t="n">
        <v>0.3958333333333333</v>
      </c>
      <c r="BG24" s="244" t="n">
        <v>456720</v>
      </c>
      <c r="BH24" s="204" t="n"/>
      <c r="BI24" s="207" t="n"/>
      <c r="BJ24" s="245" t="n"/>
      <c r="BK24" s="209" t="n"/>
      <c r="BL24" s="210" t="n"/>
      <c r="BM24" s="246" t="n"/>
      <c r="BN24" s="171" t="n"/>
      <c r="BO24" s="171" t="n"/>
      <c r="BP24" s="171" t="n"/>
      <c r="BQ24" s="171" t="n"/>
      <c r="BR24" s="171" t="n"/>
      <c r="BS24" s="171" t="n"/>
      <c r="BT24" s="171" t="n"/>
      <c r="BU24" s="171" t="n"/>
      <c r="BV24" s="171" t="n"/>
      <c r="BW24" s="171" t="n"/>
      <c r="BX24" s="171" t="n"/>
      <c r="BY24" s="171" t="n"/>
      <c r="BZ24" s="171" t="n"/>
      <c r="CA24" s="171" t="n"/>
      <c r="CB24" s="171" t="n"/>
      <c r="CC24" s="171" t="n"/>
      <c r="CD24" s="171" t="n"/>
      <c r="CE24" s="171" t="n"/>
      <c r="CF24" s="171" t="n"/>
      <c r="CG24" s="171" t="n"/>
      <c r="CH24" s="171" t="n"/>
      <c r="CI24" s="171" t="n"/>
      <c r="CJ24" s="171" t="n"/>
      <c r="CK24" s="171" t="n"/>
      <c r="CL24" s="171" t="n"/>
    </row>
    <row r="25">
      <c r="A25" s="171" t="n"/>
      <c r="B25" s="171" t="n"/>
      <c r="C25" s="171" t="n"/>
      <c r="D25" s="171" t="n"/>
      <c r="E25" s="171" t="n"/>
      <c r="F25" s="171" t="n"/>
      <c r="G25" s="171" t="n"/>
      <c r="H25" s="171" t="n"/>
      <c r="I25" s="171" t="n"/>
      <c r="J25" s="171" t="n"/>
      <c r="K25" s="171" t="n"/>
      <c r="L25" s="171" t="n"/>
      <c r="M25" s="171" t="n"/>
      <c r="N25" s="171" t="n"/>
      <c r="O25" s="242" t="n"/>
      <c r="P25" s="243" t="n"/>
      <c r="Q25" s="243" t="n"/>
      <c r="R25" s="204" t="n"/>
      <c r="S25" s="205" t="n"/>
      <c r="T25" s="244" t="n"/>
      <c r="U25" s="204" t="n"/>
      <c r="V25" s="207" t="n"/>
      <c r="W25" s="245" t="n"/>
      <c r="X25" s="209" t="n"/>
      <c r="Y25" s="210" t="n"/>
      <c r="Z25" s="246" t="n"/>
      <c r="AA25" s="171" t="n"/>
      <c r="AB25" s="242" t="n"/>
      <c r="AC25" s="243" t="n"/>
      <c r="AD25" s="243" t="n"/>
      <c r="AE25" s="204" t="n"/>
      <c r="AF25" s="205" t="n"/>
      <c r="AG25" s="244" t="n"/>
      <c r="AH25" s="204" t="n"/>
      <c r="AI25" s="207" t="n"/>
      <c r="AJ25" s="245" t="n"/>
      <c r="AK25" s="209" t="n"/>
      <c r="AL25" s="210" t="n"/>
      <c r="AM25" s="246" t="n"/>
      <c r="AN25" s="171" t="n"/>
      <c r="AO25" s="242" t="n"/>
      <c r="AP25" s="243" t="n"/>
      <c r="AQ25" s="243" t="n"/>
      <c r="AR25" s="204" t="n"/>
      <c r="AS25" s="205" t="n"/>
      <c r="AT25" s="244" t="n"/>
      <c r="AU25" s="204" t="n"/>
      <c r="AV25" s="207" t="n"/>
      <c r="AW25" s="245" t="n"/>
      <c r="AX25" s="209" t="n"/>
      <c r="AY25" s="210" t="n"/>
      <c r="AZ25" s="246" t="n"/>
      <c r="BA25" s="171" t="n"/>
      <c r="BB25" s="242" t="n"/>
      <c r="BC25" s="243" t="inlineStr">
        <is>
          <t>서울비닐</t>
        </is>
      </c>
      <c r="BD25" s="243" t="n">
        <v>200</v>
      </c>
      <c r="BE25" s="204" t="inlineStr">
        <is>
          <t>송마리</t>
        </is>
      </c>
      <c r="BF25" s="205" t="n">
        <v>0.3958333333333333</v>
      </c>
      <c r="BG25" s="244" t="n">
        <v>456720</v>
      </c>
      <c r="BH25" s="204" t="n"/>
      <c r="BI25" s="207" t="n"/>
      <c r="BJ25" s="245" t="n"/>
      <c r="BK25" s="209" t="n"/>
      <c r="BL25" s="210" t="n"/>
      <c r="BM25" s="246" t="n"/>
      <c r="BN25" s="171" t="n"/>
      <c r="BO25" s="171" t="n"/>
      <c r="BP25" s="171" t="n"/>
      <c r="BQ25" s="171" t="n"/>
      <c r="BR25" s="171" t="n"/>
      <c r="BS25" s="171" t="n"/>
      <c r="BT25" s="171" t="n"/>
      <c r="BU25" s="171" t="n"/>
      <c r="BV25" s="171" t="n"/>
      <c r="BW25" s="171" t="n"/>
      <c r="BX25" s="171" t="n"/>
      <c r="BY25" s="171" t="n"/>
      <c r="BZ25" s="171" t="n"/>
      <c r="CA25" s="171" t="n"/>
      <c r="CB25" s="171" t="n"/>
      <c r="CC25" s="171" t="n"/>
      <c r="CD25" s="171" t="n"/>
      <c r="CE25" s="171" t="n"/>
      <c r="CF25" s="171" t="n"/>
      <c r="CG25" s="171" t="n"/>
      <c r="CH25" s="171" t="n"/>
      <c r="CI25" s="171" t="n"/>
      <c r="CJ25" s="171" t="n"/>
      <c r="CK25" s="171" t="n"/>
      <c r="CL25" s="171" t="n"/>
    </row>
    <row r="26">
      <c r="A26" s="171" t="n"/>
      <c r="B26" s="171" t="n"/>
      <c r="C26" s="171" t="n"/>
      <c r="D26" s="171" t="n"/>
      <c r="E26" s="171" t="n"/>
      <c r="F26" s="171" t="n"/>
      <c r="G26" s="171" t="n"/>
      <c r="H26" s="171" t="n"/>
      <c r="I26" s="171" t="n"/>
      <c r="J26" s="171" t="n"/>
      <c r="K26" s="171" t="n"/>
      <c r="L26" s="171" t="n"/>
      <c r="M26" s="171" t="n"/>
      <c r="N26" s="171" t="n"/>
      <c r="O26" s="242" t="n"/>
      <c r="P26" s="243" t="n"/>
      <c r="Q26" s="243" t="n"/>
      <c r="R26" s="204" t="n"/>
      <c r="S26" s="205" t="n"/>
      <c r="T26" s="244" t="n"/>
      <c r="U26" s="204" t="n"/>
      <c r="V26" s="207" t="n"/>
      <c r="W26" s="245" t="n"/>
      <c r="X26" s="209" t="n"/>
      <c r="Y26" s="210" t="n"/>
      <c r="Z26" s="246" t="n"/>
      <c r="AA26" s="171" t="n"/>
      <c r="AB26" s="242" t="n"/>
      <c r="AC26" s="243" t="n"/>
      <c r="AD26" s="243" t="n"/>
      <c r="AE26" s="204" t="n"/>
      <c r="AF26" s="205" t="n"/>
      <c r="AG26" s="244" t="n"/>
      <c r="AH26" s="204" t="n"/>
      <c r="AI26" s="207" t="n"/>
      <c r="AJ26" s="245" t="n"/>
      <c r="AK26" s="209" t="n"/>
      <c r="AL26" s="210" t="n"/>
      <c r="AM26" s="246" t="n"/>
      <c r="AN26" s="171" t="n"/>
      <c r="AO26" s="242" t="n"/>
      <c r="AP26" s="243" t="n"/>
      <c r="AQ26" s="243" t="n"/>
      <c r="AR26" s="204" t="n"/>
      <c r="AS26" s="205" t="n"/>
      <c r="AT26" s="244" t="n"/>
      <c r="AU26" s="204" t="n"/>
      <c r="AV26" s="207" t="n"/>
      <c r="AW26" s="245" t="n"/>
      <c r="AX26" s="209" t="n"/>
      <c r="AY26" s="210" t="n"/>
      <c r="AZ26" s="246" t="n"/>
      <c r="BA26" s="171" t="n"/>
      <c r="BB26" s="242" t="n"/>
      <c r="BC26" s="243" t="n"/>
      <c r="BD26" s="243" t="n"/>
      <c r="BE26" s="204" t="n"/>
      <c r="BF26" s="205" t="n"/>
      <c r="BG26" s="244" t="n"/>
      <c r="BH26" s="204" t="n"/>
      <c r="BI26" s="207" t="n"/>
      <c r="BJ26" s="245" t="n"/>
      <c r="BK26" s="209" t="n"/>
      <c r="BL26" s="210" t="n"/>
      <c r="BM26" s="246" t="n"/>
      <c r="BN26" s="171" t="n"/>
      <c r="BO26" s="171" t="n"/>
      <c r="BP26" s="171" t="n"/>
      <c r="BQ26" s="171" t="n"/>
      <c r="BR26" s="171" t="n"/>
      <c r="BS26" s="171" t="n"/>
      <c r="BT26" s="171" t="n"/>
      <c r="BU26" s="171" t="n"/>
      <c r="BV26" s="171" t="n"/>
      <c r="BW26" s="171" t="n"/>
      <c r="BX26" s="171" t="n"/>
      <c r="BY26" s="171" t="n"/>
      <c r="BZ26" s="171" t="n"/>
      <c r="CA26" s="171" t="n"/>
      <c r="CB26" s="171" t="n"/>
      <c r="CC26" s="171" t="n"/>
      <c r="CD26" s="171" t="n"/>
      <c r="CE26" s="171" t="n"/>
      <c r="CF26" s="171" t="n"/>
      <c r="CG26" s="171" t="n"/>
      <c r="CH26" s="171" t="n"/>
      <c r="CI26" s="171" t="n"/>
      <c r="CJ26" s="171" t="n"/>
      <c r="CK26" s="171" t="n"/>
      <c r="CL26" s="171" t="n"/>
    </row>
    <row r="27">
      <c r="A27" s="171" t="n"/>
      <c r="B27" s="171" t="n"/>
      <c r="C27" s="171" t="n"/>
      <c r="D27" s="171" t="n"/>
      <c r="E27" s="171" t="n"/>
      <c r="F27" s="171" t="n"/>
      <c r="G27" s="171" t="n"/>
      <c r="H27" s="171" t="n"/>
      <c r="I27" s="171" t="n"/>
      <c r="J27" s="171" t="n"/>
      <c r="K27" s="171" t="n"/>
      <c r="L27" s="171" t="n"/>
      <c r="M27" s="171" t="n"/>
      <c r="N27" s="171" t="n"/>
      <c r="O27" s="242" t="n"/>
      <c r="P27" s="243" t="n"/>
      <c r="Q27" s="243" t="n"/>
      <c r="R27" s="204" t="n"/>
      <c r="S27" s="205" t="n"/>
      <c r="T27" s="244" t="n"/>
      <c r="U27" s="204" t="n"/>
      <c r="V27" s="207" t="n"/>
      <c r="W27" s="245" t="n"/>
      <c r="X27" s="209" t="n"/>
      <c r="Y27" s="210" t="n"/>
      <c r="Z27" s="246" t="n"/>
      <c r="AA27" s="171" t="n"/>
      <c r="AB27" s="242" t="n"/>
      <c r="AC27" s="243" t="n"/>
      <c r="AD27" s="243" t="n"/>
      <c r="AE27" s="204" t="n"/>
      <c r="AF27" s="205" t="n"/>
      <c r="AG27" s="244" t="n"/>
      <c r="AH27" s="204" t="n"/>
      <c r="AI27" s="207" t="n"/>
      <c r="AJ27" s="245" t="n"/>
      <c r="AK27" s="209" t="n"/>
      <c r="AL27" s="210" t="n"/>
      <c r="AM27" s="246" t="n"/>
      <c r="AN27" s="171" t="n"/>
      <c r="AO27" s="242" t="n"/>
      <c r="AP27" s="243" t="n"/>
      <c r="AQ27" s="243" t="n"/>
      <c r="AR27" s="204" t="n"/>
      <c r="AS27" s="205" t="n"/>
      <c r="AT27" s="244" t="n"/>
      <c r="AU27" s="204" t="n"/>
      <c r="AV27" s="207" t="n"/>
      <c r="AW27" s="245" t="n"/>
      <c r="AX27" s="209" t="n"/>
      <c r="AY27" s="210" t="n"/>
      <c r="AZ27" s="246" t="n"/>
      <c r="BA27" s="171" t="n"/>
      <c r="BB27" s="242" t="n"/>
      <c r="BC27" s="243" t="n"/>
      <c r="BD27" s="243" t="n"/>
      <c r="BE27" s="204" t="n"/>
      <c r="BF27" s="205" t="n"/>
      <c r="BG27" s="244" t="n"/>
      <c r="BH27" s="204" t="n"/>
      <c r="BI27" s="207" t="n"/>
      <c r="BJ27" s="245" t="n"/>
      <c r="BK27" s="209" t="n"/>
      <c r="BL27" s="210" t="n"/>
      <c r="BM27" s="246" t="n"/>
      <c r="BN27" s="171" t="n"/>
      <c r="BO27" s="171" t="n"/>
      <c r="BP27" s="171" t="n"/>
      <c r="BQ27" s="171" t="n"/>
      <c r="BR27" s="171" t="n"/>
      <c r="BS27" s="171" t="n"/>
      <c r="BT27" s="171" t="n"/>
      <c r="BU27" s="171" t="n"/>
      <c r="BV27" s="171" t="n"/>
      <c r="BW27" s="171" t="n"/>
      <c r="BX27" s="171" t="n"/>
      <c r="BY27" s="171" t="n"/>
      <c r="BZ27" s="171" t="n"/>
      <c r="CA27" s="171" t="n"/>
      <c r="CB27" s="171" t="n"/>
      <c r="CC27" s="171" t="n"/>
      <c r="CD27" s="171" t="n"/>
      <c r="CE27" s="171" t="n"/>
      <c r="CF27" s="171" t="n"/>
      <c r="CG27" s="171" t="n"/>
      <c r="CH27" s="171" t="n"/>
      <c r="CI27" s="171" t="n"/>
      <c r="CJ27" s="171" t="n"/>
      <c r="CK27" s="171" t="n"/>
      <c r="CL27" s="171" t="n"/>
    </row>
    <row r="28" ht="18" customHeight="1" s="22" thickBot="1">
      <c r="A28" s="171" t="n"/>
      <c r="B28" s="171" t="n"/>
      <c r="C28" s="171" t="n"/>
      <c r="D28" s="171" t="n"/>
      <c r="E28" s="171" t="n"/>
      <c r="F28" s="171" t="n"/>
      <c r="G28" s="171" t="n"/>
      <c r="H28" s="171" t="n"/>
      <c r="I28" s="171" t="n"/>
      <c r="J28" s="171" t="n"/>
      <c r="K28" s="171" t="n"/>
      <c r="L28" s="171" t="n"/>
      <c r="M28" s="171" t="n"/>
      <c r="N28" s="171" t="n"/>
      <c r="O28" s="252" t="inlineStr">
        <is>
          <t>비고</t>
        </is>
      </c>
      <c r="P28" s="253" t="n"/>
      <c r="Q28" s="253" t="n"/>
      <c r="R28" s="253" t="n"/>
      <c r="S28" s="253" t="n"/>
      <c r="T28" s="253" t="n"/>
      <c r="U28" s="253" t="n"/>
      <c r="V28" s="254" t="n"/>
      <c r="W28" s="253" t="n"/>
      <c r="X28" s="253" t="n"/>
      <c r="Y28" s="253" t="n"/>
      <c r="Z28" s="255" t="n"/>
      <c r="AA28" s="171" t="n"/>
      <c r="AB28" s="252" t="inlineStr">
        <is>
          <t>비고</t>
        </is>
      </c>
      <c r="AC28" s="253" t="n"/>
      <c r="AD28" s="253" t="n"/>
      <c r="AE28" s="253" t="n"/>
      <c r="AF28" s="253" t="n"/>
      <c r="AG28" s="253" t="n"/>
      <c r="AH28" s="253" t="n"/>
      <c r="AI28" s="254" t="n"/>
      <c r="AJ28" s="253" t="n"/>
      <c r="AK28" s="253" t="n"/>
      <c r="AL28" s="253" t="n"/>
      <c r="AM28" s="255" t="n"/>
      <c r="AN28" s="171" t="n"/>
      <c r="AO28" s="252" t="inlineStr">
        <is>
          <t>비고</t>
        </is>
      </c>
      <c r="AP28" s="253" t="n"/>
      <c r="AQ28" s="253" t="n"/>
      <c r="AR28" s="253" t="n"/>
      <c r="AS28" s="253" t="n"/>
      <c r="AT28" s="253" t="n"/>
      <c r="AU28" s="253" t="n"/>
      <c r="AV28" s="254" t="n"/>
      <c r="AW28" s="253" t="n"/>
      <c r="AX28" s="253" t="n"/>
      <c r="AY28" s="253" t="n"/>
      <c r="AZ28" s="255" t="n"/>
      <c r="BA28" s="171" t="n"/>
      <c r="BB28" s="252" t="inlineStr">
        <is>
          <t>비고</t>
        </is>
      </c>
      <c r="BC28" s="253" t="n"/>
      <c r="BD28" s="253" t="n"/>
      <c r="BE28" s="253" t="n"/>
      <c r="BF28" s="253" t="n"/>
      <c r="BG28" s="253" t="n"/>
      <c r="BH28" s="253" t="n"/>
      <c r="BI28" s="254" t="n"/>
      <c r="BJ28" s="253" t="n"/>
      <c r="BK28" s="253" t="n"/>
      <c r="BL28" s="253" t="n"/>
      <c r="BM28" s="255" t="n"/>
      <c r="BN28" s="171" t="n"/>
      <c r="BO28" s="171" t="n"/>
      <c r="BP28" s="171" t="n"/>
      <c r="BQ28" s="171" t="n"/>
      <c r="BR28" s="171" t="n"/>
      <c r="BS28" s="171" t="n"/>
      <c r="BT28" s="171" t="n"/>
      <c r="BU28" s="171" t="n"/>
      <c r="BV28" s="171" t="n"/>
      <c r="BW28" s="171" t="n"/>
      <c r="BX28" s="171" t="n"/>
      <c r="BY28" s="171" t="n"/>
      <c r="BZ28" s="171" t="n"/>
      <c r="CA28" s="171" t="n"/>
      <c r="CB28" s="171" t="n"/>
      <c r="CC28" s="171" t="n"/>
      <c r="CD28" s="171" t="n"/>
      <c r="CE28" s="171" t="n"/>
      <c r="CF28" s="171" t="n"/>
      <c r="CG28" s="171" t="n"/>
      <c r="CH28" s="171" t="n"/>
      <c r="CI28" s="171" t="n"/>
      <c r="CJ28" s="171" t="n"/>
      <c r="CK28" s="171" t="n"/>
      <c r="CL28" s="171" t="n"/>
    </row>
    <row r="29" ht="19.8" customHeight="1" s="22" thickBot="1">
      <c r="A29" s="171" t="n"/>
      <c r="B29" s="171" t="n"/>
      <c r="C29" s="171" t="n"/>
      <c r="D29" s="171" t="n"/>
      <c r="E29" s="171" t="n"/>
      <c r="F29" s="171" t="n"/>
      <c r="G29" s="171" t="n"/>
      <c r="H29" s="171" t="n"/>
      <c r="I29" s="171" t="n"/>
      <c r="J29" s="171" t="n"/>
      <c r="K29" s="171" t="n"/>
      <c r="L29" s="171" t="n"/>
      <c r="M29" s="171" t="n"/>
      <c r="N29" s="171" t="n"/>
      <c r="O29" s="232" t="n">
        <v>46301</v>
      </c>
      <c r="Q29" s="171" t="n"/>
      <c r="R29" s="171" t="n"/>
      <c r="S29" s="171" t="n"/>
      <c r="T29" s="171" t="n"/>
      <c r="U29" s="171" t="n"/>
      <c r="V29" s="171" t="n"/>
      <c r="W29" s="171" t="n"/>
      <c r="X29" s="171" t="n"/>
      <c r="Y29" s="171" t="n"/>
      <c r="Z29" s="233" t="inlineStr">
        <is>
          <t>(화)</t>
        </is>
      </c>
      <c r="AA29" s="171" t="n"/>
      <c r="AB29" s="232" t="n">
        <v>46308</v>
      </c>
      <c r="AD29" s="171" t="n"/>
      <c r="AE29" s="171" t="n"/>
      <c r="AF29" s="171" t="n"/>
      <c r="AG29" s="171" t="n"/>
      <c r="AH29" s="171" t="n"/>
      <c r="AI29" s="171" t="n"/>
      <c r="AJ29" s="171" t="n"/>
      <c r="AK29" s="171" t="n"/>
      <c r="AL29" s="171" t="n"/>
      <c r="AM29" s="233" t="inlineStr">
        <is>
          <t>(화)</t>
        </is>
      </c>
      <c r="AN29" s="171" t="n"/>
      <c r="AO29" s="232" t="n">
        <v>46315</v>
      </c>
      <c r="AQ29" s="171" t="n"/>
      <c r="AR29" s="171" t="n"/>
      <c r="AS29" s="171" t="n"/>
      <c r="AT29" s="171" t="n"/>
      <c r="AU29" s="171" t="n"/>
      <c r="AV29" s="171" t="n"/>
      <c r="AW29" s="171" t="n"/>
      <c r="AX29" s="171" t="n"/>
      <c r="AY29" s="171" t="n"/>
      <c r="AZ29" s="233" t="inlineStr">
        <is>
          <t>(화)</t>
        </is>
      </c>
      <c r="BA29" s="171" t="n"/>
      <c r="BB29" s="232" t="n">
        <v>46322</v>
      </c>
      <c r="BD29" s="171" t="n"/>
      <c r="BE29" s="171" t="n"/>
      <c r="BF29" s="171" t="n"/>
      <c r="BG29" s="171" t="n"/>
      <c r="BH29" s="171" t="n"/>
      <c r="BI29" s="171" t="n"/>
      <c r="BJ29" s="171" t="n"/>
      <c r="BK29" s="171" t="n"/>
      <c r="BL29" s="171" t="n"/>
      <c r="BM29" s="233" t="inlineStr">
        <is>
          <t>(화)</t>
        </is>
      </c>
      <c r="BN29" s="171" t="n"/>
      <c r="BO29" s="171" t="n"/>
      <c r="BP29" s="171" t="n"/>
      <c r="BQ29" s="171" t="n"/>
      <c r="BR29" s="171" t="n"/>
      <c r="BS29" s="171" t="n"/>
      <c r="BT29" s="171" t="n"/>
      <c r="BU29" s="171" t="n"/>
      <c r="BV29" s="171" t="n"/>
      <c r="BW29" s="171" t="n"/>
      <c r="BX29" s="171" t="n"/>
      <c r="BY29" s="171" t="n"/>
      <c r="BZ29" s="171" t="n"/>
      <c r="CA29" s="171" t="n"/>
      <c r="CB29" s="171" t="n"/>
      <c r="CC29" s="171" t="n"/>
      <c r="CD29" s="171" t="n"/>
      <c r="CE29" s="171" t="n"/>
      <c r="CF29" s="171" t="n"/>
      <c r="CG29" s="171" t="n"/>
      <c r="CH29" s="171" t="n"/>
      <c r="CI29" s="171" t="n"/>
      <c r="CJ29" s="171" t="n"/>
      <c r="CK29" s="171" t="n"/>
      <c r="CL29" s="171" t="n"/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234" t="inlineStr">
        <is>
          <t>정기검사</t>
        </is>
      </c>
      <c r="P30" s="235" t="n"/>
      <c r="Q30" s="235" t="n"/>
      <c r="R30" s="235" t="n"/>
      <c r="S30" s="235" t="n"/>
      <c r="T30" s="235" t="n"/>
      <c r="U30" s="235" t="n"/>
      <c r="V30" s="236" t="inlineStr">
        <is>
          <t>사용전검사</t>
        </is>
      </c>
      <c r="W30" s="237" t="n"/>
      <c r="X30" s="237" t="n"/>
      <c r="Y30" s="237" t="n"/>
      <c r="Z30" s="238" t="n"/>
      <c r="AA30" s="171" t="n"/>
      <c r="AB30" s="234" t="inlineStr">
        <is>
          <t>정기검사</t>
        </is>
      </c>
      <c r="AC30" s="235" t="n"/>
      <c r="AD30" s="235" t="n"/>
      <c r="AE30" s="235" t="n"/>
      <c r="AF30" s="235" t="n"/>
      <c r="AG30" s="235" t="n"/>
      <c r="AH30" s="235" t="n"/>
      <c r="AI30" s="236" t="inlineStr">
        <is>
          <t>사용전검사</t>
        </is>
      </c>
      <c r="AJ30" s="237" t="n"/>
      <c r="AK30" s="237" t="n"/>
      <c r="AL30" s="237" t="n"/>
      <c r="AM30" s="238" t="n"/>
      <c r="AN30" s="171" t="n"/>
      <c r="AO30" s="234" t="inlineStr">
        <is>
          <t>정기검사</t>
        </is>
      </c>
      <c r="AP30" s="235" t="n"/>
      <c r="AQ30" s="235" t="n"/>
      <c r="AR30" s="235" t="n"/>
      <c r="AS30" s="235" t="n"/>
      <c r="AT30" s="235" t="n"/>
      <c r="AU30" s="235" t="n"/>
      <c r="AV30" s="236" t="inlineStr">
        <is>
          <t>사용전검사</t>
        </is>
      </c>
      <c r="AW30" s="237" t="n"/>
      <c r="AX30" s="237" t="n"/>
      <c r="AY30" s="237" t="n"/>
      <c r="AZ30" s="238" t="n"/>
      <c r="BA30" s="171" t="n"/>
      <c r="BB30" s="234" t="inlineStr">
        <is>
          <t>정기검사</t>
        </is>
      </c>
      <c r="BC30" s="235" t="n"/>
      <c r="BD30" s="235" t="n"/>
      <c r="BE30" s="235" t="n"/>
      <c r="BF30" s="235" t="n"/>
      <c r="BG30" s="235" t="n"/>
      <c r="BH30" s="235" t="n"/>
      <c r="BI30" s="236" t="inlineStr">
        <is>
          <t>사용전검사</t>
        </is>
      </c>
      <c r="BJ30" s="237" t="n"/>
      <c r="BK30" s="237" t="n"/>
      <c r="BL30" s="237" t="n"/>
      <c r="BM30" s="238" t="n"/>
      <c r="BN30" s="171" t="n"/>
      <c r="BO30" s="171" t="n"/>
      <c r="BP30" s="171" t="n"/>
      <c r="BQ30" s="171" t="n"/>
      <c r="BR30" s="171" t="n"/>
      <c r="BS30" s="171" t="n"/>
      <c r="BT30" s="171" t="n"/>
      <c r="BU30" s="171" t="n"/>
      <c r="BV30" s="171" t="n"/>
      <c r="BW30" s="171" t="n"/>
      <c r="BX30" s="171" t="n"/>
      <c r="BY30" s="171" t="n"/>
      <c r="BZ30" s="171" t="n"/>
      <c r="CA30" s="171" t="n"/>
      <c r="CB30" s="171" t="n"/>
      <c r="CC30" s="171" t="n"/>
      <c r="CD30" s="171" t="n"/>
      <c r="CE30" s="171" t="n"/>
      <c r="CF30" s="171" t="n"/>
      <c r="CG30" s="171" t="n"/>
      <c r="CH30" s="171" t="n"/>
      <c r="CI30" s="171" t="n"/>
      <c r="CJ30" s="171" t="n"/>
      <c r="CK30" s="171" t="n"/>
      <c r="CL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239" t="inlineStr">
        <is>
          <t>구분</t>
        </is>
      </c>
      <c r="P31" s="240" t="inlineStr">
        <is>
          <t>상호</t>
        </is>
      </c>
      <c r="Q31" s="240" t="inlineStr">
        <is>
          <t>용량</t>
        </is>
      </c>
      <c r="R31" s="240" t="inlineStr">
        <is>
          <t>지역</t>
        </is>
      </c>
      <c r="S31" s="240" t="inlineStr">
        <is>
          <t>시간</t>
        </is>
      </c>
      <c r="T31" s="240" t="inlineStr">
        <is>
          <t>수수료</t>
        </is>
      </c>
      <c r="U31" s="240" t="inlineStr">
        <is>
          <t>검사자</t>
        </is>
      </c>
      <c r="V31" s="239" t="inlineStr">
        <is>
          <t>상호</t>
        </is>
      </c>
      <c r="W31" s="240" t="inlineStr">
        <is>
          <t>용량</t>
        </is>
      </c>
      <c r="X31" s="240" t="inlineStr">
        <is>
          <t>지역</t>
        </is>
      </c>
      <c r="Y31" s="240" t="inlineStr">
        <is>
          <t>시간</t>
        </is>
      </c>
      <c r="Z31" s="241" t="inlineStr">
        <is>
          <t>검사자</t>
        </is>
      </c>
      <c r="AA31" s="171" t="n"/>
      <c r="AB31" s="239" t="inlineStr">
        <is>
          <t>구분</t>
        </is>
      </c>
      <c r="AC31" s="240" t="inlineStr">
        <is>
          <t>상호</t>
        </is>
      </c>
      <c r="AD31" s="240" t="inlineStr">
        <is>
          <t>용량</t>
        </is>
      </c>
      <c r="AE31" s="240" t="inlineStr">
        <is>
          <t>지역</t>
        </is>
      </c>
      <c r="AF31" s="240" t="inlineStr">
        <is>
          <t>시간</t>
        </is>
      </c>
      <c r="AG31" s="240" t="inlineStr">
        <is>
          <t>수수료</t>
        </is>
      </c>
      <c r="AH31" s="240" t="inlineStr">
        <is>
          <t>검사자</t>
        </is>
      </c>
      <c r="AI31" s="239" t="inlineStr">
        <is>
          <t>상호</t>
        </is>
      </c>
      <c r="AJ31" s="240" t="inlineStr">
        <is>
          <t>용량</t>
        </is>
      </c>
      <c r="AK31" s="240" t="inlineStr">
        <is>
          <t>지역</t>
        </is>
      </c>
      <c r="AL31" s="240" t="inlineStr">
        <is>
          <t>시간</t>
        </is>
      </c>
      <c r="AM31" s="241" t="inlineStr">
        <is>
          <t>검사자</t>
        </is>
      </c>
      <c r="AN31" s="171" t="n"/>
      <c r="AO31" s="239" t="inlineStr">
        <is>
          <t>구분</t>
        </is>
      </c>
      <c r="AP31" s="240" t="inlineStr">
        <is>
          <t>상호</t>
        </is>
      </c>
      <c r="AQ31" s="240" t="inlineStr">
        <is>
          <t>용량</t>
        </is>
      </c>
      <c r="AR31" s="240" t="inlineStr">
        <is>
          <t>지역</t>
        </is>
      </c>
      <c r="AS31" s="240" t="inlineStr">
        <is>
          <t>시간</t>
        </is>
      </c>
      <c r="AT31" s="240" t="inlineStr">
        <is>
          <t>수수료</t>
        </is>
      </c>
      <c r="AU31" s="240" t="inlineStr">
        <is>
          <t>검사자</t>
        </is>
      </c>
      <c r="AV31" s="239" t="inlineStr">
        <is>
          <t>상호</t>
        </is>
      </c>
      <c r="AW31" s="240" t="inlineStr">
        <is>
          <t>용량</t>
        </is>
      </c>
      <c r="AX31" s="240" t="inlineStr">
        <is>
          <t>지역</t>
        </is>
      </c>
      <c r="AY31" s="240" t="inlineStr">
        <is>
          <t>시간</t>
        </is>
      </c>
      <c r="AZ31" s="241" t="inlineStr">
        <is>
          <t>검사자</t>
        </is>
      </c>
      <c r="BA31" s="171" t="n"/>
      <c r="BB31" s="239" t="inlineStr">
        <is>
          <t>구분</t>
        </is>
      </c>
      <c r="BC31" s="240" t="inlineStr">
        <is>
          <t>상호</t>
        </is>
      </c>
      <c r="BD31" s="240" t="inlineStr">
        <is>
          <t>용량</t>
        </is>
      </c>
      <c r="BE31" s="240" t="inlineStr">
        <is>
          <t>지역</t>
        </is>
      </c>
      <c r="BF31" s="240" t="inlineStr">
        <is>
          <t>시간</t>
        </is>
      </c>
      <c r="BG31" s="240" t="inlineStr">
        <is>
          <t>수수료</t>
        </is>
      </c>
      <c r="BH31" s="240" t="inlineStr">
        <is>
          <t>검사자</t>
        </is>
      </c>
      <c r="BI31" s="239" t="inlineStr">
        <is>
          <t>상호</t>
        </is>
      </c>
      <c r="BJ31" s="240" t="inlineStr">
        <is>
          <t>용량</t>
        </is>
      </c>
      <c r="BK31" s="240" t="inlineStr">
        <is>
          <t>지역</t>
        </is>
      </c>
      <c r="BL31" s="240" t="inlineStr">
        <is>
          <t>시간</t>
        </is>
      </c>
      <c r="BM31" s="241" t="inlineStr">
        <is>
          <t>검사자</t>
        </is>
      </c>
      <c r="BN31" s="171" t="n"/>
      <c r="BO31" s="171" t="n"/>
      <c r="BP31" s="171" t="n"/>
      <c r="BQ31" s="171" t="n"/>
      <c r="BR31" s="171" t="n"/>
      <c r="BS31" s="171" t="n"/>
      <c r="BT31" s="171" t="n"/>
      <c r="BU31" s="171" t="n"/>
      <c r="BV31" s="171" t="n"/>
      <c r="BW31" s="171" t="n"/>
      <c r="BX31" s="171" t="n"/>
      <c r="BY31" s="171" t="n"/>
      <c r="BZ31" s="171" t="n"/>
      <c r="CA31" s="171" t="n"/>
      <c r="CB31" s="171" t="n"/>
      <c r="CC31" s="171" t="n"/>
      <c r="CD31" s="171" t="n"/>
      <c r="CE31" s="171" t="n"/>
      <c r="CF31" s="171" t="n"/>
      <c r="CG31" s="171" t="n"/>
      <c r="CH31" s="171" t="n"/>
      <c r="CI31" s="171" t="n"/>
      <c r="CJ31" s="171" t="n"/>
      <c r="CK31" s="171" t="n"/>
      <c r="CL31" s="171" t="n"/>
    </row>
    <row r="32">
      <c r="A32" s="171" t="n"/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  <c r="K32" s="171" t="n"/>
      <c r="L32" s="171" t="n"/>
      <c r="M32" s="171" t="n"/>
      <c r="N32" s="171" t="n"/>
      <c r="O32" s="242" t="inlineStr">
        <is>
          <t>부천지역</t>
        </is>
      </c>
      <c r="P32" s="243" t="inlineStr">
        <is>
          <t>아름다운나날아파트</t>
        </is>
      </c>
      <c r="Q32" s="243" t="inlineStr">
        <is>
          <t>400/155</t>
        </is>
      </c>
      <c r="R32" s="204" t="inlineStr">
        <is>
          <t>심곡동</t>
        </is>
      </c>
      <c r="S32" s="205" t="n">
        <v>0.3958333333333333</v>
      </c>
      <c r="T32" s="244" t="n">
        <v>885500</v>
      </c>
      <c r="U32" s="204" t="inlineStr">
        <is>
          <t>당효진</t>
        </is>
      </c>
      <c r="V32" s="207" t="inlineStr">
        <is>
          <t>여이푸드</t>
        </is>
      </c>
      <c r="W32" s="245" t="n">
        <v>43</v>
      </c>
      <c r="X32" s="209" t="inlineStr">
        <is>
          <t>내동</t>
        </is>
      </c>
      <c r="Y32" s="210" t="n"/>
      <c r="Z32" s="246" t="inlineStr">
        <is>
          <t>한태희</t>
        </is>
      </c>
      <c r="AA32" s="171" t="n"/>
      <c r="AB32" s="242" t="inlineStr">
        <is>
          <t>부천지역</t>
        </is>
      </c>
      <c r="AC32" s="243" t="inlineStr">
        <is>
          <t>연화마을쌍용</t>
        </is>
      </c>
      <c r="AD32" s="243" t="inlineStr">
        <is>
          <t>950/285</t>
        </is>
      </c>
      <c r="AE32" s="204" t="inlineStr">
        <is>
          <t>상동</t>
        </is>
      </c>
      <c r="AF32" s="205" t="n">
        <v>0.4166666666666667</v>
      </c>
      <c r="AG32" s="244" t="n">
        <v>1110340</v>
      </c>
      <c r="AH32" s="204" t="inlineStr">
        <is>
          <t>이종석</t>
        </is>
      </c>
      <c r="AI32" s="207" t="inlineStr">
        <is>
          <t>복사골건영</t>
        </is>
      </c>
      <c r="AJ32" s="245" t="inlineStr">
        <is>
          <t>변변</t>
        </is>
      </c>
      <c r="AK32" s="209" t="inlineStr">
        <is>
          <t>중동</t>
        </is>
      </c>
      <c r="AL32" s="210" t="n">
        <v>0.625</v>
      </c>
      <c r="AM32" s="246" t="inlineStr">
        <is>
          <t>민재홍</t>
        </is>
      </c>
      <c r="AN32" s="171" t="n"/>
      <c r="AO32" s="242" t="inlineStr">
        <is>
          <t>부천지역</t>
        </is>
      </c>
      <c r="AP32" s="243" t="inlineStr">
        <is>
          <t>두진아파트</t>
        </is>
      </c>
      <c r="AQ32" s="243" t="inlineStr">
        <is>
          <t>전기차</t>
        </is>
      </c>
      <c r="AR32" s="204" t="inlineStr">
        <is>
          <t>역곡동</t>
        </is>
      </c>
      <c r="AS32" s="205" t="n">
        <v>0.5416666666666666</v>
      </c>
      <c r="AT32" s="244" t="n">
        <v>64240</v>
      </c>
      <c r="AU32" s="204" t="n"/>
      <c r="AV32" s="207" t="inlineStr">
        <is>
          <t>포스코이앤씨</t>
        </is>
      </c>
      <c r="AW32" s="245" t="n">
        <v>490</v>
      </c>
      <c r="AX32" s="209" t="inlineStr">
        <is>
          <t>송내동</t>
        </is>
      </c>
      <c r="AY32" s="210" t="n"/>
      <c r="AZ32" s="246" t="n"/>
      <c r="BA32" s="171" t="n"/>
      <c r="BB32" s="242" t="inlineStr">
        <is>
          <t>부천지역</t>
        </is>
      </c>
      <c r="BC32" s="243" t="inlineStr">
        <is>
          <t>에이원프라자</t>
        </is>
      </c>
      <c r="BD32" s="243" t="inlineStr">
        <is>
          <t>300/69</t>
        </is>
      </c>
      <c r="BE32" s="204" t="inlineStr">
        <is>
          <t>상동</t>
        </is>
      </c>
      <c r="BF32" s="205" t="n">
        <v>0.3958333333333333</v>
      </c>
      <c r="BG32" s="244" t="n">
        <v>678700</v>
      </c>
      <c r="BH32" s="204" t="n"/>
      <c r="BI32" s="207" t="inlineStr">
        <is>
          <t>김영권휴가</t>
        </is>
      </c>
      <c r="BJ32" s="245" t="n"/>
      <c r="BK32" s="209" t="n"/>
      <c r="BL32" s="210" t="n"/>
      <c r="BM32" s="246" t="n"/>
      <c r="BN32" s="171" t="n"/>
      <c r="BO32" s="171" t="n"/>
      <c r="BP32" s="171" t="n"/>
      <c r="BQ32" s="171" t="n"/>
      <c r="BR32" s="171" t="n"/>
      <c r="BS32" s="171" t="n"/>
      <c r="BT32" s="171" t="n"/>
      <c r="BU32" s="171" t="n"/>
      <c r="BV32" s="171" t="n"/>
      <c r="BW32" s="171" t="n"/>
      <c r="BX32" s="171" t="n"/>
      <c r="BY32" s="171" t="n"/>
      <c r="BZ32" s="171" t="n"/>
      <c r="CA32" s="171" t="n"/>
      <c r="CB32" s="171" t="n"/>
      <c r="CC32" s="171" t="n"/>
      <c r="CD32" s="171" t="n"/>
      <c r="CE32" s="171" t="n"/>
      <c r="CF32" s="171" t="n"/>
      <c r="CG32" s="171" t="n"/>
      <c r="CH32" s="171" t="n"/>
      <c r="CI32" s="171" t="n"/>
      <c r="CJ32" s="171" t="n"/>
      <c r="CK32" s="171" t="n"/>
      <c r="CL32" s="171" t="n"/>
    </row>
    <row r="33">
      <c r="A33" s="171" t="n"/>
      <c r="B33" s="171" t="n"/>
      <c r="C33" s="171" t="n"/>
      <c r="D33" s="171" t="n"/>
      <c r="E33" s="171" t="n"/>
      <c r="F33" s="171" t="n"/>
      <c r="G33" s="171" t="n"/>
      <c r="H33" s="171" t="n"/>
      <c r="I33" s="171" t="n"/>
      <c r="J33" s="171" t="n"/>
      <c r="K33" s="171" t="n"/>
      <c r="L33" s="171" t="n"/>
      <c r="M33" s="171" t="n"/>
      <c r="N33" s="171" t="n"/>
      <c r="O33" s="242" t="n"/>
      <c r="P33" s="243" t="inlineStr">
        <is>
          <t>대동프라자</t>
        </is>
      </c>
      <c r="Q33" s="243" t="inlineStr">
        <is>
          <t>500/104</t>
        </is>
      </c>
      <c r="R33" s="204" t="inlineStr">
        <is>
          <t>상동</t>
        </is>
      </c>
      <c r="S33" s="205" t="n">
        <v>0.3958333333333333</v>
      </c>
      <c r="T33" s="244" t="n">
        <v>904310</v>
      </c>
      <c r="U33" s="204" t="inlineStr">
        <is>
          <t>허록종</t>
        </is>
      </c>
      <c r="V33" s="207" t="inlineStr">
        <is>
          <t>에벤저스</t>
        </is>
      </c>
      <c r="W33" s="245" t="n">
        <v>3</v>
      </c>
      <c r="X33" s="209" t="inlineStr">
        <is>
          <t>역곡동</t>
        </is>
      </c>
      <c r="Y33" s="210" t="n"/>
      <c r="Z33" s="246" t="inlineStr">
        <is>
          <t>허록종</t>
        </is>
      </c>
      <c r="AA33" s="171" t="n"/>
      <c r="AB33" s="242" t="n"/>
      <c r="AC33" s="243" t="inlineStr">
        <is>
          <t>연화마을쌍용</t>
        </is>
      </c>
      <c r="AD33" s="243" t="inlineStr">
        <is>
          <t>전기차</t>
        </is>
      </c>
      <c r="AE33" s="204" t="n"/>
      <c r="AF33" s="205" t="n"/>
      <c r="AG33" s="244" t="n">
        <v>123530</v>
      </c>
      <c r="AH33" s="204" t="inlineStr">
        <is>
          <t>이종석</t>
        </is>
      </c>
      <c r="AI33" s="207" t="inlineStr">
        <is>
          <t>천년푸드</t>
        </is>
      </c>
      <c r="AJ33" s="245" t="n">
        <v>15</v>
      </c>
      <c r="AK33" s="209" t="inlineStr">
        <is>
          <t>범받공</t>
        </is>
      </c>
      <c r="AL33" s="210" t="n"/>
      <c r="AM33" s="246" t="inlineStr">
        <is>
          <t>당효진</t>
        </is>
      </c>
      <c r="AN33" s="171" t="n"/>
      <c r="AO33" s="242" t="n"/>
      <c r="AP33" s="243" t="inlineStr">
        <is>
          <t>중동팰리스</t>
        </is>
      </c>
      <c r="AQ33" s="243" t="inlineStr">
        <is>
          <t>9000/2900</t>
        </is>
      </c>
      <c r="AR33" s="204" t="inlineStr">
        <is>
          <t>중동</t>
        </is>
      </c>
      <c r="AS33" s="205" t="n">
        <v>0.4166666666666667</v>
      </c>
      <c r="AT33" s="244" t="n">
        <v>2788610</v>
      </c>
      <c r="AU33" s="204" t="n"/>
      <c r="AV33" s="207" t="inlineStr">
        <is>
          <t>김영권휴가</t>
        </is>
      </c>
      <c r="AW33" s="245" t="n"/>
      <c r="AX33" s="209" t="n"/>
      <c r="AY33" s="210" t="n"/>
      <c r="AZ33" s="246" t="n"/>
      <c r="BA33" s="171" t="n"/>
      <c r="BB33" s="242" t="n"/>
      <c r="BC33" s="243" t="inlineStr">
        <is>
          <t>한백</t>
        </is>
      </c>
      <c r="BD33" s="243" t="n">
        <v>330</v>
      </c>
      <c r="BE33" s="204" t="inlineStr">
        <is>
          <t>원미동</t>
        </is>
      </c>
      <c r="BF33" s="205" t="n">
        <v>0.5416666666666666</v>
      </c>
      <c r="BG33" s="244" t="n">
        <v>679360</v>
      </c>
      <c r="BH33" s="204" t="n"/>
      <c r="BI33" s="207" t="n"/>
      <c r="BJ33" s="245" t="n"/>
      <c r="BK33" s="209" t="n"/>
      <c r="BL33" s="210" t="n"/>
      <c r="BM33" s="246" t="n"/>
      <c r="BN33" s="171" t="n"/>
      <c r="BO33" s="171" t="n"/>
      <c r="BP33" s="171" t="n"/>
      <c r="BQ33" s="171" t="n"/>
      <c r="BR33" s="171" t="n"/>
      <c r="BS33" s="171" t="n"/>
      <c r="BT33" s="171" t="n"/>
      <c r="BU33" s="171" t="n"/>
      <c r="BV33" s="171" t="n"/>
      <c r="BW33" s="171" t="n"/>
      <c r="BX33" s="171" t="n"/>
      <c r="BY33" s="171" t="n"/>
      <c r="BZ33" s="171" t="n"/>
      <c r="CA33" s="171" t="n"/>
      <c r="CB33" s="171" t="n"/>
      <c r="CC33" s="171" t="n"/>
      <c r="CD33" s="171" t="n"/>
      <c r="CE33" s="171" t="n"/>
      <c r="CF33" s="171" t="n"/>
      <c r="CG33" s="171" t="n"/>
      <c r="CH33" s="171" t="n"/>
      <c r="CI33" s="171" t="n"/>
      <c r="CJ33" s="171" t="n"/>
      <c r="CK33" s="171" t="n"/>
      <c r="CL33" s="171" t="n"/>
    </row>
    <row r="34">
      <c r="A34" s="171" t="n"/>
      <c r="B34" s="171" t="n"/>
      <c r="C34" s="171" t="n"/>
      <c r="D34" s="171" t="n"/>
      <c r="E34" s="171" t="n"/>
      <c r="F34" s="171" t="n"/>
      <c r="G34" s="171" t="n"/>
      <c r="H34" s="171" t="n"/>
      <c r="I34" s="171" t="n"/>
      <c r="J34" s="171" t="n"/>
      <c r="K34" s="171" t="n"/>
      <c r="L34" s="171" t="n"/>
      <c r="M34" s="171" t="n"/>
      <c r="N34" s="171" t="n"/>
      <c r="O34" s="242" t="n"/>
      <c r="P34" s="243" t="inlineStr">
        <is>
          <t>영우푸드</t>
        </is>
      </c>
      <c r="Q34" s="243" t="n">
        <v>280</v>
      </c>
      <c r="R34" s="204" t="inlineStr">
        <is>
          <t>삼정동</t>
        </is>
      </c>
      <c r="S34" s="205" t="n">
        <v>0.4791666666666667</v>
      </c>
      <c r="T34" s="244" t="n">
        <v>508640</v>
      </c>
      <c r="U34" s="204" t="inlineStr">
        <is>
          <t>송낙명</t>
        </is>
      </c>
      <c r="V34" s="207" t="inlineStr">
        <is>
          <t>호운래</t>
        </is>
      </c>
      <c r="W34" s="245" t="n">
        <v>20</v>
      </c>
      <c r="X34" s="209" t="inlineStr">
        <is>
          <t>심곡본동</t>
        </is>
      </c>
      <c r="Y34" s="210" t="n"/>
      <c r="Z34" s="246" t="inlineStr">
        <is>
          <t>변종국</t>
        </is>
      </c>
      <c r="AA34" s="171" t="n"/>
      <c r="AB34" s="242" t="n"/>
      <c r="AC34" s="243" t="inlineStr">
        <is>
          <t>일죽224</t>
        </is>
      </c>
      <c r="AD34" s="243" t="n">
        <v>300</v>
      </c>
      <c r="AE34" s="204" t="inlineStr">
        <is>
          <t>심곡본동</t>
        </is>
      </c>
      <c r="AF34" s="205" t="n">
        <v>0.6041666666666666</v>
      </c>
      <c r="AG34" s="244" t="n">
        <v>521730</v>
      </c>
      <c r="AH34" s="204" t="inlineStr">
        <is>
          <t>당효진</t>
        </is>
      </c>
      <c r="AI34" s="207" t="inlineStr">
        <is>
          <t>한태희휴가</t>
        </is>
      </c>
      <c r="AJ34" s="245" t="inlineStr">
        <is>
          <t>허록종- 당효진</t>
        </is>
      </c>
      <c r="AK34" s="209" t="n"/>
      <c r="AL34" s="210" t="n"/>
      <c r="AM34" s="246" t="n"/>
      <c r="AN34" s="171" t="n"/>
      <c r="AO34" s="242" t="n"/>
      <c r="AP34" s="243" t="inlineStr">
        <is>
          <t>써미트빌</t>
        </is>
      </c>
      <c r="AQ34" s="243" t="inlineStr">
        <is>
          <t>2100/480</t>
        </is>
      </c>
      <c r="AR34" s="204" t="inlineStr">
        <is>
          <t>상동</t>
        </is>
      </c>
      <c r="AS34" s="205" t="n">
        <v>0.4375</v>
      </c>
      <c r="AT34" s="244" t="n">
        <v>1320220</v>
      </c>
      <c r="AU34" s="204" t="n"/>
      <c r="AV34" s="207" t="inlineStr">
        <is>
          <t>변종국교육</t>
        </is>
      </c>
      <c r="AW34" s="245" t="n"/>
      <c r="AX34" s="209" t="n"/>
      <c r="AY34" s="210" t="n"/>
      <c r="AZ34" s="246" t="n"/>
      <c r="BA34" s="171" t="n"/>
      <c r="BB34" s="242" t="n"/>
      <c r="BC34" s="243" t="inlineStr">
        <is>
          <t>월드컵타운</t>
        </is>
      </c>
      <c r="BD34" s="243" t="inlineStr">
        <is>
          <t>900/290</t>
        </is>
      </c>
      <c r="BE34" s="204" t="inlineStr">
        <is>
          <t>송내동</t>
        </is>
      </c>
      <c r="BF34" s="205" t="n">
        <v>0.3958333333333333</v>
      </c>
      <c r="BG34" s="244" t="n">
        <v>1094940</v>
      </c>
      <c r="BH34" s="204" t="n"/>
      <c r="BI34" s="207" t="n"/>
      <c r="BJ34" s="245" t="n"/>
      <c r="BK34" s="209" t="n"/>
      <c r="BL34" s="210" t="n"/>
      <c r="BM34" s="246" t="n"/>
      <c r="BN34" s="171" t="n"/>
      <c r="BO34" s="171" t="n"/>
      <c r="BP34" s="171" t="n"/>
      <c r="BQ34" s="171" t="n"/>
      <c r="BR34" s="171" t="n"/>
      <c r="BS34" s="171" t="n"/>
      <c r="BT34" s="171" t="n"/>
      <c r="BU34" s="171" t="n"/>
      <c r="BV34" s="171" t="n"/>
      <c r="BW34" s="171" t="n"/>
      <c r="BX34" s="171" t="n"/>
      <c r="BY34" s="171" t="n"/>
      <c r="BZ34" s="171" t="n"/>
      <c r="CA34" s="171" t="n"/>
      <c r="CB34" s="171" t="n"/>
      <c r="CC34" s="171" t="n"/>
      <c r="CD34" s="171" t="n"/>
      <c r="CE34" s="171" t="n"/>
      <c r="CF34" s="171" t="n"/>
      <c r="CG34" s="171" t="n"/>
      <c r="CH34" s="171" t="n"/>
      <c r="CI34" s="171" t="n"/>
      <c r="CJ34" s="171" t="n"/>
      <c r="CK34" s="171" t="n"/>
      <c r="CL34" s="171" t="n"/>
    </row>
    <row r="35">
      <c r="A35" s="171" t="n"/>
      <c r="B35" s="171" t="n"/>
      <c r="C35" s="171" t="n"/>
      <c r="D35" s="171" t="n"/>
      <c r="E35" s="171" t="n"/>
      <c r="F35" s="171" t="n"/>
      <c r="G35" s="171" t="n"/>
      <c r="H35" s="171" t="n"/>
      <c r="I35" s="171" t="n"/>
      <c r="J35" s="171" t="n"/>
      <c r="K35" s="171" t="n"/>
      <c r="L35" s="171" t="n"/>
      <c r="M35" s="171" t="n"/>
      <c r="N35" s="171" t="n"/>
      <c r="O35" s="242" t="n"/>
      <c r="P35" s="243" t="inlineStr">
        <is>
          <t>금화정공</t>
        </is>
      </c>
      <c r="Q35" s="243" t="n">
        <v>290</v>
      </c>
      <c r="R35" s="204" t="inlineStr">
        <is>
          <t>춘의동</t>
        </is>
      </c>
      <c r="S35" s="205" t="n">
        <v>0.625</v>
      </c>
      <c r="T35" s="244" t="n">
        <v>515130</v>
      </c>
      <c r="U35" s="204" t="inlineStr">
        <is>
          <t>변종국</t>
        </is>
      </c>
      <c r="V35" s="207" t="inlineStr">
        <is>
          <t>서수형휴가</t>
        </is>
      </c>
      <c r="W35" s="245" t="inlineStr">
        <is>
          <t>변종국-송낙명</t>
        </is>
      </c>
      <c r="X35" s="209" t="n"/>
      <c r="Y35" s="210" t="n"/>
      <c r="Z35" s="246" t="n"/>
      <c r="AA35" s="171" t="n"/>
      <c r="AB35" s="242" t="n"/>
      <c r="AC35" s="243" t="inlineStr">
        <is>
          <t>월드레르디앙</t>
        </is>
      </c>
      <c r="AD35" s="243" t="inlineStr">
        <is>
          <t>1117/436</t>
        </is>
      </c>
      <c r="AE35" s="204" t="inlineStr">
        <is>
          <t>중동</t>
        </is>
      </c>
      <c r="AF35" s="205" t="n">
        <v>0.4791666666666667</v>
      </c>
      <c r="AG35" s="244" t="n">
        <v>1922580</v>
      </c>
      <c r="AH35" s="204" t="inlineStr">
        <is>
          <t>민재홍</t>
        </is>
      </c>
      <c r="AI35" s="207" t="inlineStr">
        <is>
          <t>송낙명건강</t>
        </is>
      </c>
      <c r="AJ35" s="245" t="n"/>
      <c r="AK35" s="209" t="n"/>
      <c r="AL35" s="210" t="n"/>
      <c r="AM35" s="246" t="n"/>
      <c r="AN35" s="171" t="n"/>
      <c r="AO35" s="242" t="n"/>
      <c r="AP35" s="243" t="inlineStr">
        <is>
          <t>김진호</t>
        </is>
      </c>
      <c r="AQ35" s="243" t="n">
        <v>290</v>
      </c>
      <c r="AR35" s="204" t="inlineStr">
        <is>
          <t>춘의동</t>
        </is>
      </c>
      <c r="AS35" s="205" t="n">
        <v>0.4375</v>
      </c>
      <c r="AT35" s="244" t="n">
        <v>515130</v>
      </c>
      <c r="AU35" s="204" t="n"/>
      <c r="AV35" s="207" t="n"/>
      <c r="AW35" s="245" t="n"/>
      <c r="AX35" s="209" t="n"/>
      <c r="AY35" s="210" t="n"/>
      <c r="AZ35" s="246" t="n"/>
      <c r="BA35" s="171" t="n"/>
      <c r="BB35" s="242" t="n"/>
      <c r="BC35" s="243" t="inlineStr">
        <is>
          <t>한국종합기계</t>
        </is>
      </c>
      <c r="BD35" s="243" t="n">
        <v>990</v>
      </c>
      <c r="BE35" s="204" t="inlineStr">
        <is>
          <t>도당동</t>
        </is>
      </c>
      <c r="BF35" s="205" t="n">
        <v>0.5416666666666666</v>
      </c>
      <c r="BG35" s="244" t="n">
        <v>902990</v>
      </c>
      <c r="BH35" s="204" t="n"/>
      <c r="BI35" s="207" t="n"/>
      <c r="BJ35" s="245" t="n"/>
      <c r="BK35" s="209" t="n"/>
      <c r="BL35" s="210" t="n"/>
      <c r="BM35" s="246" t="n"/>
      <c r="BN35" s="171" t="n"/>
      <c r="BO35" s="171" t="n"/>
      <c r="BP35" s="171" t="n"/>
      <c r="BQ35" s="171" t="n"/>
      <c r="BR35" s="171" t="n"/>
      <c r="BS35" s="171" t="n"/>
      <c r="BT35" s="171" t="n"/>
      <c r="BU35" s="171" t="n"/>
      <c r="BV35" s="171" t="n"/>
      <c r="BW35" s="171" t="n"/>
      <c r="BX35" s="171" t="n"/>
      <c r="BY35" s="171" t="n"/>
      <c r="BZ35" s="171" t="n"/>
      <c r="CA35" s="171" t="n"/>
      <c r="CB35" s="171" t="n"/>
      <c r="CC35" s="171" t="n"/>
      <c r="CD35" s="171" t="n"/>
      <c r="CE35" s="171" t="n"/>
      <c r="CF35" s="171" t="n"/>
      <c r="CG35" s="171" t="n"/>
      <c r="CH35" s="171" t="n"/>
      <c r="CI35" s="171" t="n"/>
      <c r="CJ35" s="171" t="n"/>
      <c r="CK35" s="171" t="n"/>
      <c r="CL35" s="171" t="n"/>
    </row>
    <row r="36">
      <c r="A36" s="171" t="n"/>
      <c r="B36" s="171" t="n"/>
      <c r="C36" s="171" t="n"/>
      <c r="D36" s="171" t="n"/>
      <c r="E36" s="171" t="n"/>
      <c r="F36" s="171" t="n"/>
      <c r="G36" s="171" t="n"/>
      <c r="H36" s="171" t="n"/>
      <c r="I36" s="171" t="n"/>
      <c r="J36" s="171" t="n"/>
      <c r="K36" s="171" t="n"/>
      <c r="L36" s="171" t="n"/>
      <c r="M36" s="171" t="n"/>
      <c r="N36" s="171" t="n"/>
      <c r="O36" s="242" t="n"/>
      <c r="P36" s="243" t="inlineStr">
        <is>
          <t>서해철도</t>
        </is>
      </c>
      <c r="Q36" s="243" t="n"/>
      <c r="R36" s="204" t="inlineStr">
        <is>
          <t>소사동</t>
        </is>
      </c>
      <c r="S36" s="205" t="n"/>
      <c r="T36" s="244" t="n">
        <v>1386000</v>
      </c>
      <c r="U36" s="204" t="inlineStr">
        <is>
          <t>이덕기</t>
        </is>
      </c>
      <c r="V36" s="207" t="inlineStr">
        <is>
          <t>허창수휴가</t>
        </is>
      </c>
      <c r="W36" s="245" t="n"/>
      <c r="X36" s="209" t="n"/>
      <c r="Y36" s="210" t="n"/>
      <c r="Z36" s="246" t="n"/>
      <c r="AA36" s="171" t="n"/>
      <c r="AB36" s="242" t="n"/>
      <c r="AC36" s="243" t="inlineStr">
        <is>
          <t>옥길센트러빌</t>
        </is>
      </c>
      <c r="AD36" s="243" t="inlineStr">
        <is>
          <t>전기차</t>
        </is>
      </c>
      <c r="AE36" s="204" t="inlineStr">
        <is>
          <t>옥길동</t>
        </is>
      </c>
      <c r="AF36" s="205" t="n">
        <v>0.3958333333333333</v>
      </c>
      <c r="AG36" s="244" t="n">
        <v>292930</v>
      </c>
      <c r="AH36" s="204" t="inlineStr">
        <is>
          <t>허록종</t>
        </is>
      </c>
      <c r="AI36" s="207" t="inlineStr">
        <is>
          <t>이덕기휴가</t>
        </is>
      </c>
      <c r="AJ36" s="245" t="n"/>
      <c r="AK36" s="209" t="n"/>
      <c r="AL36" s="210" t="n"/>
      <c r="AM36" s="246" t="n"/>
      <c r="AN36" s="171" t="n"/>
      <c r="AO36" s="242" t="n"/>
      <c r="AP36" s="243" t="inlineStr">
        <is>
          <t>대창mc</t>
        </is>
      </c>
      <c r="AQ36" s="243" t="n">
        <v>400</v>
      </c>
      <c r="AR36" s="204" t="inlineStr">
        <is>
          <t>오정동</t>
        </is>
      </c>
      <c r="AS36" s="205" t="n">
        <v>0.625</v>
      </c>
      <c r="AT36" s="244" t="n">
        <v>703120</v>
      </c>
      <c r="AU36" s="204" t="n"/>
      <c r="AV36" s="207" t="n"/>
      <c r="AW36" s="245" t="n"/>
      <c r="AX36" s="209" t="n"/>
      <c r="AY36" s="210" t="n"/>
      <c r="AZ36" s="246" t="n"/>
      <c r="BA36" s="171" t="n"/>
      <c r="BB36" s="242" t="n"/>
      <c r="BC36" s="243" t="inlineStr">
        <is>
          <t>태영정밀</t>
        </is>
      </c>
      <c r="BD36" s="243" t="n">
        <v>400</v>
      </c>
      <c r="BE36" s="204" t="inlineStr">
        <is>
          <t>오정동</t>
        </is>
      </c>
      <c r="BF36" s="205" t="n">
        <v>0.5</v>
      </c>
      <c r="BG36" s="244" t="n">
        <v>703120</v>
      </c>
      <c r="BH36" s="204" t="n"/>
      <c r="BI36" s="207" t="n"/>
      <c r="BJ36" s="245" t="n"/>
      <c r="BK36" s="209" t="n"/>
      <c r="BL36" s="210" t="n"/>
      <c r="BM36" s="246" t="n"/>
      <c r="BN36" s="171" t="n"/>
      <c r="BO36" s="171" t="n"/>
      <c r="BP36" s="171" t="n"/>
      <c r="BQ36" s="171" t="n"/>
      <c r="BR36" s="171" t="n"/>
      <c r="BS36" s="171" t="n"/>
      <c r="BT36" s="171" t="n"/>
      <c r="BU36" s="171" t="n"/>
      <c r="BV36" s="171" t="n"/>
      <c r="BW36" s="171" t="n"/>
      <c r="BX36" s="171" t="n"/>
      <c r="BY36" s="171" t="n"/>
      <c r="BZ36" s="171" t="n"/>
      <c r="CA36" s="171" t="n"/>
      <c r="CB36" s="171" t="n"/>
      <c r="CC36" s="171" t="n"/>
      <c r="CD36" s="171" t="n"/>
      <c r="CE36" s="171" t="n"/>
      <c r="CF36" s="171" t="n"/>
      <c r="CG36" s="171" t="n"/>
      <c r="CH36" s="171" t="n"/>
      <c r="CI36" s="171" t="n"/>
      <c r="CJ36" s="171" t="n"/>
      <c r="CK36" s="171" t="n"/>
      <c r="CL36" s="171" t="n"/>
    </row>
    <row r="37">
      <c r="A37" s="171" t="n"/>
      <c r="B37" s="171" t="n"/>
      <c r="C37" s="171" t="n"/>
      <c r="D37" s="171" t="n"/>
      <c r="E37" s="171" t="n"/>
      <c r="F37" s="171" t="n"/>
      <c r="G37" s="171" t="n"/>
      <c r="H37" s="171" t="n"/>
      <c r="I37" s="171" t="n"/>
      <c r="J37" s="171" t="n"/>
      <c r="K37" s="171" t="n"/>
      <c r="L37" s="171" t="n"/>
      <c r="M37" s="171" t="n"/>
      <c r="N37" s="171" t="n"/>
      <c r="O37" s="242" t="n"/>
      <c r="P37" s="243" t="n"/>
      <c r="Q37" s="243" t="n"/>
      <c r="R37" s="204" t="n"/>
      <c r="S37" s="205" t="n"/>
      <c r="T37" s="244" t="n"/>
      <c r="U37" s="204" t="n"/>
      <c r="V37" s="207" t="inlineStr">
        <is>
          <t>협성공업</t>
        </is>
      </c>
      <c r="W37" s="245" t="inlineStr">
        <is>
          <t>변변</t>
        </is>
      </c>
      <c r="X37" s="209" t="inlineStr">
        <is>
          <t>도당동</t>
        </is>
      </c>
      <c r="Y37" s="210" t="n"/>
      <c r="Z37" s="246" t="inlineStr">
        <is>
          <t>한태희</t>
        </is>
      </c>
      <c r="AA37" s="171" t="n"/>
      <c r="AB37" s="242" t="n"/>
      <c r="AC37" s="243" t="inlineStr">
        <is>
          <t>옥길자이</t>
        </is>
      </c>
      <c r="AD37" s="243" t="inlineStr">
        <is>
          <t>2250/591</t>
        </is>
      </c>
      <c r="AE37" s="204" t="inlineStr">
        <is>
          <t>옥길동</t>
        </is>
      </c>
      <c r="AF37" s="205" t="n">
        <v>0.4375</v>
      </c>
      <c r="AG37" s="244" t="n">
        <v>1373460</v>
      </c>
      <c r="AH37" s="204" t="inlineStr">
        <is>
          <t>허록종</t>
        </is>
      </c>
      <c r="AI37" s="207" t="n"/>
      <c r="AJ37" s="245" t="n"/>
      <c r="AK37" s="209" t="n"/>
      <c r="AL37" s="210" t="n"/>
      <c r="AM37" s="246" t="n"/>
      <c r="AN37" s="171" t="n"/>
      <c r="AO37" s="242" t="n"/>
      <c r="AP37" s="243" t="n"/>
      <c r="AQ37" s="243" t="n"/>
      <c r="AR37" s="204" t="n"/>
      <c r="AS37" s="205" t="n"/>
      <c r="AT37" s="244" t="n"/>
      <c r="AU37" s="204" t="n"/>
      <c r="AV37" s="207" t="n"/>
      <c r="AW37" s="245" t="n"/>
      <c r="AX37" s="209" t="n"/>
      <c r="AY37" s="210" t="n"/>
      <c r="AZ37" s="246" t="n"/>
      <c r="BA37" s="171" t="n"/>
      <c r="BB37" s="242" t="n"/>
      <c r="BC37" s="243" t="n"/>
      <c r="BD37" s="243" t="n"/>
      <c r="BE37" s="204" t="n"/>
      <c r="BF37" s="205" t="n"/>
      <c r="BG37" s="244" t="n"/>
      <c r="BH37" s="204" t="n"/>
      <c r="BI37" s="207" t="n"/>
      <c r="BJ37" s="245" t="n"/>
      <c r="BK37" s="209" t="n"/>
      <c r="BL37" s="210" t="n"/>
      <c r="BM37" s="246" t="n"/>
      <c r="BN37" s="171" t="n"/>
      <c r="BO37" s="171" t="n"/>
      <c r="BP37" s="171" t="n"/>
      <c r="BQ37" s="171" t="n"/>
      <c r="BR37" s="171" t="n"/>
      <c r="BS37" s="171" t="n"/>
      <c r="BT37" s="171" t="n"/>
      <c r="BU37" s="171" t="n"/>
      <c r="BV37" s="171" t="n"/>
      <c r="BW37" s="171" t="n"/>
      <c r="BX37" s="171" t="n"/>
      <c r="BY37" s="171" t="n"/>
      <c r="BZ37" s="171" t="n"/>
      <c r="CA37" s="171" t="n"/>
      <c r="CB37" s="171" t="n"/>
      <c r="CC37" s="171" t="n"/>
      <c r="CD37" s="171" t="n"/>
      <c r="CE37" s="171" t="n"/>
      <c r="CF37" s="171" t="n"/>
      <c r="CG37" s="171" t="n"/>
      <c r="CH37" s="171" t="n"/>
      <c r="CI37" s="171" t="n"/>
      <c r="CJ37" s="171" t="n"/>
      <c r="CK37" s="171" t="n"/>
      <c r="CL37" s="171" t="n"/>
    </row>
    <row r="38">
      <c r="A38" s="171" t="n"/>
      <c r="B38" s="171" t="n"/>
      <c r="C38" s="171" t="n"/>
      <c r="D38" s="171" t="n"/>
      <c r="E38" s="171" t="n"/>
      <c r="F38" s="171" t="n"/>
      <c r="G38" s="171" t="n"/>
      <c r="H38" s="171" t="n"/>
      <c r="I38" s="171" t="n"/>
      <c r="J38" s="171" t="n"/>
      <c r="K38" s="171" t="n"/>
      <c r="L38" s="171" t="n"/>
      <c r="M38" s="171" t="n"/>
      <c r="N38" s="171" t="n"/>
      <c r="O38" s="242" t="n"/>
      <c r="P38" s="243" t="n"/>
      <c r="Q38" s="243" t="n"/>
      <c r="R38" s="204" t="n"/>
      <c r="S38" s="205" t="n"/>
      <c r="T38" s="244" t="n"/>
      <c r="U38" s="204" t="n"/>
      <c r="V38" s="207" t="n"/>
      <c r="W38" s="245" t="n"/>
      <c r="X38" s="209" t="n"/>
      <c r="Y38" s="210" t="n"/>
      <c r="Z38" s="246" t="n"/>
      <c r="AA38" s="171" t="n"/>
      <c r="AB38" s="242" t="n"/>
      <c r="AC38" s="243" t="n"/>
      <c r="AD38" s="243" t="n"/>
      <c r="AE38" s="204" t="n"/>
      <c r="AF38" s="205" t="n"/>
      <c r="AG38" s="244" t="n"/>
      <c r="AH38" s="204" t="n"/>
      <c r="AI38" s="207" t="n"/>
      <c r="AJ38" s="245" t="n"/>
      <c r="AK38" s="209" t="n"/>
      <c r="AL38" s="210" t="n"/>
      <c r="AM38" s="246" t="n"/>
      <c r="AN38" s="171" t="n"/>
      <c r="AO38" s="242" t="n"/>
      <c r="AP38" s="243" t="n"/>
      <c r="AQ38" s="243" t="n"/>
      <c r="AR38" s="204" t="n"/>
      <c r="AS38" s="205" t="n"/>
      <c r="AT38" s="244" t="n"/>
      <c r="AU38" s="204" t="n"/>
      <c r="AV38" s="207" t="n"/>
      <c r="AW38" s="245" t="n"/>
      <c r="AX38" s="209" t="n"/>
      <c r="AY38" s="210" t="n"/>
      <c r="AZ38" s="246" t="n"/>
      <c r="BA38" s="171" t="n"/>
      <c r="BB38" s="242" t="n"/>
      <c r="BC38" s="243" t="n"/>
      <c r="BD38" s="243" t="n"/>
      <c r="BE38" s="204" t="n"/>
      <c r="BF38" s="205" t="n"/>
      <c r="BG38" s="244" t="n"/>
      <c r="BH38" s="204" t="n"/>
      <c r="BI38" s="207" t="n"/>
      <c r="BJ38" s="245" t="n"/>
      <c r="BK38" s="209" t="n"/>
      <c r="BL38" s="210" t="n"/>
      <c r="BM38" s="246" t="n"/>
      <c r="BN38" s="171" t="n"/>
      <c r="BO38" s="171" t="n"/>
      <c r="BP38" s="171" t="n"/>
      <c r="BQ38" s="171" t="n"/>
      <c r="BR38" s="171" t="n"/>
      <c r="BS38" s="171" t="n"/>
      <c r="BT38" s="171" t="n"/>
      <c r="BU38" s="171" t="n"/>
      <c r="BV38" s="171" t="n"/>
      <c r="BW38" s="171" t="n"/>
      <c r="BX38" s="171" t="n"/>
      <c r="BY38" s="171" t="n"/>
      <c r="BZ38" s="171" t="n"/>
      <c r="CA38" s="171" t="n"/>
      <c r="CB38" s="171" t="n"/>
      <c r="CC38" s="171" t="n"/>
      <c r="CD38" s="171" t="n"/>
      <c r="CE38" s="171" t="n"/>
      <c r="CF38" s="171" t="n"/>
      <c r="CG38" s="171" t="n"/>
      <c r="CH38" s="171" t="n"/>
      <c r="CI38" s="171" t="n"/>
      <c r="CJ38" s="171" t="n"/>
      <c r="CK38" s="171" t="n"/>
      <c r="CL38" s="171" t="n"/>
    </row>
    <row r="39">
      <c r="A39" s="171" t="n"/>
      <c r="B39" s="171" t="n"/>
      <c r="C39" s="171" t="n"/>
      <c r="D39" s="171" t="n"/>
      <c r="E39" s="171" t="n"/>
      <c r="F39" s="171" t="n"/>
      <c r="G39" s="171" t="n"/>
      <c r="H39" s="171" t="n"/>
      <c r="I39" s="171" t="n"/>
      <c r="J39" s="171" t="n"/>
      <c r="K39" s="171" t="n"/>
      <c r="L39" s="171" t="n"/>
      <c r="M39" s="171" t="n"/>
      <c r="N39" s="171" t="n"/>
      <c r="O39" s="242" t="n"/>
      <c r="P39" s="243" t="n"/>
      <c r="Q39" s="243" t="n"/>
      <c r="R39" s="204" t="n"/>
      <c r="S39" s="205" t="n"/>
      <c r="T39" s="244" t="n"/>
      <c r="U39" s="204" t="n"/>
      <c r="V39" s="207" t="n"/>
      <c r="W39" s="245" t="n"/>
      <c r="X39" s="209" t="n"/>
      <c r="Y39" s="210" t="n"/>
      <c r="Z39" s="246" t="n"/>
      <c r="AA39" s="171" t="n"/>
      <c r="AB39" s="242" t="n"/>
      <c r="AC39" s="243" t="n"/>
      <c r="AD39" s="243" t="n"/>
      <c r="AE39" s="204" t="n"/>
      <c r="AF39" s="205" t="n"/>
      <c r="AG39" s="244" t="n"/>
      <c r="AH39" s="204" t="n"/>
      <c r="AI39" s="207" t="n"/>
      <c r="AJ39" s="245" t="n"/>
      <c r="AK39" s="209" t="n"/>
      <c r="AL39" s="210" t="n"/>
      <c r="AM39" s="246" t="n"/>
      <c r="AN39" s="171" t="n"/>
      <c r="AO39" s="242" t="n"/>
      <c r="AP39" s="243" t="n"/>
      <c r="AQ39" s="243" t="n"/>
      <c r="AR39" s="204" t="n"/>
      <c r="AS39" s="205" t="n"/>
      <c r="AT39" s="244" t="n"/>
      <c r="AU39" s="204" t="n"/>
      <c r="AV39" s="207" t="n"/>
      <c r="AW39" s="245" t="n"/>
      <c r="AX39" s="209" t="n"/>
      <c r="AY39" s="210" t="n"/>
      <c r="AZ39" s="246" t="n"/>
      <c r="BA39" s="171" t="n"/>
      <c r="BB39" s="242" t="n"/>
      <c r="BC39" s="243" t="n"/>
      <c r="BD39" s="243" t="n"/>
      <c r="BE39" s="204" t="n"/>
      <c r="BF39" s="205" t="n"/>
      <c r="BG39" s="244" t="n"/>
      <c r="BH39" s="204" t="n"/>
      <c r="BI39" s="207" t="n"/>
      <c r="BJ39" s="245" t="n"/>
      <c r="BK39" s="209" t="n"/>
      <c r="BL39" s="210" t="n"/>
      <c r="BM39" s="246" t="n"/>
      <c r="BN39" s="171" t="n"/>
      <c r="BO39" s="171" t="n"/>
      <c r="BP39" s="171" t="n"/>
      <c r="BQ39" s="171" t="n"/>
      <c r="BR39" s="171" t="n"/>
      <c r="BS39" s="171" t="n"/>
      <c r="BT39" s="171" t="n"/>
      <c r="BU39" s="171" t="n"/>
      <c r="BV39" s="171" t="n"/>
      <c r="BW39" s="171" t="n"/>
      <c r="BX39" s="171" t="n"/>
      <c r="BY39" s="171" t="n"/>
      <c r="BZ39" s="171" t="n"/>
      <c r="CA39" s="171" t="n"/>
      <c r="CB39" s="171" t="n"/>
      <c r="CC39" s="171" t="n"/>
      <c r="CD39" s="171" t="n"/>
      <c r="CE39" s="171" t="n"/>
      <c r="CF39" s="171" t="n"/>
      <c r="CG39" s="171" t="n"/>
      <c r="CH39" s="171" t="n"/>
      <c r="CI39" s="171" t="n"/>
      <c r="CJ39" s="171" t="n"/>
      <c r="CK39" s="171" t="n"/>
      <c r="CL39" s="171" t="n"/>
    </row>
    <row r="40">
      <c r="A40" s="171" t="n"/>
      <c r="B40" s="171" t="n"/>
      <c r="C40" s="171" t="n"/>
      <c r="D40" s="171" t="n"/>
      <c r="E40" s="171" t="n"/>
      <c r="F40" s="171" t="n"/>
      <c r="G40" s="171" t="n"/>
      <c r="H40" s="171" t="n"/>
      <c r="I40" s="171" t="n"/>
      <c r="J40" s="171" t="n"/>
      <c r="K40" s="171" t="n"/>
      <c r="L40" s="171" t="n"/>
      <c r="M40" s="171" t="n"/>
      <c r="N40" s="171" t="n"/>
      <c r="O40" s="242" t="n"/>
      <c r="P40" s="243" t="n"/>
      <c r="Q40" s="243" t="n"/>
      <c r="R40" s="204" t="n"/>
      <c r="S40" s="205" t="n"/>
      <c r="T40" s="244" t="n"/>
      <c r="U40" s="204" t="n"/>
      <c r="V40" s="207" t="n"/>
      <c r="W40" s="245" t="n"/>
      <c r="X40" s="209" t="n"/>
      <c r="Y40" s="210" t="n"/>
      <c r="Z40" s="246" t="n"/>
      <c r="AA40" s="171" t="n"/>
      <c r="AB40" s="242" t="n"/>
      <c r="AC40" s="243" t="n"/>
      <c r="AD40" s="243" t="n"/>
      <c r="AE40" s="204" t="n"/>
      <c r="AF40" s="205" t="n"/>
      <c r="AG40" s="244" t="n"/>
      <c r="AH40" s="204" t="n"/>
      <c r="AI40" s="207" t="n"/>
      <c r="AJ40" s="245" t="n"/>
      <c r="AK40" s="209" t="n"/>
      <c r="AL40" s="210" t="n"/>
      <c r="AM40" s="246" t="n"/>
      <c r="AN40" s="171" t="n"/>
      <c r="AO40" s="242" t="n"/>
      <c r="AP40" s="243" t="n"/>
      <c r="AQ40" s="243" t="n"/>
      <c r="AR40" s="204" t="n"/>
      <c r="AS40" s="205" t="n"/>
      <c r="AT40" s="244" t="n"/>
      <c r="AU40" s="204" t="n"/>
      <c r="AV40" s="207" t="n"/>
      <c r="AW40" s="245" t="n"/>
      <c r="AX40" s="209" t="n"/>
      <c r="AY40" s="210" t="n"/>
      <c r="AZ40" s="246" t="n"/>
      <c r="BA40" s="171" t="n"/>
      <c r="BB40" s="242" t="n"/>
      <c r="BC40" s="243" t="n"/>
      <c r="BD40" s="243" t="n"/>
      <c r="BE40" s="204" t="n"/>
      <c r="BF40" s="205" t="n"/>
      <c r="BG40" s="244" t="n"/>
      <c r="BH40" s="204" t="n"/>
      <c r="BI40" s="207" t="n"/>
      <c r="BJ40" s="245" t="n"/>
      <c r="BK40" s="209" t="n"/>
      <c r="BL40" s="210" t="n"/>
      <c r="BM40" s="246" t="n"/>
      <c r="BN40" s="171" t="n"/>
      <c r="BO40" s="171" t="n"/>
      <c r="BP40" s="171" t="n"/>
      <c r="BQ40" s="171" t="n"/>
      <c r="BR40" s="171" t="n"/>
      <c r="BS40" s="171" t="n"/>
      <c r="BT40" s="171" t="n"/>
      <c r="BU40" s="171" t="n"/>
      <c r="BV40" s="171" t="n"/>
      <c r="BW40" s="171" t="n"/>
      <c r="BX40" s="171" t="n"/>
      <c r="BY40" s="171" t="n"/>
      <c r="BZ40" s="171" t="n"/>
      <c r="CA40" s="171" t="n"/>
      <c r="CB40" s="171" t="n"/>
      <c r="CC40" s="171" t="n"/>
      <c r="CD40" s="171" t="n"/>
      <c r="CE40" s="171" t="n"/>
      <c r="CF40" s="171" t="n"/>
      <c r="CG40" s="171" t="n"/>
      <c r="CH40" s="171" t="n"/>
      <c r="CI40" s="171" t="n"/>
      <c r="CJ40" s="171" t="n"/>
      <c r="CK40" s="171" t="n"/>
      <c r="CL40" s="171" t="n"/>
    </row>
    <row r="41" ht="18" customHeight="1" s="22" thickBot="1">
      <c r="A41" s="171" t="n"/>
      <c r="B41" s="171" t="n"/>
      <c r="C41" s="171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  <c r="O41" s="242" t="n"/>
      <c r="P41" s="243" t="n"/>
      <c r="Q41" s="243" t="n"/>
      <c r="R41" s="204" t="n"/>
      <c r="S41" s="205" t="n"/>
      <c r="T41" s="244" t="n"/>
      <c r="U41" s="204" t="n"/>
      <c r="V41" s="207" t="n"/>
      <c r="W41" s="245" t="n"/>
      <c r="X41" s="209" t="n"/>
      <c r="Y41" s="210" t="n"/>
      <c r="Z41" s="246" t="n"/>
      <c r="AA41" s="171" t="n"/>
      <c r="AB41" s="242" t="n"/>
      <c r="AC41" s="243" t="n"/>
      <c r="AD41" s="243" t="n"/>
      <c r="AE41" s="204" t="n"/>
      <c r="AF41" s="205" t="n"/>
      <c r="AG41" s="244" t="n"/>
      <c r="AH41" s="204" t="n"/>
      <c r="AI41" s="207" t="n"/>
      <c r="AJ41" s="245" t="n"/>
      <c r="AK41" s="209" t="n"/>
      <c r="AL41" s="210" t="n"/>
      <c r="AM41" s="246" t="n"/>
      <c r="AN41" s="171" t="n"/>
      <c r="AO41" s="242" t="n"/>
      <c r="AP41" s="243" t="n"/>
      <c r="AQ41" s="243" t="n"/>
      <c r="AR41" s="204" t="n"/>
      <c r="AS41" s="205" t="n"/>
      <c r="AT41" s="244" t="n"/>
      <c r="AU41" s="204" t="n"/>
      <c r="AV41" s="207" t="n"/>
      <c r="AW41" s="245" t="n"/>
      <c r="AX41" s="209" t="n"/>
      <c r="AY41" s="210" t="n"/>
      <c r="AZ41" s="246" t="n"/>
      <c r="BA41" s="171" t="n"/>
      <c r="BB41" s="242" t="n"/>
      <c r="BC41" s="243" t="n"/>
      <c r="BD41" s="243" t="n"/>
      <c r="BE41" s="204" t="n"/>
      <c r="BF41" s="205" t="n"/>
      <c r="BG41" s="244" t="n"/>
      <c r="BH41" s="204" t="n"/>
      <c r="BI41" s="207" t="n"/>
      <c r="BJ41" s="245" t="n"/>
      <c r="BK41" s="209" t="n"/>
      <c r="BL41" s="210" t="n"/>
      <c r="BM41" s="246" t="n"/>
      <c r="BN41" s="171" t="n"/>
      <c r="BO41" s="171" t="n"/>
      <c r="BP41" s="171" t="n"/>
      <c r="BQ41" s="171" t="n"/>
      <c r="BR41" s="171" t="n"/>
      <c r="BS41" s="171" t="n"/>
      <c r="BT41" s="171" t="n"/>
      <c r="BU41" s="171" t="n"/>
      <c r="BV41" s="171" t="n"/>
      <c r="BW41" s="171" t="n"/>
      <c r="BX41" s="171" t="n"/>
      <c r="BY41" s="171" t="n"/>
      <c r="BZ41" s="171" t="n"/>
      <c r="CA41" s="171" t="n"/>
      <c r="CB41" s="171" t="n"/>
      <c r="CC41" s="171" t="n"/>
      <c r="CD41" s="171" t="n"/>
      <c r="CE41" s="171" t="n"/>
      <c r="CF41" s="171" t="n"/>
      <c r="CG41" s="171" t="n"/>
      <c r="CH41" s="171" t="n"/>
      <c r="CI41" s="171" t="n"/>
      <c r="CJ41" s="171" t="n"/>
      <c r="CK41" s="171" t="n"/>
      <c r="CL41" s="171" t="n"/>
    </row>
    <row r="42">
      <c r="A42" s="171" t="n"/>
      <c r="B42" s="171" t="n"/>
      <c r="C42" s="171" t="n"/>
      <c r="D42" s="171" t="n"/>
      <c r="E42" s="171" t="n"/>
      <c r="F42" s="171" t="n"/>
      <c r="G42" s="171" t="n"/>
      <c r="H42" s="171" t="n"/>
      <c r="I42" s="171" t="n"/>
      <c r="J42" s="171" t="n"/>
      <c r="K42" s="171" t="n"/>
      <c r="L42" s="171" t="n"/>
      <c r="M42" s="171" t="n"/>
      <c r="N42" s="171" t="n"/>
      <c r="O42" s="247" t="inlineStr">
        <is>
          <t>김포지역</t>
        </is>
      </c>
      <c r="P42" s="248" t="inlineStr">
        <is>
          <t>신원문고</t>
        </is>
      </c>
      <c r="Q42" s="248" t="n">
        <v>295</v>
      </c>
      <c r="R42" s="191" t="inlineStr">
        <is>
          <t>율생리</t>
        </is>
      </c>
      <c r="S42" s="192" t="n">
        <v>0.5416666666666666</v>
      </c>
      <c r="T42" s="249" t="n">
        <v>518430</v>
      </c>
      <c r="U42" s="191" t="inlineStr">
        <is>
          <t>이종석</t>
        </is>
      </c>
      <c r="V42" s="194" t="inlineStr">
        <is>
          <t>한울</t>
        </is>
      </c>
      <c r="W42" s="250" t="inlineStr">
        <is>
          <t>부분</t>
        </is>
      </c>
      <c r="X42" s="196" t="n"/>
      <c r="Y42" s="197" t="n"/>
      <c r="Z42" s="251" t="inlineStr">
        <is>
          <t>정신배</t>
        </is>
      </c>
      <c r="AA42" s="171" t="n"/>
      <c r="AB42" s="247" t="inlineStr">
        <is>
          <t>김포지역</t>
        </is>
      </c>
      <c r="AC42" s="248" t="inlineStr">
        <is>
          <t>성원</t>
        </is>
      </c>
      <c r="AD42" s="248" t="n">
        <v>400</v>
      </c>
      <c r="AE42" s="191" t="inlineStr">
        <is>
          <t>서암리</t>
        </is>
      </c>
      <c r="AF42" s="192" t="n">
        <v>0.5</v>
      </c>
      <c r="AG42" s="249" t="n">
        <v>703120</v>
      </c>
      <c r="AH42" s="191" t="inlineStr">
        <is>
          <t>서수형</t>
        </is>
      </c>
      <c r="AI42" s="194" t="inlineStr">
        <is>
          <t>서전발맥태양광</t>
        </is>
      </c>
      <c r="AJ42" s="250" t="n">
        <v>296</v>
      </c>
      <c r="AK42" s="196" t="inlineStr">
        <is>
          <t>초원지리</t>
        </is>
      </c>
      <c r="AL42" s="197" t="n"/>
      <c r="AM42" s="251" t="inlineStr">
        <is>
          <t>정신배</t>
        </is>
      </c>
      <c r="AN42" s="171" t="n"/>
      <c r="AO42" s="247" t="inlineStr">
        <is>
          <t>김포지역</t>
        </is>
      </c>
      <c r="AP42" s="248" t="inlineStr">
        <is>
          <t>캐스힐</t>
        </is>
      </c>
      <c r="AQ42" s="248" t="inlineStr">
        <is>
          <t>950/250</t>
        </is>
      </c>
      <c r="AR42" s="191" t="inlineStr">
        <is>
          <t>고촌</t>
        </is>
      </c>
      <c r="AS42" s="192" t="n">
        <v>0.25</v>
      </c>
      <c r="AT42" s="249" t="n">
        <v>1513490</v>
      </c>
      <c r="AU42" s="191" t="n"/>
      <c r="AV42" s="194" t="inlineStr">
        <is>
          <t>수지태양광</t>
        </is>
      </c>
      <c r="AW42" s="250" t="n">
        <v>199</v>
      </c>
      <c r="AX42" s="196" t="inlineStr">
        <is>
          <t>석정리</t>
        </is>
      </c>
      <c r="AY42" s="197" t="n"/>
      <c r="AZ42" s="251" t="n"/>
      <c r="BA42" s="171" t="n"/>
      <c r="BB42" s="247" t="inlineStr">
        <is>
          <t>김포지역</t>
        </is>
      </c>
      <c r="BC42" s="248" t="inlineStr">
        <is>
          <t>양곡제일교회</t>
        </is>
      </c>
      <c r="BD42" s="248" t="n">
        <v>500</v>
      </c>
      <c r="BE42" s="191" t="inlineStr">
        <is>
          <t>양곡리</t>
        </is>
      </c>
      <c r="BF42" s="192" t="n">
        <v>0.4791666666666667</v>
      </c>
      <c r="BG42" s="249" t="n">
        <v>737000</v>
      </c>
      <c r="BH42" s="191" t="n"/>
      <c r="BI42" s="194" t="inlineStr">
        <is>
          <t>에스지에스</t>
        </is>
      </c>
      <c r="BJ42" s="250" t="n">
        <v>287</v>
      </c>
      <c r="BK42" s="196" t="inlineStr">
        <is>
          <t>개곡리</t>
        </is>
      </c>
      <c r="BL42" s="197" t="n"/>
      <c r="BM42" s="251" t="n"/>
      <c r="BN42" s="171" t="n"/>
      <c r="BO42" s="171" t="n"/>
      <c r="BP42" s="171" t="n"/>
      <c r="BQ42" s="171" t="n"/>
      <c r="BR42" s="171" t="n"/>
      <c r="BS42" s="171" t="n"/>
      <c r="BT42" s="171" t="n"/>
      <c r="BU42" s="171" t="n"/>
      <c r="BV42" s="171" t="n"/>
      <c r="BW42" s="171" t="n"/>
      <c r="BX42" s="171" t="n"/>
      <c r="BY42" s="171" t="n"/>
      <c r="BZ42" s="171" t="n"/>
      <c r="CA42" s="171" t="n"/>
      <c r="CB42" s="171" t="n"/>
      <c r="CC42" s="171" t="n"/>
      <c r="CD42" s="171" t="n"/>
      <c r="CE42" s="171" t="n"/>
      <c r="CF42" s="171" t="n"/>
      <c r="CG42" s="171" t="n"/>
      <c r="CH42" s="171" t="n"/>
      <c r="CI42" s="171" t="n"/>
      <c r="CJ42" s="171" t="n"/>
      <c r="CK42" s="171" t="n"/>
      <c r="CL42" s="171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242" t="n"/>
      <c r="P43" s="243" t="inlineStr">
        <is>
          <t>지이티루하</t>
        </is>
      </c>
      <c r="Q43" s="243" t="n">
        <v>700</v>
      </c>
      <c r="R43" s="204" t="inlineStr">
        <is>
          <t>도사리</t>
        </is>
      </c>
      <c r="S43" s="205" t="n">
        <v>0.5416666666666666</v>
      </c>
      <c r="T43" s="244" t="n">
        <v>804760</v>
      </c>
      <c r="U43" s="204" t="inlineStr">
        <is>
          <t>정성관</t>
        </is>
      </c>
      <c r="V43" s="207" t="inlineStr">
        <is>
          <t>라인즈</t>
        </is>
      </c>
      <c r="W43" s="245" t="n">
        <v>176</v>
      </c>
      <c r="X43" s="209" t="inlineStr">
        <is>
          <t>학운리</t>
        </is>
      </c>
      <c r="Y43" s="210" t="n"/>
      <c r="Z43" s="246" t="inlineStr">
        <is>
          <t>한태희</t>
        </is>
      </c>
      <c r="AA43" s="171" t="n"/>
      <c r="AB43" s="242" t="n"/>
      <c r="AC43" s="243" t="inlineStr">
        <is>
          <t>희영무지개아파트</t>
        </is>
      </c>
      <c r="AD43" s="243" t="inlineStr">
        <is>
          <t>800/182</t>
        </is>
      </c>
      <c r="AE43" s="204" t="inlineStr">
        <is>
          <t>양곡</t>
        </is>
      </c>
      <c r="AF43" s="205" t="n">
        <v>0.4583333333333333</v>
      </c>
      <c r="AG43" s="244" t="n">
        <v>1029050</v>
      </c>
      <c r="AH43" s="204" t="inlineStr">
        <is>
          <t>김영권</t>
        </is>
      </c>
      <c r="AI43" s="207" t="inlineStr">
        <is>
          <t>한국로지스풀</t>
        </is>
      </c>
      <c r="AJ43" s="245" t="n">
        <v>339</v>
      </c>
      <c r="AK43" s="209" t="inlineStr">
        <is>
          <t>학운리</t>
        </is>
      </c>
      <c r="AL43" s="210" t="n"/>
      <c r="AM43" s="246" t="inlineStr">
        <is>
          <t>허창수</t>
        </is>
      </c>
      <c r="AN43" s="171" t="n"/>
      <c r="AO43" s="242" t="n"/>
      <c r="AP43" s="243" t="inlineStr">
        <is>
          <t>래미안한강</t>
        </is>
      </c>
      <c r="AQ43" s="243" t="inlineStr">
        <is>
          <t>3000/682</t>
        </is>
      </c>
      <c r="AR43" s="204" t="inlineStr">
        <is>
          <t>장기동</t>
        </is>
      </c>
      <c r="AS43" s="205" t="n">
        <v>0.4166666666666667</v>
      </c>
      <c r="AT43" s="244" t="n">
        <v>1500180</v>
      </c>
      <c r="AU43" s="204" t="n"/>
      <c r="AV43" s="207" t="inlineStr">
        <is>
          <t>우람</t>
        </is>
      </c>
      <c r="AW43" s="245" t="n">
        <v>130</v>
      </c>
      <c r="AX43" s="209" t="inlineStr">
        <is>
          <t>송마리</t>
        </is>
      </c>
      <c r="AY43" s="210" t="n"/>
      <c r="AZ43" s="246" t="n"/>
      <c r="BA43" s="171" t="n"/>
      <c r="BB43" s="242" t="n"/>
      <c r="BC43" s="243" t="inlineStr">
        <is>
          <t>대한태양광</t>
        </is>
      </c>
      <c r="BD43" s="243" t="n">
        <v>91</v>
      </c>
      <c r="BE43" s="204" t="inlineStr">
        <is>
          <t>개곡리</t>
        </is>
      </c>
      <c r="BF43" s="205" t="n">
        <v>0.4375</v>
      </c>
      <c r="BG43" s="244" t="n">
        <v>246730</v>
      </c>
      <c r="BH43" s="204" t="n"/>
      <c r="BI43" s="207" t="inlineStr">
        <is>
          <t>에스지에스</t>
        </is>
      </c>
      <c r="BJ43" s="245" t="n">
        <v>288</v>
      </c>
      <c r="BK43" s="209" t="inlineStr">
        <is>
          <t>개곡리</t>
        </is>
      </c>
      <c r="BL43" s="210" t="n"/>
      <c r="BM43" s="246" t="n"/>
      <c r="BN43" s="171" t="n"/>
      <c r="BO43" s="171" t="n"/>
      <c r="BP43" s="171" t="n"/>
      <c r="BQ43" s="171" t="n"/>
      <c r="BR43" s="171" t="n"/>
      <c r="BS43" s="171" t="n"/>
      <c r="BT43" s="171" t="n"/>
      <c r="BU43" s="171" t="n"/>
      <c r="BV43" s="171" t="n"/>
      <c r="BW43" s="171" t="n"/>
      <c r="BX43" s="171" t="n"/>
      <c r="BY43" s="171" t="n"/>
      <c r="BZ43" s="171" t="n"/>
      <c r="CA43" s="171" t="n"/>
      <c r="CB43" s="171" t="n"/>
      <c r="CC43" s="171" t="n"/>
      <c r="CD43" s="171" t="n"/>
      <c r="CE43" s="171" t="n"/>
      <c r="CF43" s="171" t="n"/>
      <c r="CG43" s="171" t="n"/>
      <c r="CH43" s="171" t="n"/>
      <c r="CI43" s="171" t="n"/>
      <c r="CJ43" s="171" t="n"/>
      <c r="CK43" s="171" t="n"/>
      <c r="CL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242" t="n"/>
      <c r="P44" s="243" t="inlineStr">
        <is>
          <t>yz테크</t>
        </is>
      </c>
      <c r="Q44" s="243" t="n">
        <v>290</v>
      </c>
      <c r="R44" s="204" t="inlineStr">
        <is>
          <t>학운리</t>
        </is>
      </c>
      <c r="S44" s="205" t="n">
        <v>0.3958333333333333</v>
      </c>
      <c r="T44" s="244" t="n">
        <v>515130</v>
      </c>
      <c r="U44" s="204" t="inlineStr">
        <is>
          <t>김영권</t>
        </is>
      </c>
      <c r="V44" s="207" t="n"/>
      <c r="W44" s="245" t="n"/>
      <c r="X44" s="209" t="n"/>
      <c r="Y44" s="210" t="n"/>
      <c r="Z44" s="246" t="n"/>
      <c r="AA44" s="171" t="n"/>
      <c r="AB44" s="242" t="n"/>
      <c r="AC44" s="243" t="inlineStr">
        <is>
          <t>미래즈</t>
        </is>
      </c>
      <c r="AD44" s="243" t="n">
        <v>250</v>
      </c>
      <c r="AE44" s="204" t="inlineStr">
        <is>
          <t>양곡리</t>
        </is>
      </c>
      <c r="AF44" s="205" t="n">
        <v>0.4791666666666667</v>
      </c>
      <c r="AG44" s="244" t="n">
        <v>489170</v>
      </c>
      <c r="AH44" s="204" t="inlineStr">
        <is>
          <t>정성관</t>
        </is>
      </c>
      <c r="AI44" s="207" t="inlineStr">
        <is>
          <t>한국로지스풀</t>
        </is>
      </c>
      <c r="AJ44" s="245" t="n">
        <v>340</v>
      </c>
      <c r="AK44" s="209" t="inlineStr">
        <is>
          <t>학운리</t>
        </is>
      </c>
      <c r="AL44" s="210" t="n"/>
      <c r="AM44" s="246" t="inlineStr">
        <is>
          <t>허창수</t>
        </is>
      </c>
      <c r="AN44" s="171" t="n"/>
      <c r="AO44" s="242" t="n"/>
      <c r="AP44" s="243" t="inlineStr">
        <is>
          <t>더파크뷰테라스</t>
        </is>
      </c>
      <c r="AQ44" s="243" t="inlineStr">
        <is>
          <t>1600/320</t>
        </is>
      </c>
      <c r="AR44" s="204" t="inlineStr">
        <is>
          <t>운양동</t>
        </is>
      </c>
      <c r="AS44" s="205" t="n">
        <v>0.4166666666666667</v>
      </c>
      <c r="AT44" s="244" t="n">
        <v>1212750</v>
      </c>
      <c r="AU44" s="204" t="n"/>
      <c r="AV44" s="207" t="n"/>
      <c r="AW44" s="245" t="n"/>
      <c r="AX44" s="209" t="n"/>
      <c r="AY44" s="210" t="n"/>
      <c r="AZ44" s="246" t="n"/>
      <c r="BA44" s="171" t="n"/>
      <c r="BB44" s="242" t="n"/>
      <c r="BC44" s="243" t="inlineStr">
        <is>
          <t>웅신프라자</t>
        </is>
      </c>
      <c r="BD44" s="243" t="inlineStr">
        <is>
          <t>전기차</t>
        </is>
      </c>
      <c r="BE44" s="204" t="inlineStr">
        <is>
          <t>구래동</t>
        </is>
      </c>
      <c r="BF44" s="205" t="n">
        <v>0.75</v>
      </c>
      <c r="BG44" s="244" t="n">
        <v>83430</v>
      </c>
      <c r="BH44" s="204" t="n"/>
      <c r="BI44" s="207" t="inlineStr">
        <is>
          <t>소소</t>
        </is>
      </c>
      <c r="BJ44" s="245" t="n">
        <v>383</v>
      </c>
      <c r="BK44" s="209" t="inlineStr">
        <is>
          <t>대능리</t>
        </is>
      </c>
      <c r="BL44" s="210" t="n"/>
      <c r="BM44" s="246" t="n"/>
      <c r="BN44" s="171" t="n"/>
      <c r="BO44" s="171" t="n"/>
      <c r="BP44" s="171" t="n"/>
      <c r="BQ44" s="171" t="n"/>
      <c r="BR44" s="171" t="n"/>
      <c r="BS44" s="171" t="n"/>
      <c r="BT44" s="171" t="n"/>
      <c r="BU44" s="171" t="n"/>
      <c r="BV44" s="171" t="n"/>
      <c r="BW44" s="171" t="n"/>
      <c r="BX44" s="171" t="n"/>
      <c r="BY44" s="171" t="n"/>
      <c r="BZ44" s="171" t="n"/>
      <c r="CA44" s="171" t="n"/>
      <c r="CB44" s="171" t="n"/>
      <c r="CC44" s="171" t="n"/>
      <c r="CD44" s="171" t="n"/>
      <c r="CE44" s="171" t="n"/>
      <c r="CF44" s="171" t="n"/>
      <c r="CG44" s="171" t="n"/>
      <c r="CH44" s="171" t="n"/>
      <c r="CI44" s="171" t="n"/>
      <c r="CJ44" s="171" t="n"/>
      <c r="CK44" s="171" t="n"/>
      <c r="CL44" s="171" t="n"/>
    </row>
    <row r="45">
      <c r="A45" s="171" t="n"/>
      <c r="B45" s="171" t="n"/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242" t="n"/>
      <c r="P45" s="243" t="inlineStr">
        <is>
          <t>서울테크</t>
        </is>
      </c>
      <c r="Q45" s="243" t="n">
        <v>290</v>
      </c>
      <c r="R45" s="204" t="inlineStr">
        <is>
          <t>학운리</t>
        </is>
      </c>
      <c r="S45" s="205" t="n">
        <v>0.5416666666666666</v>
      </c>
      <c r="T45" s="244" t="n">
        <v>515130</v>
      </c>
      <c r="U45" s="204" t="inlineStr">
        <is>
          <t>옹승완</t>
        </is>
      </c>
      <c r="V45" s="207" t="n"/>
      <c r="W45" s="245" t="n"/>
      <c r="X45" s="209" t="n"/>
      <c r="Y45" s="210" t="n"/>
      <c r="Z45" s="246" t="n"/>
      <c r="AA45" s="171" t="n"/>
      <c r="AB45" s="242" t="n"/>
      <c r="AC45" s="243" t="inlineStr">
        <is>
          <t>희영무지개아파트</t>
        </is>
      </c>
      <c r="AD45" s="243" t="inlineStr">
        <is>
          <t>전기차</t>
        </is>
      </c>
      <c r="AE45" s="204" t="n"/>
      <c r="AF45" s="205" t="n"/>
      <c r="AG45" s="244" t="n">
        <v>89650</v>
      </c>
      <c r="AH45" s="204" t="inlineStr">
        <is>
          <t>김영권</t>
        </is>
      </c>
      <c r="AI45" s="207" t="n"/>
      <c r="AJ45" s="245" t="n"/>
      <c r="AK45" s="209" t="n"/>
      <c r="AL45" s="210" t="n"/>
      <c r="AM45" s="246" t="n"/>
      <c r="AN45" s="171" t="n"/>
      <c r="AO45" s="242" t="n"/>
      <c r="AP45" s="243" t="inlineStr">
        <is>
          <t>더파크뷰테라스</t>
        </is>
      </c>
      <c r="AQ45" s="243" t="inlineStr">
        <is>
          <t>전기차</t>
        </is>
      </c>
      <c r="AR45" s="204" t="inlineStr">
        <is>
          <t>운양동</t>
        </is>
      </c>
      <c r="AS45" s="205" t="n"/>
      <c r="AT45" s="244" t="n">
        <v>81180</v>
      </c>
      <c r="AU45" s="204" t="n"/>
      <c r="AV45" s="207" t="n"/>
      <c r="AW45" s="245" t="n"/>
      <c r="AX45" s="209" t="n"/>
      <c r="AY45" s="210" t="n"/>
      <c r="AZ45" s="246" t="n"/>
      <c r="BA45" s="171" t="n"/>
      <c r="BB45" s="242" t="n"/>
      <c r="BC45" s="243" t="inlineStr">
        <is>
          <t>홍우프라자</t>
        </is>
      </c>
      <c r="BD45" s="243" t="inlineStr">
        <is>
          <t>전기차</t>
        </is>
      </c>
      <c r="BE45" s="204" t="inlineStr">
        <is>
          <t>장기동</t>
        </is>
      </c>
      <c r="BF45" s="205" t="n">
        <v>0.3958333333333333</v>
      </c>
      <c r="BG45" s="244" t="n">
        <v>55770</v>
      </c>
      <c r="BH45" s="204" t="n"/>
      <c r="BI45" s="207" t="n"/>
      <c r="BJ45" s="245" t="n"/>
      <c r="BK45" s="209" t="n"/>
      <c r="BL45" s="210" t="n"/>
      <c r="BM45" s="246" t="n"/>
      <c r="BN45" s="171" t="n"/>
      <c r="BO45" s="171" t="n"/>
      <c r="BP45" s="171" t="n"/>
      <c r="BQ45" s="171" t="n"/>
      <c r="BR45" s="171" t="n"/>
      <c r="BS45" s="171" t="n"/>
      <c r="BT45" s="171" t="n"/>
      <c r="BU45" s="171" t="n"/>
      <c r="BV45" s="171" t="n"/>
      <c r="BW45" s="171" t="n"/>
      <c r="BX45" s="171" t="n"/>
      <c r="BY45" s="171" t="n"/>
      <c r="BZ45" s="171" t="n"/>
      <c r="CA45" s="171" t="n"/>
      <c r="CB45" s="171" t="n"/>
      <c r="CC45" s="171" t="n"/>
      <c r="CD45" s="171" t="n"/>
      <c r="CE45" s="171" t="n"/>
      <c r="CF45" s="171" t="n"/>
      <c r="CG45" s="171" t="n"/>
      <c r="CH45" s="171" t="n"/>
      <c r="CI45" s="171" t="n"/>
      <c r="CJ45" s="171" t="n"/>
      <c r="CK45" s="171" t="n"/>
      <c r="CL45" s="171" t="n"/>
    </row>
    <row r="46">
      <c r="A46" s="171" t="n"/>
      <c r="B46" s="171" t="n"/>
      <c r="C46" s="171" t="n"/>
      <c r="D46" s="171" t="n"/>
      <c r="E46" s="171" t="n"/>
      <c r="F46" s="171" t="n"/>
      <c r="G46" s="171" t="n"/>
      <c r="H46" s="171" t="n"/>
      <c r="I46" s="171" t="n"/>
      <c r="J46" s="171" t="n"/>
      <c r="K46" s="171" t="n"/>
      <c r="L46" s="171" t="n"/>
      <c r="M46" s="171" t="n"/>
      <c r="N46" s="171" t="n"/>
      <c r="O46" s="242" t="n"/>
      <c r="P46" s="243" t="n"/>
      <c r="Q46" s="243" t="n"/>
      <c r="R46" s="204" t="n"/>
      <c r="S46" s="205" t="n"/>
      <c r="T46" s="244" t="n"/>
      <c r="U46" s="204" t="n"/>
      <c r="V46" s="207" t="n"/>
      <c r="W46" s="245" t="n"/>
      <c r="X46" s="209" t="n"/>
      <c r="Y46" s="210" t="n"/>
      <c r="Z46" s="246" t="n"/>
      <c r="AA46" s="171" t="n"/>
      <c r="AB46" s="242" t="n"/>
      <c r="AC46" s="243" t="inlineStr">
        <is>
          <t>마그마</t>
        </is>
      </c>
      <c r="AD46" s="243" t="n">
        <v>150</v>
      </c>
      <c r="AE46" s="204" t="inlineStr">
        <is>
          <t>풍무동</t>
        </is>
      </c>
      <c r="AF46" s="205" t="n">
        <v>0.5208333333333334</v>
      </c>
      <c r="AG46" s="244" t="n">
        <v>424160</v>
      </c>
      <c r="AH46" s="204" t="inlineStr">
        <is>
          <t>옹승완</t>
        </is>
      </c>
      <c r="AI46" s="207" t="n"/>
      <c r="AJ46" s="245" t="n"/>
      <c r="AK46" s="209" t="n"/>
      <c r="AL46" s="210" t="n"/>
      <c r="AM46" s="246" t="n"/>
      <c r="AN46" s="171" t="n"/>
      <c r="AO46" s="242" t="n"/>
      <c r="AP46" s="243" t="inlineStr">
        <is>
          <t>대일상사</t>
        </is>
      </c>
      <c r="AQ46" s="243" t="n">
        <v>400</v>
      </c>
      <c r="AR46" s="204" t="inlineStr">
        <is>
          <t>옹정리</t>
        </is>
      </c>
      <c r="AS46" s="205" t="n">
        <v>0.5208333333333334</v>
      </c>
      <c r="AT46" s="244" t="n">
        <v>703120</v>
      </c>
      <c r="AU46" s="204" t="n"/>
      <c r="AV46" s="207" t="n"/>
      <c r="AW46" s="245" t="n"/>
      <c r="AX46" s="209" t="n"/>
      <c r="AY46" s="210" t="n"/>
      <c r="AZ46" s="246" t="n"/>
      <c r="BA46" s="171" t="n"/>
      <c r="BB46" s="242" t="n"/>
      <c r="BC46" s="243" t="inlineStr">
        <is>
          <t>해바라기</t>
        </is>
      </c>
      <c r="BD46" s="243" t="n">
        <v>99</v>
      </c>
      <c r="BE46" s="204" t="inlineStr">
        <is>
          <t>대벽리</t>
        </is>
      </c>
      <c r="BF46" s="205" t="n">
        <v>0.3958333333333333</v>
      </c>
      <c r="BG46" s="244" t="n">
        <v>254540</v>
      </c>
      <c r="BH46" s="204" t="n"/>
      <c r="BI46" s="207" t="n"/>
      <c r="BJ46" s="245" t="n"/>
      <c r="BK46" s="209" t="n"/>
      <c r="BL46" s="210" t="n"/>
      <c r="BM46" s="246" t="n"/>
      <c r="BN46" s="171" t="n"/>
      <c r="BO46" s="171" t="n"/>
      <c r="BP46" s="171" t="n"/>
      <c r="BQ46" s="171" t="n"/>
      <c r="BR46" s="171" t="n"/>
      <c r="BS46" s="171" t="n"/>
      <c r="BT46" s="171" t="n"/>
      <c r="BU46" s="171" t="n"/>
      <c r="BV46" s="171" t="n"/>
      <c r="BW46" s="171" t="n"/>
      <c r="BX46" s="171" t="n"/>
      <c r="BY46" s="171" t="n"/>
      <c r="BZ46" s="171" t="n"/>
      <c r="CA46" s="171" t="n"/>
      <c r="CB46" s="171" t="n"/>
      <c r="CC46" s="171" t="n"/>
      <c r="CD46" s="171" t="n"/>
      <c r="CE46" s="171" t="n"/>
      <c r="CF46" s="171" t="n"/>
      <c r="CG46" s="171" t="n"/>
      <c r="CH46" s="171" t="n"/>
      <c r="CI46" s="171" t="n"/>
      <c r="CJ46" s="171" t="n"/>
      <c r="CK46" s="171" t="n"/>
      <c r="CL46" s="171" t="n"/>
    </row>
    <row r="47">
      <c r="A47" s="171" t="n"/>
      <c r="B47" s="171" t="n"/>
      <c r="C47" s="171" t="n"/>
      <c r="D47" s="171" t="n"/>
      <c r="E47" s="171" t="n"/>
      <c r="F47" s="171" t="n"/>
      <c r="G47" s="171" t="n"/>
      <c r="H47" s="171" t="n"/>
      <c r="I47" s="171" t="n"/>
      <c r="J47" s="171" t="n"/>
      <c r="K47" s="171" t="n"/>
      <c r="L47" s="171" t="n"/>
      <c r="M47" s="171" t="n"/>
      <c r="N47" s="171" t="n"/>
      <c r="O47" s="242" t="n"/>
      <c r="P47" s="243" t="n"/>
      <c r="Q47" s="243" t="n"/>
      <c r="R47" s="204" t="n"/>
      <c r="S47" s="205" t="n"/>
      <c r="T47" s="244" t="n"/>
      <c r="U47" s="204" t="n"/>
      <c r="V47" s="207" t="n"/>
      <c r="W47" s="245" t="n"/>
      <c r="X47" s="209" t="n"/>
      <c r="Y47" s="210" t="n"/>
      <c r="Z47" s="246" t="n"/>
      <c r="AA47" s="171" t="n"/>
      <c r="AB47" s="242" t="n"/>
      <c r="AC47" s="243" t="inlineStr">
        <is>
          <t>태웅</t>
        </is>
      </c>
      <c r="AD47" s="243" t="n">
        <v>200</v>
      </c>
      <c r="AE47" s="204" t="inlineStr">
        <is>
          <t>귀전리</t>
        </is>
      </c>
      <c r="AF47" s="205" t="n">
        <v>0.3958333333333333</v>
      </c>
      <c r="AG47" s="244" t="n">
        <v>456720</v>
      </c>
      <c r="AH47" s="204" t="inlineStr">
        <is>
          <t>변종국</t>
        </is>
      </c>
      <c r="AI47" s="207" t="n"/>
      <c r="AJ47" s="245" t="n"/>
      <c r="AK47" s="209" t="n"/>
      <c r="AL47" s="210" t="n"/>
      <c r="AM47" s="246" t="n"/>
      <c r="AN47" s="171" t="n"/>
      <c r="AO47" s="242" t="n"/>
      <c r="AP47" s="243" t="inlineStr">
        <is>
          <t>신일상사</t>
        </is>
      </c>
      <c r="AQ47" s="243" t="n">
        <v>290</v>
      </c>
      <c r="AR47" s="204" t="inlineStr">
        <is>
          <t>쇄암리</t>
        </is>
      </c>
      <c r="AS47" s="205" t="n">
        <v>0.4791666666666667</v>
      </c>
      <c r="AT47" s="244" t="n">
        <v>515130</v>
      </c>
      <c r="AU47" s="204" t="n"/>
      <c r="AV47" s="207" t="n"/>
      <c r="AW47" s="245" t="n"/>
      <c r="AX47" s="209" t="n"/>
      <c r="AY47" s="210" t="n"/>
      <c r="AZ47" s="246" t="n"/>
      <c r="BA47" s="171" t="n"/>
      <c r="BB47" s="242" t="n"/>
      <c r="BC47" s="243" t="inlineStr">
        <is>
          <t>해바라기</t>
        </is>
      </c>
      <c r="BD47" s="243" t="n">
        <v>100</v>
      </c>
      <c r="BE47" s="204" t="inlineStr">
        <is>
          <t>대벽리</t>
        </is>
      </c>
      <c r="BF47" s="205" t="n">
        <v>0.3958333333333333</v>
      </c>
      <c r="BG47" s="244" t="n">
        <v>254541</v>
      </c>
      <c r="BH47" s="204" t="n"/>
      <c r="BI47" s="207" t="n"/>
      <c r="BJ47" s="245" t="n"/>
      <c r="BK47" s="209" t="n"/>
      <c r="BL47" s="210" t="n"/>
      <c r="BM47" s="246" t="n"/>
      <c r="BN47" s="171" t="n"/>
      <c r="BO47" s="171" t="n"/>
      <c r="BP47" s="171" t="n"/>
      <c r="BQ47" s="171" t="n"/>
      <c r="BR47" s="171" t="n"/>
      <c r="BS47" s="171" t="n"/>
      <c r="BT47" s="171" t="n"/>
      <c r="BU47" s="171" t="n"/>
      <c r="BV47" s="171" t="n"/>
      <c r="BW47" s="171" t="n"/>
      <c r="BX47" s="171" t="n"/>
      <c r="BY47" s="171" t="n"/>
      <c r="BZ47" s="171" t="n"/>
      <c r="CA47" s="171" t="n"/>
      <c r="CB47" s="171" t="n"/>
      <c r="CC47" s="171" t="n"/>
      <c r="CD47" s="171" t="n"/>
      <c r="CE47" s="171" t="n"/>
      <c r="CF47" s="171" t="n"/>
      <c r="CG47" s="171" t="n"/>
      <c r="CH47" s="171" t="n"/>
      <c r="CI47" s="171" t="n"/>
      <c r="CJ47" s="171" t="n"/>
      <c r="CK47" s="171" t="n"/>
      <c r="CL47" s="171" t="n"/>
    </row>
    <row r="48">
      <c r="A48" s="171" t="n"/>
      <c r="B48" s="171" t="n"/>
      <c r="C48" s="171" t="n"/>
      <c r="D48" s="171" t="n"/>
      <c r="E48" s="171" t="n"/>
      <c r="F48" s="171" t="n"/>
      <c r="G48" s="171" t="n"/>
      <c r="H48" s="171" t="n"/>
      <c r="I48" s="171" t="n"/>
      <c r="J48" s="171" t="n"/>
      <c r="K48" s="171" t="n"/>
      <c r="L48" s="171" t="n"/>
      <c r="M48" s="171" t="n"/>
      <c r="N48" s="171" t="n"/>
      <c r="O48" s="242" t="n"/>
      <c r="P48" s="243" t="n"/>
      <c r="Q48" s="243" t="n"/>
      <c r="R48" s="204" t="n"/>
      <c r="S48" s="205" t="n"/>
      <c r="T48" s="244" t="n"/>
      <c r="U48" s="204" t="n"/>
      <c r="V48" s="207" t="n"/>
      <c r="W48" s="245" t="n"/>
      <c r="X48" s="209" t="n"/>
      <c r="Y48" s="210" t="n"/>
      <c r="Z48" s="246" t="n"/>
      <c r="AA48" s="171" t="n"/>
      <c r="AB48" s="242" t="n"/>
      <c r="AC48" s="243" t="inlineStr">
        <is>
          <t>한강레미안</t>
        </is>
      </c>
      <c r="AD48" s="243" t="inlineStr">
        <is>
          <t>전기차</t>
        </is>
      </c>
      <c r="AE48" s="204" t="inlineStr">
        <is>
          <t>장기동</t>
        </is>
      </c>
      <c r="AF48" s="205" t="n">
        <v>0.3958333333333333</v>
      </c>
      <c r="AG48" s="244" t="n">
        <v>132000</v>
      </c>
      <c r="AH48" s="204" t="inlineStr">
        <is>
          <t>정신배</t>
        </is>
      </c>
      <c r="AI48" s="207" t="n"/>
      <c r="AJ48" s="245" t="n"/>
      <c r="AK48" s="209" t="n"/>
      <c r="AL48" s="210" t="n"/>
      <c r="AM48" s="246" t="n"/>
      <c r="AN48" s="171" t="n"/>
      <c r="AO48" s="242" t="n"/>
      <c r="AP48" s="243" t="inlineStr">
        <is>
          <t>다드림한마음</t>
        </is>
      </c>
      <c r="AQ48" s="243" t="inlineStr">
        <is>
          <t>950/250</t>
        </is>
      </c>
      <c r="AR48" s="204" t="inlineStr">
        <is>
          <t>고촌</t>
        </is>
      </c>
      <c r="AS48" s="205" t="n">
        <v>0.25</v>
      </c>
      <c r="AT48" s="244" t="n">
        <v>1430000</v>
      </c>
      <c r="AU48" s="204" t="n"/>
      <c r="AV48" s="207" t="n"/>
      <c r="AW48" s="245" t="n"/>
      <c r="AX48" s="209" t="n"/>
      <c r="AY48" s="210" t="n"/>
      <c r="AZ48" s="246" t="n"/>
      <c r="BA48" s="171" t="n"/>
      <c r="BB48" s="242" t="n"/>
      <c r="BC48" s="243" t="inlineStr">
        <is>
          <t>해바라기</t>
        </is>
      </c>
      <c r="BD48" s="243" t="n">
        <v>101</v>
      </c>
      <c r="BE48" s="204" t="inlineStr">
        <is>
          <t>대벽리</t>
        </is>
      </c>
      <c r="BF48" s="205" t="n">
        <v>0.3958333333333333</v>
      </c>
      <c r="BG48" s="244" t="n">
        <v>254542</v>
      </c>
      <c r="BH48" s="204" t="n"/>
      <c r="BI48" s="207" t="n"/>
      <c r="BJ48" s="245" t="n"/>
      <c r="BK48" s="209" t="n"/>
      <c r="BL48" s="210" t="n"/>
      <c r="BM48" s="246" t="n"/>
      <c r="BN48" s="171" t="n"/>
      <c r="BO48" s="171" t="n"/>
      <c r="BP48" s="171" t="n"/>
      <c r="BQ48" s="171" t="n"/>
      <c r="BR48" s="171" t="n"/>
      <c r="BS48" s="171" t="n"/>
      <c r="BT48" s="171" t="n"/>
      <c r="BU48" s="171" t="n"/>
      <c r="BV48" s="171" t="n"/>
      <c r="BW48" s="171" t="n"/>
      <c r="BX48" s="171" t="n"/>
      <c r="BY48" s="171" t="n"/>
      <c r="BZ48" s="171" t="n"/>
      <c r="CA48" s="171" t="n"/>
      <c r="CB48" s="171" t="n"/>
      <c r="CC48" s="171" t="n"/>
      <c r="CD48" s="171" t="n"/>
      <c r="CE48" s="171" t="n"/>
      <c r="CF48" s="171" t="n"/>
      <c r="CG48" s="171" t="n"/>
      <c r="CH48" s="171" t="n"/>
      <c r="CI48" s="171" t="n"/>
      <c r="CJ48" s="171" t="n"/>
      <c r="CK48" s="171" t="n"/>
      <c r="CL48" s="171" t="n"/>
    </row>
    <row r="49">
      <c r="A49" s="171" t="n"/>
      <c r="B49" s="171" t="n"/>
      <c r="C49" s="171" t="n"/>
      <c r="D49" s="171" t="n"/>
      <c r="E49" s="171" t="n"/>
      <c r="F49" s="171" t="n"/>
      <c r="G49" s="171" t="n"/>
      <c r="H49" s="171" t="n"/>
      <c r="I49" s="171" t="n"/>
      <c r="J49" s="171" t="n"/>
      <c r="K49" s="171" t="n"/>
      <c r="L49" s="171" t="n"/>
      <c r="M49" s="171" t="n"/>
      <c r="N49" s="171" t="n"/>
      <c r="O49" s="242" t="n"/>
      <c r="P49" s="243" t="n"/>
      <c r="Q49" s="243" t="n"/>
      <c r="R49" s="204" t="n"/>
      <c r="S49" s="205" t="n"/>
      <c r="T49" s="244" t="n"/>
      <c r="U49" s="204" t="n"/>
      <c r="V49" s="207" t="n"/>
      <c r="W49" s="245" t="n"/>
      <c r="X49" s="209" t="n"/>
      <c r="Y49" s="210" t="n"/>
      <c r="Z49" s="246" t="n"/>
      <c r="AA49" s="171" t="n"/>
      <c r="AB49" s="242" t="n"/>
      <c r="AC49" s="243" t="n"/>
      <c r="AD49" s="243" t="n"/>
      <c r="AE49" s="204" t="n"/>
      <c r="AF49" s="205" t="n"/>
      <c r="AG49" s="244" t="n"/>
      <c r="AH49" s="204" t="n"/>
      <c r="AI49" s="207" t="n"/>
      <c r="AJ49" s="245" t="n"/>
      <c r="AK49" s="209" t="n"/>
      <c r="AL49" s="210" t="n"/>
      <c r="AM49" s="246" t="n"/>
      <c r="AN49" s="171" t="n"/>
      <c r="AO49" s="242" t="n"/>
      <c r="AP49" s="243" t="inlineStr">
        <is>
          <t>글로벌차량광고</t>
        </is>
      </c>
      <c r="AQ49" s="243" t="n">
        <v>149</v>
      </c>
      <c r="AR49" s="204" t="inlineStr">
        <is>
          <t>가현리</t>
        </is>
      </c>
      <c r="AS49" s="205" t="n">
        <v>0.3958333333333333</v>
      </c>
      <c r="AT49" s="244" t="n">
        <v>231550</v>
      </c>
      <c r="AU49" s="204" t="n"/>
      <c r="AV49" s="207" t="n"/>
      <c r="AW49" s="245" t="n"/>
      <c r="AX49" s="209" t="n"/>
      <c r="AY49" s="210" t="n"/>
      <c r="AZ49" s="246" t="n"/>
      <c r="BA49" s="171" t="n"/>
      <c r="BB49" s="242" t="n"/>
      <c r="BC49" s="243" t="inlineStr">
        <is>
          <t>해바라기</t>
        </is>
      </c>
      <c r="BD49" s="243" t="n">
        <v>102</v>
      </c>
      <c r="BE49" s="204" t="inlineStr">
        <is>
          <t>대벽리</t>
        </is>
      </c>
      <c r="BF49" s="205" t="n">
        <v>0.3958333333333333</v>
      </c>
      <c r="BG49" s="244" t="n">
        <v>254543</v>
      </c>
      <c r="BH49" s="204" t="n"/>
      <c r="BI49" s="207" t="n"/>
      <c r="BJ49" s="245" t="n"/>
      <c r="BK49" s="209" t="n"/>
      <c r="BL49" s="210" t="n"/>
      <c r="BM49" s="246" t="n"/>
      <c r="BN49" s="171" t="n"/>
      <c r="BO49" s="171" t="n"/>
      <c r="BP49" s="171" t="n"/>
      <c r="BQ49" s="171" t="n"/>
      <c r="BR49" s="171" t="n"/>
      <c r="BS49" s="171" t="n"/>
      <c r="BT49" s="171" t="n"/>
      <c r="BU49" s="171" t="n"/>
      <c r="BV49" s="171" t="n"/>
      <c r="BW49" s="171" t="n"/>
      <c r="BX49" s="171" t="n"/>
      <c r="BY49" s="171" t="n"/>
      <c r="BZ49" s="171" t="n"/>
      <c r="CA49" s="171" t="n"/>
      <c r="CB49" s="171" t="n"/>
      <c r="CC49" s="171" t="n"/>
      <c r="CD49" s="171" t="n"/>
      <c r="CE49" s="171" t="n"/>
      <c r="CF49" s="171" t="n"/>
      <c r="CG49" s="171" t="n"/>
      <c r="CH49" s="171" t="n"/>
      <c r="CI49" s="171" t="n"/>
      <c r="CJ49" s="171" t="n"/>
      <c r="CK49" s="171" t="n"/>
      <c r="CL49" s="171" t="n"/>
    </row>
    <row r="50">
      <c r="A50" s="171" t="n"/>
      <c r="B50" s="171" t="n"/>
      <c r="C50" s="171" t="n"/>
      <c r="D50" s="171" t="n"/>
      <c r="E50" s="171" t="n"/>
      <c r="F50" s="171" t="n"/>
      <c r="G50" s="171" t="n"/>
      <c r="H50" s="171" t="n"/>
      <c r="I50" s="171" t="n"/>
      <c r="J50" s="171" t="n"/>
      <c r="K50" s="171" t="n"/>
      <c r="L50" s="171" t="n"/>
      <c r="M50" s="171" t="n"/>
      <c r="N50" s="171" t="n"/>
      <c r="O50" s="242" t="n"/>
      <c r="P50" s="243" t="n"/>
      <c r="Q50" s="243" t="n"/>
      <c r="R50" s="204" t="n"/>
      <c r="S50" s="205" t="n"/>
      <c r="T50" s="244" t="n"/>
      <c r="U50" s="204" t="n"/>
      <c r="V50" s="207" t="n"/>
      <c r="W50" s="245" t="n"/>
      <c r="X50" s="209" t="n"/>
      <c r="Y50" s="210" t="n"/>
      <c r="Z50" s="246" t="n"/>
      <c r="AA50" s="171" t="n"/>
      <c r="AB50" s="242" t="n"/>
      <c r="AC50" s="243" t="n"/>
      <c r="AD50" s="243" t="n"/>
      <c r="AE50" s="204" t="n"/>
      <c r="AF50" s="205" t="n"/>
      <c r="AG50" s="244" t="n"/>
      <c r="AH50" s="204" t="n"/>
      <c r="AI50" s="207" t="n"/>
      <c r="AJ50" s="245" t="n"/>
      <c r="AK50" s="209" t="n"/>
      <c r="AL50" s="210" t="n"/>
      <c r="AM50" s="246" t="n"/>
      <c r="AN50" s="171" t="n"/>
      <c r="AO50" s="242" t="n"/>
      <c r="AP50" s="243" t="n"/>
      <c r="AQ50" s="243" t="n"/>
      <c r="AR50" s="204" t="n"/>
      <c r="AS50" s="205" t="n"/>
      <c r="AT50" s="244" t="n"/>
      <c r="AU50" s="204" t="n"/>
      <c r="AV50" s="207" t="n"/>
      <c r="AW50" s="245" t="n"/>
      <c r="AX50" s="209" t="n"/>
      <c r="AY50" s="210" t="n"/>
      <c r="AZ50" s="246" t="n"/>
      <c r="BA50" s="171" t="n"/>
      <c r="BB50" s="242" t="n"/>
      <c r="BC50" s="243" t="n"/>
      <c r="BD50" s="243" t="n"/>
      <c r="BE50" s="204" t="n"/>
      <c r="BF50" s="205" t="n"/>
      <c r="BG50" s="244" t="n"/>
      <c r="BH50" s="204" t="n"/>
      <c r="BI50" s="207" t="n"/>
      <c r="BJ50" s="245" t="n"/>
      <c r="BK50" s="209" t="n"/>
      <c r="BL50" s="210" t="n"/>
      <c r="BM50" s="246" t="n"/>
      <c r="BN50" s="171" t="n"/>
      <c r="BO50" s="171" t="n"/>
      <c r="BP50" s="171" t="n"/>
      <c r="BQ50" s="171" t="n"/>
      <c r="BR50" s="171" t="n"/>
      <c r="BS50" s="171" t="n"/>
      <c r="BT50" s="171" t="n"/>
      <c r="BU50" s="171" t="n"/>
      <c r="BV50" s="171" t="n"/>
      <c r="BW50" s="171" t="n"/>
      <c r="BX50" s="171" t="n"/>
      <c r="BY50" s="171" t="n"/>
      <c r="BZ50" s="171" t="n"/>
      <c r="CA50" s="171" t="n"/>
      <c r="CB50" s="171" t="n"/>
      <c r="CC50" s="171" t="n"/>
      <c r="CD50" s="171" t="n"/>
      <c r="CE50" s="171" t="n"/>
      <c r="CF50" s="171" t="n"/>
      <c r="CG50" s="171" t="n"/>
      <c r="CH50" s="171" t="n"/>
      <c r="CI50" s="171" t="n"/>
      <c r="CJ50" s="171" t="n"/>
      <c r="CK50" s="171" t="n"/>
      <c r="CL50" s="171" t="n"/>
    </row>
    <row r="51">
      <c r="A51" s="171" t="n"/>
      <c r="B51" s="171" t="n"/>
      <c r="C51" s="171" t="n"/>
      <c r="D51" s="171" t="n"/>
      <c r="E51" s="171" t="n"/>
      <c r="F51" s="171" t="n"/>
      <c r="G51" s="171" t="n"/>
      <c r="H51" s="171" t="n"/>
      <c r="I51" s="171" t="n"/>
      <c r="J51" s="171" t="n"/>
      <c r="K51" s="171" t="n"/>
      <c r="L51" s="171" t="n"/>
      <c r="M51" s="171" t="n"/>
      <c r="N51" s="171" t="n"/>
      <c r="O51" s="242" t="n"/>
      <c r="P51" s="243" t="n"/>
      <c r="Q51" s="243" t="n"/>
      <c r="R51" s="204" t="n"/>
      <c r="S51" s="205" t="n"/>
      <c r="T51" s="244" t="n"/>
      <c r="U51" s="204" t="n"/>
      <c r="V51" s="207" t="n"/>
      <c r="W51" s="245" t="n"/>
      <c r="X51" s="209" t="n"/>
      <c r="Y51" s="210" t="n"/>
      <c r="Z51" s="246" t="n"/>
      <c r="AA51" s="171" t="n"/>
      <c r="AB51" s="242" t="n"/>
      <c r="AC51" s="243" t="n"/>
      <c r="AD51" s="243" t="n"/>
      <c r="AE51" s="204" t="n"/>
      <c r="AF51" s="205" t="n"/>
      <c r="AG51" s="244" t="n"/>
      <c r="AH51" s="204" t="n"/>
      <c r="AI51" s="207" t="n"/>
      <c r="AJ51" s="245" t="n"/>
      <c r="AK51" s="209" t="n"/>
      <c r="AL51" s="210" t="n"/>
      <c r="AM51" s="246" t="n"/>
      <c r="AN51" s="171" t="n"/>
      <c r="AO51" s="242" t="n"/>
      <c r="AP51" s="243" t="n"/>
      <c r="AQ51" s="243" t="n"/>
      <c r="AR51" s="204" t="n"/>
      <c r="AS51" s="205" t="n"/>
      <c r="AT51" s="244" t="n"/>
      <c r="AU51" s="204" t="n"/>
      <c r="AV51" s="207" t="n"/>
      <c r="AW51" s="245" t="n"/>
      <c r="AX51" s="209" t="n"/>
      <c r="AY51" s="210" t="n"/>
      <c r="AZ51" s="246" t="n"/>
      <c r="BA51" s="171" t="n"/>
      <c r="BB51" s="242" t="n"/>
      <c r="BC51" s="243" t="n"/>
      <c r="BD51" s="243" t="n"/>
      <c r="BE51" s="204" t="n"/>
      <c r="BF51" s="205" t="n"/>
      <c r="BG51" s="244" t="n"/>
      <c r="BH51" s="204" t="n"/>
      <c r="BI51" s="207" t="n"/>
      <c r="BJ51" s="245" t="n"/>
      <c r="BK51" s="209" t="n"/>
      <c r="BL51" s="210" t="n"/>
      <c r="BM51" s="246" t="n"/>
      <c r="BN51" s="171" t="n"/>
      <c r="BO51" s="171" t="n"/>
      <c r="BP51" s="171" t="n"/>
      <c r="BQ51" s="171" t="n"/>
      <c r="BR51" s="171" t="n"/>
      <c r="BS51" s="171" t="n"/>
      <c r="BT51" s="171" t="n"/>
      <c r="BU51" s="171" t="n"/>
      <c r="BV51" s="171" t="n"/>
      <c r="BW51" s="171" t="n"/>
      <c r="BX51" s="171" t="n"/>
      <c r="BY51" s="171" t="n"/>
      <c r="BZ51" s="171" t="n"/>
      <c r="CA51" s="171" t="n"/>
      <c r="CB51" s="171" t="n"/>
      <c r="CC51" s="171" t="n"/>
      <c r="CD51" s="171" t="n"/>
      <c r="CE51" s="171" t="n"/>
      <c r="CF51" s="171" t="n"/>
      <c r="CG51" s="171" t="n"/>
      <c r="CH51" s="171" t="n"/>
      <c r="CI51" s="171" t="n"/>
      <c r="CJ51" s="171" t="n"/>
      <c r="CK51" s="171" t="n"/>
      <c r="CL51" s="171" t="n"/>
    </row>
    <row r="52" ht="18" customHeight="1" s="22" thickBot="1">
      <c r="A52" s="171" t="n"/>
      <c r="B52" s="171" t="n"/>
      <c r="C52" s="171" t="n"/>
      <c r="D52" s="171" t="n"/>
      <c r="E52" s="171" t="n"/>
      <c r="F52" s="171" t="n"/>
      <c r="G52" s="171" t="n"/>
      <c r="H52" s="171" t="n"/>
      <c r="I52" s="171" t="n"/>
      <c r="J52" s="171" t="n"/>
      <c r="K52" s="171" t="n"/>
      <c r="L52" s="171" t="n"/>
      <c r="M52" s="171" t="n"/>
      <c r="N52" s="171" t="n"/>
      <c r="O52" s="252" t="inlineStr">
        <is>
          <t>비고</t>
        </is>
      </c>
      <c r="P52" s="253" t="n"/>
      <c r="Q52" s="253" t="n"/>
      <c r="R52" s="253" t="n"/>
      <c r="S52" s="253" t="n"/>
      <c r="T52" s="253" t="n"/>
      <c r="U52" s="253" t="n"/>
      <c r="V52" s="254" t="n"/>
      <c r="W52" s="253" t="n"/>
      <c r="X52" s="253" t="n"/>
      <c r="Y52" s="253" t="n"/>
      <c r="Z52" s="255" t="n"/>
      <c r="AA52" s="171" t="n"/>
      <c r="AB52" s="252" t="inlineStr">
        <is>
          <t>비고</t>
        </is>
      </c>
      <c r="AC52" s="253" t="n"/>
      <c r="AD52" s="253" t="n"/>
      <c r="AE52" s="253" t="n"/>
      <c r="AF52" s="253" t="n"/>
      <c r="AG52" s="253" t="n"/>
      <c r="AH52" s="253" t="n"/>
      <c r="AI52" s="254" t="n"/>
      <c r="AJ52" s="253" t="n"/>
      <c r="AK52" s="253" t="n"/>
      <c r="AL52" s="253" t="n"/>
      <c r="AM52" s="255" t="n"/>
      <c r="AN52" s="171" t="n"/>
      <c r="AO52" s="252" t="inlineStr">
        <is>
          <t>비고</t>
        </is>
      </c>
      <c r="AP52" s="253" t="n"/>
      <c r="AQ52" s="253" t="n"/>
      <c r="AR52" s="253" t="n"/>
      <c r="AS52" s="253" t="n"/>
      <c r="AT52" s="253" t="n"/>
      <c r="AU52" s="253" t="n"/>
      <c r="AV52" s="254" t="n"/>
      <c r="AW52" s="253" t="n"/>
      <c r="AX52" s="253" t="n"/>
      <c r="AY52" s="253" t="n"/>
      <c r="AZ52" s="255" t="n"/>
      <c r="BA52" s="171" t="n"/>
      <c r="BB52" s="252" t="inlineStr">
        <is>
          <t>비고</t>
        </is>
      </c>
      <c r="BC52" s="253" t="n"/>
      <c r="BD52" s="253" t="n"/>
      <c r="BE52" s="253" t="n"/>
      <c r="BF52" s="253" t="n"/>
      <c r="BG52" s="253" t="n"/>
      <c r="BH52" s="253" t="n"/>
      <c r="BI52" s="254" t="n"/>
      <c r="BJ52" s="253" t="n"/>
      <c r="BK52" s="253" t="n"/>
      <c r="BL52" s="253" t="n"/>
      <c r="BM52" s="255" t="n"/>
      <c r="BN52" s="171" t="n"/>
      <c r="BO52" s="171" t="n"/>
      <c r="BP52" s="171" t="n"/>
      <c r="BQ52" s="171" t="n"/>
      <c r="BR52" s="171" t="n"/>
      <c r="BS52" s="171" t="n"/>
      <c r="BT52" s="171" t="n"/>
      <c r="BU52" s="171" t="n"/>
      <c r="BV52" s="171" t="n"/>
      <c r="BW52" s="171" t="n"/>
      <c r="BX52" s="171" t="n"/>
      <c r="BY52" s="171" t="n"/>
      <c r="BZ52" s="171" t="n"/>
      <c r="CA52" s="171" t="n"/>
      <c r="CB52" s="171" t="n"/>
      <c r="CC52" s="171" t="n"/>
      <c r="CD52" s="171" t="n"/>
      <c r="CE52" s="171" t="n"/>
      <c r="CF52" s="171" t="n"/>
      <c r="CG52" s="171" t="n"/>
      <c r="CH52" s="171" t="n"/>
      <c r="CI52" s="171" t="n"/>
      <c r="CJ52" s="171" t="n"/>
      <c r="CK52" s="171" t="n"/>
      <c r="CL52" s="171" t="n"/>
    </row>
    <row r="53" ht="19.8" customHeight="1" s="22" thickBot="1">
      <c r="A53" s="171" t="n"/>
      <c r="B53" s="171" t="n"/>
      <c r="C53" s="171" t="n"/>
      <c r="D53" s="171" t="n"/>
      <c r="E53" s="171" t="n"/>
      <c r="F53" s="171" t="n"/>
      <c r="G53" s="171" t="n"/>
      <c r="H53" s="171" t="n"/>
      <c r="I53" s="171" t="n"/>
      <c r="J53" s="171" t="n"/>
      <c r="K53" s="171" t="n"/>
      <c r="L53" s="171" t="n"/>
      <c r="M53" s="171" t="n"/>
      <c r="N53" s="171" t="n"/>
      <c r="O53" s="232" t="n">
        <v>46302</v>
      </c>
      <c r="Q53" s="171" t="n"/>
      <c r="R53" s="171" t="n"/>
      <c r="S53" s="171" t="n"/>
      <c r="T53" s="171" t="n"/>
      <c r="U53" s="171" t="n"/>
      <c r="V53" s="171" t="n"/>
      <c r="W53" s="171" t="n"/>
      <c r="X53" s="171" t="n"/>
      <c r="Y53" s="171" t="n"/>
      <c r="Z53" s="233" t="inlineStr">
        <is>
          <t>(수)</t>
        </is>
      </c>
      <c r="AA53" s="171" t="n"/>
      <c r="AB53" s="232" t="n">
        <v>46309</v>
      </c>
      <c r="AD53" s="171" t="n"/>
      <c r="AE53" s="171" t="n"/>
      <c r="AF53" s="171" t="n"/>
      <c r="AG53" s="171" t="n"/>
      <c r="AH53" s="171" t="n"/>
      <c r="AI53" s="171" t="n"/>
      <c r="AJ53" s="171" t="n"/>
      <c r="AK53" s="171" t="n"/>
      <c r="AL53" s="171" t="n"/>
      <c r="AM53" s="233" t="inlineStr">
        <is>
          <t>(수)</t>
        </is>
      </c>
      <c r="AN53" s="171" t="n"/>
      <c r="AO53" s="232" t="n">
        <v>46316</v>
      </c>
      <c r="AQ53" s="171" t="n"/>
      <c r="AR53" s="171" t="n"/>
      <c r="AS53" s="171" t="n"/>
      <c r="AT53" s="171" t="n"/>
      <c r="AU53" s="171" t="n"/>
      <c r="AV53" s="171" t="n"/>
      <c r="AW53" s="171" t="n"/>
      <c r="AX53" s="171" t="n"/>
      <c r="AY53" s="171" t="n"/>
      <c r="AZ53" s="233" t="inlineStr">
        <is>
          <t>(수)</t>
        </is>
      </c>
      <c r="BA53" s="171" t="n"/>
      <c r="BB53" s="232" t="n">
        <v>46323</v>
      </c>
      <c r="BD53" s="171" t="n"/>
      <c r="BE53" s="171" t="n"/>
      <c r="BF53" s="171" t="n"/>
      <c r="BG53" s="171" t="n"/>
      <c r="BH53" s="171" t="n"/>
      <c r="BI53" s="171" t="n"/>
      <c r="BJ53" s="171" t="n"/>
      <c r="BK53" s="171" t="n"/>
      <c r="BL53" s="171" t="n"/>
      <c r="BM53" s="233" t="inlineStr">
        <is>
          <t>(수)</t>
        </is>
      </c>
      <c r="BN53" s="171" t="n"/>
      <c r="BO53" s="171" t="n"/>
      <c r="BP53" s="171" t="n"/>
      <c r="BQ53" s="171" t="n"/>
      <c r="BR53" s="171" t="n"/>
      <c r="BS53" s="171" t="n"/>
      <c r="BT53" s="171" t="n"/>
      <c r="BU53" s="171" t="n"/>
      <c r="BV53" s="171" t="n"/>
      <c r="BW53" s="171" t="n"/>
      <c r="BX53" s="171" t="n"/>
      <c r="BY53" s="171" t="n"/>
      <c r="BZ53" s="171" t="n"/>
      <c r="CA53" s="171" t="n"/>
      <c r="CB53" s="171" t="n"/>
      <c r="CC53" s="171" t="n"/>
      <c r="CD53" s="171" t="n"/>
      <c r="CE53" s="171" t="n"/>
      <c r="CF53" s="171" t="n"/>
      <c r="CG53" s="171" t="n"/>
      <c r="CH53" s="171" t="n"/>
      <c r="CI53" s="171" t="n"/>
      <c r="CJ53" s="171" t="n"/>
      <c r="CK53" s="171" t="n"/>
      <c r="CL53" s="171" t="n"/>
    </row>
    <row r="54">
      <c r="A54" s="171" t="n"/>
      <c r="B54" s="171" t="n"/>
      <c r="C54" s="171" t="n"/>
      <c r="D54" s="171" t="n"/>
      <c r="E54" s="171" t="n"/>
      <c r="F54" s="171" t="n"/>
      <c r="G54" s="171" t="n"/>
      <c r="H54" s="171" t="n"/>
      <c r="I54" s="171" t="n"/>
      <c r="J54" s="171" t="n"/>
      <c r="K54" s="171" t="n"/>
      <c r="L54" s="171" t="n"/>
      <c r="M54" s="171" t="n"/>
      <c r="N54" s="171" t="n"/>
      <c r="O54" s="234" t="inlineStr">
        <is>
          <t>정기검사</t>
        </is>
      </c>
      <c r="P54" s="235" t="n"/>
      <c r="Q54" s="235" t="n"/>
      <c r="R54" s="235" t="n"/>
      <c r="S54" s="235" t="n"/>
      <c r="T54" s="235" t="n"/>
      <c r="U54" s="235" t="n"/>
      <c r="V54" s="236" t="inlineStr">
        <is>
          <t>사용전검사</t>
        </is>
      </c>
      <c r="W54" s="237" t="n"/>
      <c r="X54" s="237" t="n"/>
      <c r="Y54" s="237" t="n"/>
      <c r="Z54" s="238" t="n"/>
      <c r="AA54" s="171" t="n"/>
      <c r="AB54" s="234" t="inlineStr">
        <is>
          <t>정기검사</t>
        </is>
      </c>
      <c r="AC54" s="235" t="n"/>
      <c r="AD54" s="235" t="n"/>
      <c r="AE54" s="235" t="n"/>
      <c r="AF54" s="235" t="n"/>
      <c r="AG54" s="235" t="n"/>
      <c r="AH54" s="235" t="n"/>
      <c r="AI54" s="236" t="inlineStr">
        <is>
          <t>사용전검사</t>
        </is>
      </c>
      <c r="AJ54" s="237" t="n"/>
      <c r="AK54" s="237" t="n"/>
      <c r="AL54" s="237" t="n"/>
      <c r="AM54" s="238" t="n"/>
      <c r="AN54" s="171" t="n"/>
      <c r="AO54" s="234" t="inlineStr">
        <is>
          <t>정기검사</t>
        </is>
      </c>
      <c r="AP54" s="235" t="n"/>
      <c r="AQ54" s="235" t="n"/>
      <c r="AR54" s="235" t="n"/>
      <c r="AS54" s="235" t="n"/>
      <c r="AT54" s="235" t="n"/>
      <c r="AU54" s="235" t="n"/>
      <c r="AV54" s="236" t="inlineStr">
        <is>
          <t>사용전검사</t>
        </is>
      </c>
      <c r="AW54" s="237" t="n"/>
      <c r="AX54" s="237" t="n"/>
      <c r="AY54" s="237" t="n"/>
      <c r="AZ54" s="238" t="n"/>
      <c r="BA54" s="171" t="n"/>
      <c r="BB54" s="234" t="inlineStr">
        <is>
          <t>정기검사</t>
        </is>
      </c>
      <c r="BC54" s="235" t="n"/>
      <c r="BD54" s="235" t="n"/>
      <c r="BE54" s="235" t="n"/>
      <c r="BF54" s="235" t="n"/>
      <c r="BG54" s="235" t="n"/>
      <c r="BH54" s="235" t="n"/>
      <c r="BI54" s="236" t="inlineStr">
        <is>
          <t>사용전검사</t>
        </is>
      </c>
      <c r="BJ54" s="237" t="n"/>
      <c r="BK54" s="237" t="n"/>
      <c r="BL54" s="237" t="n"/>
      <c r="BM54" s="238" t="n"/>
      <c r="BN54" s="171" t="n"/>
      <c r="BO54" s="171" t="n"/>
      <c r="BP54" s="171" t="n"/>
      <c r="BQ54" s="171" t="n"/>
      <c r="BR54" s="171" t="n"/>
      <c r="BS54" s="171" t="n"/>
      <c r="BT54" s="171" t="n"/>
      <c r="BU54" s="171" t="n"/>
      <c r="BV54" s="171" t="n"/>
      <c r="BW54" s="171" t="n"/>
      <c r="BX54" s="171" t="n"/>
      <c r="BY54" s="171" t="n"/>
      <c r="BZ54" s="171" t="n"/>
      <c r="CA54" s="171" t="n"/>
      <c r="CB54" s="171" t="n"/>
      <c r="CC54" s="171" t="n"/>
      <c r="CD54" s="171" t="n"/>
      <c r="CE54" s="171" t="n"/>
      <c r="CF54" s="171" t="n"/>
      <c r="CG54" s="171" t="n"/>
      <c r="CH54" s="171" t="n"/>
      <c r="CI54" s="171" t="n"/>
      <c r="CJ54" s="171" t="n"/>
      <c r="CK54" s="171" t="n"/>
      <c r="CL54" s="171" t="n"/>
    </row>
    <row r="55">
      <c r="A55" s="171" t="n"/>
      <c r="B55" s="171" t="n"/>
      <c r="C55" s="171" t="n"/>
      <c r="D55" s="171" t="n"/>
      <c r="E55" s="171" t="n"/>
      <c r="F55" s="171" t="n"/>
      <c r="G55" s="171" t="n"/>
      <c r="H55" s="171" t="n"/>
      <c r="I55" s="171" t="n"/>
      <c r="J55" s="171" t="n"/>
      <c r="K55" s="171" t="n"/>
      <c r="L55" s="171" t="n"/>
      <c r="M55" s="171" t="n"/>
      <c r="N55" s="171" t="n"/>
      <c r="O55" s="239" t="inlineStr">
        <is>
          <t>구분</t>
        </is>
      </c>
      <c r="P55" s="240" t="inlineStr">
        <is>
          <t>상호</t>
        </is>
      </c>
      <c r="Q55" s="240" t="inlineStr">
        <is>
          <t>용량</t>
        </is>
      </c>
      <c r="R55" s="240" t="inlineStr">
        <is>
          <t>지역</t>
        </is>
      </c>
      <c r="S55" s="240" t="inlineStr">
        <is>
          <t>시간</t>
        </is>
      </c>
      <c r="T55" s="240" t="inlineStr">
        <is>
          <t>수수료</t>
        </is>
      </c>
      <c r="U55" s="240" t="inlineStr">
        <is>
          <t>검사자</t>
        </is>
      </c>
      <c r="V55" s="239" t="inlineStr">
        <is>
          <t>상호</t>
        </is>
      </c>
      <c r="W55" s="240" t="inlineStr">
        <is>
          <t>용량</t>
        </is>
      </c>
      <c r="X55" s="240" t="inlineStr">
        <is>
          <t>지역</t>
        </is>
      </c>
      <c r="Y55" s="240" t="inlineStr">
        <is>
          <t>시간</t>
        </is>
      </c>
      <c r="Z55" s="241" t="inlineStr">
        <is>
          <t>검사자</t>
        </is>
      </c>
      <c r="AA55" s="171" t="n"/>
      <c r="AB55" s="239" t="inlineStr">
        <is>
          <t>구분</t>
        </is>
      </c>
      <c r="AC55" s="240" t="inlineStr">
        <is>
          <t>상호</t>
        </is>
      </c>
      <c r="AD55" s="240" t="inlineStr">
        <is>
          <t>용량</t>
        </is>
      </c>
      <c r="AE55" s="240" t="inlineStr">
        <is>
          <t>지역</t>
        </is>
      </c>
      <c r="AF55" s="240" t="inlineStr">
        <is>
          <t>시간</t>
        </is>
      </c>
      <c r="AG55" s="240" t="inlineStr">
        <is>
          <t>수수료</t>
        </is>
      </c>
      <c r="AH55" s="240" t="inlineStr">
        <is>
          <t>검사자</t>
        </is>
      </c>
      <c r="AI55" s="239" t="inlineStr">
        <is>
          <t>상호</t>
        </is>
      </c>
      <c r="AJ55" s="240" t="inlineStr">
        <is>
          <t>용량</t>
        </is>
      </c>
      <c r="AK55" s="240" t="inlineStr">
        <is>
          <t>지역</t>
        </is>
      </c>
      <c r="AL55" s="240" t="inlineStr">
        <is>
          <t>시간</t>
        </is>
      </c>
      <c r="AM55" s="241" t="inlineStr">
        <is>
          <t>검사자</t>
        </is>
      </c>
      <c r="AN55" s="171" t="n"/>
      <c r="AO55" s="239" t="inlineStr">
        <is>
          <t>구분</t>
        </is>
      </c>
      <c r="AP55" s="240" t="inlineStr">
        <is>
          <t>상호</t>
        </is>
      </c>
      <c r="AQ55" s="240" t="inlineStr">
        <is>
          <t>용량</t>
        </is>
      </c>
      <c r="AR55" s="240" t="inlineStr">
        <is>
          <t>지역</t>
        </is>
      </c>
      <c r="AS55" s="240" t="inlineStr">
        <is>
          <t>시간</t>
        </is>
      </c>
      <c r="AT55" s="240" t="inlineStr">
        <is>
          <t>수수료</t>
        </is>
      </c>
      <c r="AU55" s="240" t="inlineStr">
        <is>
          <t>검사자</t>
        </is>
      </c>
      <c r="AV55" s="239" t="inlineStr">
        <is>
          <t>상호</t>
        </is>
      </c>
      <c r="AW55" s="240" t="inlineStr">
        <is>
          <t>용량</t>
        </is>
      </c>
      <c r="AX55" s="240" t="inlineStr">
        <is>
          <t>지역</t>
        </is>
      </c>
      <c r="AY55" s="240" t="inlineStr">
        <is>
          <t>시간</t>
        </is>
      </c>
      <c r="AZ55" s="241" t="inlineStr">
        <is>
          <t>검사자</t>
        </is>
      </c>
      <c r="BA55" s="171" t="n"/>
      <c r="BB55" s="239" t="inlineStr">
        <is>
          <t>구분</t>
        </is>
      </c>
      <c r="BC55" s="240" t="inlineStr">
        <is>
          <t>상호</t>
        </is>
      </c>
      <c r="BD55" s="240" t="inlineStr">
        <is>
          <t>용량</t>
        </is>
      </c>
      <c r="BE55" s="240" t="inlineStr">
        <is>
          <t>지역</t>
        </is>
      </c>
      <c r="BF55" s="240" t="inlineStr">
        <is>
          <t>시간</t>
        </is>
      </c>
      <c r="BG55" s="240" t="inlineStr">
        <is>
          <t>수수료</t>
        </is>
      </c>
      <c r="BH55" s="240" t="inlineStr">
        <is>
          <t>검사자</t>
        </is>
      </c>
      <c r="BI55" s="239" t="inlineStr">
        <is>
          <t>상호</t>
        </is>
      </c>
      <c r="BJ55" s="240" t="inlineStr">
        <is>
          <t>용량</t>
        </is>
      </c>
      <c r="BK55" s="240" t="inlineStr">
        <is>
          <t>지역</t>
        </is>
      </c>
      <c r="BL55" s="240" t="inlineStr">
        <is>
          <t>시간</t>
        </is>
      </c>
      <c r="BM55" s="241" t="inlineStr">
        <is>
          <t>검사자</t>
        </is>
      </c>
      <c r="BN55" s="171" t="n"/>
      <c r="BO55" s="171" t="n"/>
      <c r="BP55" s="171" t="n"/>
      <c r="BQ55" s="171" t="n"/>
      <c r="BR55" s="171" t="n"/>
      <c r="BS55" s="171" t="n"/>
      <c r="BT55" s="171" t="n"/>
      <c r="BU55" s="171" t="n"/>
      <c r="BV55" s="171" t="n"/>
      <c r="BW55" s="171" t="n"/>
      <c r="BX55" s="171" t="n"/>
      <c r="BY55" s="171" t="n"/>
      <c r="BZ55" s="171" t="n"/>
      <c r="CA55" s="171" t="n"/>
      <c r="CB55" s="171" t="n"/>
      <c r="CC55" s="171" t="n"/>
      <c r="CD55" s="171" t="n"/>
      <c r="CE55" s="171" t="n"/>
      <c r="CF55" s="171" t="n"/>
      <c r="CG55" s="171" t="n"/>
      <c r="CH55" s="171" t="n"/>
      <c r="CI55" s="171" t="n"/>
      <c r="CJ55" s="171" t="n"/>
      <c r="CK55" s="171" t="n"/>
      <c r="CL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242" t="inlineStr">
        <is>
          <t>부천지역</t>
        </is>
      </c>
      <c r="P56" s="243" t="inlineStr">
        <is>
          <t>호텔에스알</t>
        </is>
      </c>
      <c r="Q56" s="243" t="n">
        <v>400</v>
      </c>
      <c r="R56" s="204" t="inlineStr">
        <is>
          <t>원미동</t>
        </is>
      </c>
      <c r="S56" s="205" t="n">
        <v>0.5416666666666666</v>
      </c>
      <c r="T56" s="244" t="n">
        <v>703120</v>
      </c>
      <c r="U56" s="204" t="inlineStr">
        <is>
          <t>허록종</t>
        </is>
      </c>
      <c r="V56" s="207" t="inlineStr">
        <is>
          <t>극동건설</t>
        </is>
      </c>
      <c r="W56" s="245" t="n">
        <v>500</v>
      </c>
      <c r="X56" s="209" t="inlineStr">
        <is>
          <t>원종동</t>
        </is>
      </c>
      <c r="Y56" s="210" t="n"/>
      <c r="Z56" s="246" t="inlineStr">
        <is>
          <t>허창수</t>
        </is>
      </c>
      <c r="AA56" s="171" t="n"/>
      <c r="AB56" s="242" t="inlineStr">
        <is>
          <t>부천지역</t>
        </is>
      </c>
      <c r="AC56" s="243" t="inlineStr">
        <is>
          <t>제이케이세어링</t>
        </is>
      </c>
      <c r="AD56" s="243" t="inlineStr">
        <is>
          <t>600/270</t>
        </is>
      </c>
      <c r="AE56" s="204" t="inlineStr">
        <is>
          <t>상동</t>
        </is>
      </c>
      <c r="AF56" s="205" t="n">
        <v>0.4791666666666667</v>
      </c>
      <c r="AG56" s="244" t="n">
        <v>987360</v>
      </c>
      <c r="AH56" s="204" t="inlineStr">
        <is>
          <t>민재홍</t>
        </is>
      </c>
      <c r="AI56" s="207" t="inlineStr">
        <is>
          <t>이덕기휴가</t>
        </is>
      </c>
      <c r="AJ56" s="245" t="inlineStr">
        <is>
          <t>허창수-당효진</t>
        </is>
      </c>
      <c r="AK56" s="209" t="n"/>
      <c r="AL56" s="210" t="n"/>
      <c r="AM56" s="246" t="n"/>
      <c r="AN56" s="171" t="n"/>
      <c r="AO56" s="242" t="inlineStr">
        <is>
          <t>부천지역</t>
        </is>
      </c>
      <c r="AP56" s="243" t="inlineStr">
        <is>
          <t>팰리스카운티</t>
        </is>
      </c>
      <c r="AQ56" s="243" t="inlineStr">
        <is>
          <t>2250/727</t>
        </is>
      </c>
      <c r="AR56" s="204" t="inlineStr">
        <is>
          <t>중동</t>
        </is>
      </c>
      <c r="AS56" s="205" t="n">
        <v>0.4166666666666667</v>
      </c>
      <c r="AT56" s="244" t="n">
        <v>1398870</v>
      </c>
      <c r="AU56" s="204" t="n"/>
      <c r="AV56" s="207" t="inlineStr">
        <is>
          <t>변종국교육</t>
        </is>
      </c>
      <c r="AW56" s="245" t="n"/>
      <c r="AX56" s="209" t="n"/>
      <c r="AY56" s="210" t="n"/>
      <c r="AZ56" s="246" t="n"/>
      <c r="BA56" s="171" t="n"/>
      <c r="BB56" s="242" t="inlineStr">
        <is>
          <t>부천지역</t>
        </is>
      </c>
      <c r="BC56" s="243" t="inlineStr">
        <is>
          <t>신오개발</t>
        </is>
      </c>
      <c r="BD56" s="243" t="n">
        <v>300</v>
      </c>
      <c r="BE56" s="204" t="inlineStr">
        <is>
          <t>오정동</t>
        </is>
      </c>
      <c r="BF56" s="205" t="n">
        <v>0.3958333333333333</v>
      </c>
      <c r="BG56" s="244" t="n">
        <v>521730</v>
      </c>
      <c r="BH56" s="204" t="n"/>
      <c r="BI56" s="207" t="inlineStr">
        <is>
          <t>김영권휴가</t>
        </is>
      </c>
      <c r="BJ56" s="245" t="n"/>
      <c r="BK56" s="209" t="n"/>
      <c r="BL56" s="210" t="n"/>
      <c r="BM56" s="246" t="n"/>
      <c r="BN56" s="171" t="n"/>
      <c r="BO56" s="171" t="n"/>
      <c r="BP56" s="171" t="n"/>
      <c r="BQ56" s="171" t="n"/>
      <c r="BR56" s="171" t="n"/>
      <c r="BS56" s="171" t="n"/>
      <c r="BT56" s="171" t="n"/>
      <c r="BU56" s="171" t="n"/>
      <c r="BV56" s="171" t="n"/>
      <c r="BW56" s="171" t="n"/>
      <c r="BX56" s="171" t="n"/>
      <c r="BY56" s="171" t="n"/>
      <c r="BZ56" s="171" t="n"/>
      <c r="CA56" s="171" t="n"/>
      <c r="CB56" s="171" t="n"/>
      <c r="CC56" s="171" t="n"/>
      <c r="CD56" s="171" t="n"/>
      <c r="CE56" s="171" t="n"/>
      <c r="CF56" s="171" t="n"/>
      <c r="CG56" s="171" t="n"/>
      <c r="CH56" s="171" t="n"/>
      <c r="CI56" s="171" t="n"/>
      <c r="CJ56" s="171" t="n"/>
      <c r="CK56" s="171" t="n"/>
      <c r="CL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242" t="n"/>
      <c r="P57" s="243" t="inlineStr">
        <is>
          <t>웰빙신선부천</t>
        </is>
      </c>
      <c r="Q57" s="243" t="n">
        <v>200</v>
      </c>
      <c r="R57" s="204" t="inlineStr">
        <is>
          <t>고강동</t>
        </is>
      </c>
      <c r="S57" s="205" t="n">
        <v>0.2916666666666667</v>
      </c>
      <c r="T57" s="244" t="n">
        <v>593670</v>
      </c>
      <c r="U57" s="204" t="inlineStr">
        <is>
          <t>허록종</t>
        </is>
      </c>
      <c r="V57" s="207" t="inlineStr">
        <is>
          <t>일신건영</t>
        </is>
      </c>
      <c r="W57" s="245" t="inlineStr">
        <is>
          <t>1200/455</t>
        </is>
      </c>
      <c r="X57" s="209" t="inlineStr">
        <is>
          <t>원종동</t>
        </is>
      </c>
      <c r="Y57" s="210" t="n"/>
      <c r="Z57" s="246" t="inlineStr">
        <is>
          <t>한태희</t>
        </is>
      </c>
      <c r="AA57" s="171" t="n"/>
      <c r="AB57" s="242" t="n"/>
      <c r="AC57" s="243" t="inlineStr">
        <is>
          <t>오정본병원</t>
        </is>
      </c>
      <c r="AD57" s="243" t="n">
        <v>700</v>
      </c>
      <c r="AE57" s="204" t="inlineStr">
        <is>
          <t>원종동</t>
        </is>
      </c>
      <c r="AF57" s="205" t="n">
        <v>0.5833333333333334</v>
      </c>
      <c r="AG57" s="244" t="n">
        <v>963270</v>
      </c>
      <c r="AH57" s="204" t="inlineStr">
        <is>
          <t>정신배</t>
        </is>
      </c>
      <c r="AI57" s="207" t="n"/>
      <c r="AJ57" s="245" t="n"/>
      <c r="AK57" s="209" t="n"/>
      <c r="AL57" s="210" t="n"/>
      <c r="AM57" s="246" t="n"/>
      <c r="AN57" s="171" t="n"/>
      <c r="AO57" s="242" t="n"/>
      <c r="AP57" s="243" t="inlineStr">
        <is>
          <t>대희정밀</t>
        </is>
      </c>
      <c r="AQ57" s="243" t="n">
        <v>250</v>
      </c>
      <c r="AR57" s="204" t="inlineStr">
        <is>
          <t>도당동</t>
        </is>
      </c>
      <c r="AS57" s="205" t="n">
        <v>0.6458333333333334</v>
      </c>
      <c r="AT57" s="244" t="n">
        <v>489170</v>
      </c>
      <c r="AU57" s="204" t="n"/>
      <c r="AV57" s="207" t="n"/>
      <c r="AW57" s="245" t="n"/>
      <c r="AX57" s="209" t="n"/>
      <c r="AY57" s="210" t="n"/>
      <c r="AZ57" s="246" t="n"/>
      <c r="BA57" s="171" t="n"/>
      <c r="BB57" s="242" t="n"/>
      <c r="BC57" s="243" t="inlineStr">
        <is>
          <t>송내자이아파트</t>
        </is>
      </c>
      <c r="BD57" s="243" t="inlineStr">
        <is>
          <t>2200/509</t>
        </is>
      </c>
      <c r="BE57" s="204" t="inlineStr">
        <is>
          <t>송내동</t>
        </is>
      </c>
      <c r="BF57" s="205" t="n">
        <v>0.4166666666666667</v>
      </c>
      <c r="BG57" s="244" t="n">
        <v>1350800</v>
      </c>
      <c r="BH57" s="204" t="n"/>
      <c r="BI57" s="207" t="inlineStr">
        <is>
          <t>한태희휴가</t>
        </is>
      </c>
      <c r="BJ57" s="245" t="n"/>
      <c r="BK57" s="209" t="n"/>
      <c r="BL57" s="210" t="n"/>
      <c r="BM57" s="246" t="n"/>
      <c r="BN57" s="171" t="n"/>
      <c r="BO57" s="171" t="n"/>
      <c r="BP57" s="171" t="n"/>
      <c r="BQ57" s="171" t="n"/>
      <c r="BR57" s="171" t="n"/>
      <c r="BS57" s="171" t="n"/>
      <c r="BT57" s="171" t="n"/>
      <c r="BU57" s="171" t="n"/>
      <c r="BV57" s="171" t="n"/>
      <c r="BW57" s="171" t="n"/>
      <c r="BX57" s="171" t="n"/>
      <c r="BY57" s="171" t="n"/>
      <c r="BZ57" s="171" t="n"/>
      <c r="CA57" s="171" t="n"/>
      <c r="CB57" s="171" t="n"/>
      <c r="CC57" s="171" t="n"/>
      <c r="CD57" s="171" t="n"/>
      <c r="CE57" s="171" t="n"/>
      <c r="CF57" s="171" t="n"/>
      <c r="CG57" s="171" t="n"/>
      <c r="CH57" s="171" t="n"/>
      <c r="CI57" s="171" t="n"/>
      <c r="CJ57" s="171" t="n"/>
      <c r="CK57" s="171" t="n"/>
      <c r="CL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242" t="n"/>
      <c r="P58" s="243" t="inlineStr">
        <is>
          <t>가나에너지</t>
        </is>
      </c>
      <c r="Q58" s="243" t="n">
        <v>300</v>
      </c>
      <c r="R58" s="204" t="inlineStr">
        <is>
          <t>도당동</t>
        </is>
      </c>
      <c r="S58" s="205" t="n">
        <v>0.5277777777777778</v>
      </c>
      <c r="T58" s="244" t="n">
        <v>521730</v>
      </c>
      <c r="U58" s="204" t="inlineStr">
        <is>
          <t>송낙명</t>
        </is>
      </c>
      <c r="V58" s="207" t="inlineStr">
        <is>
          <t>하나종합건설</t>
        </is>
      </c>
      <c r="W58" s="245" t="n">
        <v>150</v>
      </c>
      <c r="X58" s="209" t="n"/>
      <c r="Y58" s="210" t="n"/>
      <c r="Z58" s="246" t="inlineStr">
        <is>
          <t>허창수</t>
        </is>
      </c>
      <c r="AA58" s="171" t="n"/>
      <c r="AB58" s="242" t="n"/>
      <c r="AC58" s="243" t="inlineStr">
        <is>
          <t>청도포그니에</t>
        </is>
      </c>
      <c r="AD58" s="243" t="inlineStr">
        <is>
          <t>500/230</t>
        </is>
      </c>
      <c r="AE58" s="204" t="inlineStr">
        <is>
          <t>역곡</t>
        </is>
      </c>
      <c r="AF58" s="205" t="n">
        <v>0.5416666666666666</v>
      </c>
      <c r="AG58" s="244" t="n">
        <v>941600</v>
      </c>
      <c r="AH58" s="204" t="inlineStr">
        <is>
          <t>이종석</t>
        </is>
      </c>
      <c r="AI58" s="207" t="n"/>
      <c r="AJ58" s="245" t="n"/>
      <c r="AK58" s="209" t="n"/>
      <c r="AL58" s="210" t="n"/>
      <c r="AM58" s="246" t="n"/>
      <c r="AN58" s="171" t="n"/>
      <c r="AO58" s="242" t="n"/>
      <c r="AP58" s="243" t="inlineStr">
        <is>
          <t>센테크이앤지</t>
        </is>
      </c>
      <c r="AQ58" s="243" t="n">
        <v>200</v>
      </c>
      <c r="AR58" s="204" t="inlineStr">
        <is>
          <t>내동</t>
        </is>
      </c>
      <c r="AS58" s="205" t="n">
        <v>0.5</v>
      </c>
      <c r="AT58" s="244" t="n">
        <v>456720</v>
      </c>
      <c r="AU58" s="204" t="n"/>
      <c r="AV58" s="207" t="n"/>
      <c r="AW58" s="245" t="n"/>
      <c r="AX58" s="209" t="n"/>
      <c r="AY58" s="210" t="n"/>
      <c r="AZ58" s="246" t="n"/>
      <c r="BA58" s="171" t="n"/>
      <c r="BB58" s="242" t="n"/>
      <c r="BC58" s="243" t="inlineStr">
        <is>
          <t>국민정밀</t>
        </is>
      </c>
      <c r="BD58" s="243" t="n">
        <v>550</v>
      </c>
      <c r="BE58" s="204" t="inlineStr">
        <is>
          <t>내동</t>
        </is>
      </c>
      <c r="BF58" s="205" t="n">
        <v>0.5</v>
      </c>
      <c r="BG58" s="244" t="n">
        <v>753940</v>
      </c>
      <c r="BH58" s="204" t="n"/>
      <c r="BI58" s="207" t="n"/>
      <c r="BJ58" s="245" t="n"/>
      <c r="BK58" s="209" t="n"/>
      <c r="BL58" s="210" t="n"/>
      <c r="BM58" s="246" t="n"/>
      <c r="BN58" s="171" t="n"/>
      <c r="BO58" s="171" t="n"/>
      <c r="BP58" s="171" t="n"/>
      <c r="BQ58" s="171" t="n"/>
      <c r="BR58" s="171" t="n"/>
      <c r="BS58" s="171" t="n"/>
      <c r="BT58" s="171" t="n"/>
      <c r="BU58" s="171" t="n"/>
      <c r="BV58" s="171" t="n"/>
      <c r="BW58" s="171" t="n"/>
      <c r="BX58" s="171" t="n"/>
      <c r="BY58" s="171" t="n"/>
      <c r="BZ58" s="171" t="n"/>
      <c r="CA58" s="171" t="n"/>
      <c r="CB58" s="171" t="n"/>
      <c r="CC58" s="171" t="n"/>
      <c r="CD58" s="171" t="n"/>
      <c r="CE58" s="171" t="n"/>
      <c r="CF58" s="171" t="n"/>
      <c r="CG58" s="171" t="n"/>
      <c r="CH58" s="171" t="n"/>
      <c r="CI58" s="171" t="n"/>
      <c r="CJ58" s="171" t="n"/>
      <c r="CK58" s="171" t="n"/>
      <c r="CL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242" t="n"/>
      <c r="P59" s="243" t="n"/>
      <c r="Q59" s="243" t="n"/>
      <c r="R59" s="204" t="n"/>
      <c r="S59" s="205" t="n"/>
      <c r="T59" s="244" t="n"/>
      <c r="U59" s="204" t="n"/>
      <c r="V59" s="207" t="inlineStr">
        <is>
          <t>이덕기 오후반차(15시~)</t>
        </is>
      </c>
      <c r="W59" s="245" t="n"/>
      <c r="X59" s="209" t="n"/>
      <c r="Y59" s="210" t="n"/>
      <c r="Z59" s="246" t="n"/>
      <c r="AA59" s="171" t="n"/>
      <c r="AB59" s="242" t="n"/>
      <c r="AC59" s="243" t="inlineStr">
        <is>
          <t>청도포그니에</t>
        </is>
      </c>
      <c r="AD59" s="243" t="inlineStr">
        <is>
          <t>전기차</t>
        </is>
      </c>
      <c r="AE59" s="204" t="n"/>
      <c r="AF59" s="205" t="n"/>
      <c r="AG59" s="244" t="n">
        <v>64240</v>
      </c>
      <c r="AH59" s="204" t="inlineStr">
        <is>
          <t>이종석</t>
        </is>
      </c>
      <c r="AI59" s="207" t="n"/>
      <c r="AJ59" s="245" t="n"/>
      <c r="AK59" s="209" t="n"/>
      <c r="AL59" s="210" t="n"/>
      <c r="AM59" s="246" t="n"/>
      <c r="AN59" s="171" t="n"/>
      <c r="AO59" s="242" t="n"/>
      <c r="AP59" s="243" t="inlineStr">
        <is>
          <t>동부센트러</t>
        </is>
      </c>
      <c r="AQ59" s="243" t="inlineStr">
        <is>
          <t>전기차</t>
        </is>
      </c>
      <c r="AR59" s="204" t="inlineStr">
        <is>
          <t>역곡동</t>
        </is>
      </c>
      <c r="AS59" s="205" t="n">
        <v>0.5416666666666666</v>
      </c>
      <c r="AT59" s="244" t="n">
        <v>106590</v>
      </c>
      <c r="AU59" s="204" t="n"/>
      <c r="AV59" s="207" t="n"/>
      <c r="AW59" s="245" t="n"/>
      <c r="AX59" s="209" t="n"/>
      <c r="AY59" s="210" t="n"/>
      <c r="AZ59" s="246" t="n"/>
      <c r="BA59" s="171" t="n"/>
      <c r="BB59" s="242" t="n"/>
      <c r="BC59" s="243" t="inlineStr">
        <is>
          <t>영광테크</t>
        </is>
      </c>
      <c r="BD59" s="243" t="n">
        <v>400</v>
      </c>
      <c r="BE59" s="204" t="inlineStr">
        <is>
          <t>내동</t>
        </is>
      </c>
      <c r="BF59" s="205" t="n">
        <v>0.4791666666666667</v>
      </c>
      <c r="BG59" s="244" t="n">
        <v>703120</v>
      </c>
      <c r="BH59" s="204" t="n"/>
      <c r="BI59" s="207" t="n"/>
      <c r="BJ59" s="245" t="n"/>
      <c r="BK59" s="209" t="n"/>
      <c r="BL59" s="210" t="n"/>
      <c r="BM59" s="246" t="n"/>
      <c r="BN59" s="171" t="n"/>
      <c r="BO59" s="171" t="n"/>
      <c r="BP59" s="171" t="n"/>
      <c r="BQ59" s="171" t="n"/>
      <c r="BR59" s="171" t="n"/>
      <c r="BS59" s="171" t="n"/>
      <c r="BT59" s="171" t="n"/>
      <c r="BU59" s="171" t="n"/>
      <c r="BV59" s="171" t="n"/>
      <c r="BW59" s="171" t="n"/>
      <c r="BX59" s="171" t="n"/>
      <c r="BY59" s="171" t="n"/>
      <c r="BZ59" s="171" t="n"/>
      <c r="CA59" s="171" t="n"/>
      <c r="CB59" s="171" t="n"/>
      <c r="CC59" s="171" t="n"/>
      <c r="CD59" s="171" t="n"/>
      <c r="CE59" s="171" t="n"/>
      <c r="CF59" s="171" t="n"/>
      <c r="CG59" s="171" t="n"/>
      <c r="CH59" s="171" t="n"/>
      <c r="CI59" s="171" t="n"/>
      <c r="CJ59" s="171" t="n"/>
      <c r="CK59" s="171" t="n"/>
      <c r="CL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242" t="n"/>
      <c r="P60" s="243" t="n"/>
      <c r="Q60" s="243" t="n"/>
      <c r="R60" s="204" t="n"/>
      <c r="S60" s="205" t="n"/>
      <c r="T60" s="244" t="n"/>
      <c r="U60" s="204" t="n"/>
      <c r="V60" s="207" t="inlineStr">
        <is>
          <t>정성관 건강검진</t>
        </is>
      </c>
      <c r="W60" s="245" t="inlineStr">
        <is>
          <t>정신배-변종국</t>
        </is>
      </c>
      <c r="X60" s="209" t="n"/>
      <c r="Y60" s="210" t="n"/>
      <c r="Z60" s="246" t="n"/>
      <c r="AA60" s="171" t="n"/>
      <c r="AB60" s="242" t="n"/>
      <c r="AC60" s="243" t="inlineStr">
        <is>
          <t>세화빌딩</t>
        </is>
      </c>
      <c r="AD60" s="243" t="n">
        <v>69</v>
      </c>
      <c r="AE60" s="204" t="inlineStr">
        <is>
          <t>상동</t>
        </is>
      </c>
      <c r="AF60" s="205" t="n">
        <v>0.3958333333333333</v>
      </c>
      <c r="AG60" s="244" t="n">
        <v>156970</v>
      </c>
      <c r="AH60" s="204" t="inlineStr">
        <is>
          <t>민재홍</t>
        </is>
      </c>
      <c r="AI60" s="207" t="n"/>
      <c r="AJ60" s="245" t="n"/>
      <c r="AK60" s="209" t="n"/>
      <c r="AL60" s="210" t="n"/>
      <c r="AM60" s="246" t="n"/>
      <c r="AN60" s="171" t="n"/>
      <c r="AO60" s="242" t="n"/>
      <c r="AP60" s="243" t="inlineStr">
        <is>
          <t>히즈메디빌딩</t>
        </is>
      </c>
      <c r="AQ60" s="243" t="inlineStr">
        <is>
          <t>2000/452</t>
        </is>
      </c>
      <c r="AR60" s="204" t="inlineStr">
        <is>
          <t>풍무동</t>
        </is>
      </c>
      <c r="AS60" s="205" t="inlineStr">
        <is>
          <t>무정전</t>
        </is>
      </c>
      <c r="AT60" s="244" t="n">
        <v>1181400</v>
      </c>
      <c r="AU60" s="204" t="n"/>
      <c r="AV60" s="207" t="n"/>
      <c r="AW60" s="245" t="n"/>
      <c r="AX60" s="209" t="n"/>
      <c r="AY60" s="210" t="n"/>
      <c r="AZ60" s="246" t="n"/>
      <c r="BA60" s="171" t="n"/>
      <c r="BB60" s="242" t="n"/>
      <c r="BC60" s="243" t="inlineStr">
        <is>
          <t>폴리</t>
        </is>
      </c>
      <c r="BD60" s="243" t="n">
        <v>250</v>
      </c>
      <c r="BE60" s="204" t="inlineStr">
        <is>
          <t>여월동</t>
        </is>
      </c>
      <c r="BF60" s="205" t="n">
        <v>0.5416666666666666</v>
      </c>
      <c r="BG60" s="244" t="n">
        <v>664840</v>
      </c>
      <c r="BH60" s="204" t="n"/>
      <c r="BI60" s="207" t="n"/>
      <c r="BJ60" s="245" t="n"/>
      <c r="BK60" s="209" t="n"/>
      <c r="BL60" s="210" t="n"/>
      <c r="BM60" s="246" t="n"/>
      <c r="BN60" s="171" t="n"/>
      <c r="BO60" s="171" t="n"/>
      <c r="BP60" s="171" t="n"/>
      <c r="BQ60" s="171" t="n"/>
      <c r="BR60" s="171" t="n"/>
      <c r="BS60" s="171" t="n"/>
      <c r="BT60" s="171" t="n"/>
      <c r="BU60" s="171" t="n"/>
      <c r="BV60" s="171" t="n"/>
      <c r="BW60" s="171" t="n"/>
      <c r="BX60" s="171" t="n"/>
      <c r="BY60" s="171" t="n"/>
      <c r="BZ60" s="171" t="n"/>
      <c r="CA60" s="171" t="n"/>
      <c r="CB60" s="171" t="n"/>
      <c r="CC60" s="171" t="n"/>
      <c r="CD60" s="171" t="n"/>
      <c r="CE60" s="171" t="n"/>
      <c r="CF60" s="171" t="n"/>
      <c r="CG60" s="171" t="n"/>
      <c r="CH60" s="171" t="n"/>
      <c r="CI60" s="171" t="n"/>
      <c r="CJ60" s="171" t="n"/>
      <c r="CK60" s="171" t="n"/>
      <c r="CL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242" t="n"/>
      <c r="P61" s="243" t="n"/>
      <c r="Q61" s="243" t="n"/>
      <c r="R61" s="204" t="n"/>
      <c r="S61" s="205" t="n"/>
      <c r="T61" s="244" t="n"/>
      <c r="U61" s="204" t="n"/>
      <c r="V61" s="207" t="inlineStr">
        <is>
          <t>서수형휴가</t>
        </is>
      </c>
      <c r="W61" s="245" t="n"/>
      <c r="X61" s="209" t="n"/>
      <c r="Y61" s="210" t="n"/>
      <c r="Z61" s="246" t="n"/>
      <c r="AA61" s="171" t="n"/>
      <c r="AB61" s="242" t="n"/>
      <c r="AC61" s="243" t="inlineStr">
        <is>
          <t>듀야드</t>
        </is>
      </c>
      <c r="AD61" s="243" t="n">
        <v>200</v>
      </c>
      <c r="AE61" s="204" t="inlineStr">
        <is>
          <t>워님동</t>
        </is>
      </c>
      <c r="AF61" s="205" t="n">
        <v>0.5208333333333334</v>
      </c>
      <c r="AG61" s="244" t="n">
        <v>456720</v>
      </c>
      <c r="AH61" s="204" t="inlineStr">
        <is>
          <t>정성관</t>
        </is>
      </c>
      <c r="AI61" s="207" t="n"/>
      <c r="AJ61" s="245" t="n"/>
      <c r="AK61" s="209" t="n"/>
      <c r="AL61" s="210" t="n"/>
      <c r="AM61" s="246" t="n"/>
      <c r="AN61" s="171" t="n"/>
      <c r="AO61" s="242" t="n"/>
      <c r="AP61" s="243" t="inlineStr">
        <is>
          <t>하이테크</t>
        </is>
      </c>
      <c r="AQ61" s="243" t="n">
        <v>350</v>
      </c>
      <c r="AR61" s="204" t="inlineStr">
        <is>
          <t>내동</t>
        </is>
      </c>
      <c r="AS61" s="205" t="n">
        <v>0.5625</v>
      </c>
      <c r="AT61" s="244" t="n">
        <v>709830</v>
      </c>
      <c r="AU61" s="204" t="n"/>
      <c r="AV61" s="207" t="n"/>
      <c r="AW61" s="245" t="n"/>
      <c r="AX61" s="209" t="n"/>
      <c r="AY61" s="210" t="n"/>
      <c r="AZ61" s="246" t="n"/>
      <c r="BA61" s="171" t="n"/>
      <c r="BB61" s="242" t="n"/>
      <c r="BC61" s="243" t="inlineStr">
        <is>
          <t>대양아이앤디</t>
        </is>
      </c>
      <c r="BD61" s="243" t="inlineStr">
        <is>
          <t>3050/273</t>
        </is>
      </c>
      <c r="BE61" s="204" t="inlineStr">
        <is>
          <t>상동</t>
        </is>
      </c>
      <c r="BF61" s="205" t="n">
        <v>0.2708333333333333</v>
      </c>
      <c r="BG61" s="244" t="n">
        <v>1850750</v>
      </c>
      <c r="BH61" s="204" t="n"/>
      <c r="BI61" s="207" t="n"/>
      <c r="BJ61" s="245" t="n"/>
      <c r="BK61" s="209" t="n"/>
      <c r="BL61" s="210" t="n"/>
      <c r="BM61" s="246" t="n"/>
      <c r="BN61" s="171" t="n"/>
      <c r="BO61" s="171" t="n"/>
      <c r="BP61" s="171" t="n"/>
      <c r="BQ61" s="171" t="n"/>
      <c r="BR61" s="171" t="n"/>
      <c r="BS61" s="171" t="n"/>
      <c r="BT61" s="171" t="n"/>
      <c r="BU61" s="171" t="n"/>
      <c r="BV61" s="171" t="n"/>
      <c r="BW61" s="171" t="n"/>
      <c r="BX61" s="171" t="n"/>
      <c r="BY61" s="171" t="n"/>
      <c r="BZ61" s="171" t="n"/>
      <c r="CA61" s="171" t="n"/>
      <c r="CB61" s="171" t="n"/>
      <c r="CC61" s="171" t="n"/>
      <c r="CD61" s="171" t="n"/>
      <c r="CE61" s="171" t="n"/>
      <c r="CF61" s="171" t="n"/>
      <c r="CG61" s="171" t="n"/>
      <c r="CH61" s="171" t="n"/>
      <c r="CI61" s="171" t="n"/>
      <c r="CJ61" s="171" t="n"/>
      <c r="CK61" s="171" t="n"/>
      <c r="CL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242" t="n"/>
      <c r="P62" s="243" t="n"/>
      <c r="Q62" s="243" t="n"/>
      <c r="R62" s="204" t="n"/>
      <c r="S62" s="205" t="n"/>
      <c r="T62" s="244" t="n"/>
      <c r="U62" s="204" t="n"/>
      <c r="V62" s="207" t="n"/>
      <c r="W62" s="245" t="n"/>
      <c r="X62" s="209" t="n"/>
      <c r="Y62" s="210" t="n"/>
      <c r="Z62" s="246" t="n"/>
      <c r="AA62" s="171" t="n"/>
      <c r="AB62" s="242" t="n"/>
      <c r="AC62" s="243" t="inlineStr">
        <is>
          <t>팰리스카운트</t>
        </is>
      </c>
      <c r="AD62" s="243" t="inlineStr">
        <is>
          <t>전기차</t>
        </is>
      </c>
      <c r="AE62" s="204" t="inlineStr">
        <is>
          <t>중동</t>
        </is>
      </c>
      <c r="AF62" s="205" t="n"/>
      <c r="AG62" s="244" t="n">
        <v>132000</v>
      </c>
      <c r="AH62" s="204" t="inlineStr">
        <is>
          <t>정신배</t>
        </is>
      </c>
      <c r="AI62" s="207" t="n"/>
      <c r="AJ62" s="245" t="n"/>
      <c r="AK62" s="209" t="n"/>
      <c r="AL62" s="210" t="n"/>
      <c r="AM62" s="246" t="n"/>
      <c r="AN62" s="171" t="n"/>
      <c r="AO62" s="242" t="n"/>
      <c r="AP62" s="243" t="inlineStr">
        <is>
          <t>드림이앤씨</t>
        </is>
      </c>
      <c r="AQ62" s="243" t="n">
        <v>400</v>
      </c>
      <c r="AR62" s="204" t="inlineStr">
        <is>
          <t>상동</t>
        </is>
      </c>
      <c r="AS62" s="205" t="n">
        <v>0.3958333333333333</v>
      </c>
      <c r="AT62" s="244" t="n">
        <v>703120</v>
      </c>
      <c r="AU62" s="204" t="n"/>
      <c r="AV62" s="207" t="n"/>
      <c r="AW62" s="245" t="n"/>
      <c r="AX62" s="209" t="n"/>
      <c r="AY62" s="210" t="n"/>
      <c r="AZ62" s="246" t="n"/>
      <c r="BA62" s="171" t="n"/>
      <c r="BB62" s="242" t="n"/>
      <c r="BC62" s="243" t="inlineStr">
        <is>
          <t>부안초</t>
        </is>
      </c>
      <c r="BD62" s="243" t="n">
        <v>37</v>
      </c>
      <c r="BE62" s="204" t="inlineStr">
        <is>
          <t>소사동</t>
        </is>
      </c>
      <c r="BF62" s="205" t="n">
        <v>0.625</v>
      </c>
      <c r="BG62" s="244" t="n">
        <v>190080</v>
      </c>
      <c r="BH62" s="204" t="n"/>
      <c r="BI62" s="207" t="n"/>
      <c r="BJ62" s="245" t="n"/>
      <c r="BK62" s="209" t="n"/>
      <c r="BL62" s="210" t="n"/>
      <c r="BM62" s="246" t="n"/>
      <c r="BN62" s="171" t="n"/>
      <c r="BO62" s="171" t="n"/>
      <c r="BP62" s="171" t="n"/>
      <c r="BQ62" s="171" t="n"/>
      <c r="BR62" s="171" t="n"/>
      <c r="BS62" s="171" t="n"/>
      <c r="BT62" s="171" t="n"/>
      <c r="BU62" s="171" t="n"/>
      <c r="BV62" s="171" t="n"/>
      <c r="BW62" s="171" t="n"/>
      <c r="BX62" s="171" t="n"/>
      <c r="BY62" s="171" t="n"/>
      <c r="BZ62" s="171" t="n"/>
      <c r="CA62" s="171" t="n"/>
      <c r="CB62" s="171" t="n"/>
      <c r="CC62" s="171" t="n"/>
      <c r="CD62" s="171" t="n"/>
      <c r="CE62" s="171" t="n"/>
      <c r="CF62" s="171" t="n"/>
      <c r="CG62" s="171" t="n"/>
      <c r="CH62" s="171" t="n"/>
      <c r="CI62" s="171" t="n"/>
      <c r="CJ62" s="171" t="n"/>
      <c r="CK62" s="171" t="n"/>
      <c r="CL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242" t="n"/>
      <c r="P63" s="243" t="n"/>
      <c r="Q63" s="243" t="n"/>
      <c r="R63" s="204" t="n"/>
      <c r="S63" s="205" t="n"/>
      <c r="T63" s="244" t="n"/>
      <c r="U63" s="204" t="n"/>
      <c r="V63" s="207" t="n"/>
      <c r="W63" s="245" t="n"/>
      <c r="X63" s="209" t="n"/>
      <c r="Y63" s="210" t="n"/>
      <c r="Z63" s="246" t="n"/>
      <c r="AA63" s="171" t="n"/>
      <c r="AB63" s="242" t="n"/>
      <c r="AC63" s="243" t="inlineStr">
        <is>
          <t>승문프라자</t>
        </is>
      </c>
      <c r="AD63" s="243" t="inlineStr">
        <is>
          <t>950/150</t>
        </is>
      </c>
      <c r="AE63" s="204" t="inlineStr">
        <is>
          <t>장기동</t>
        </is>
      </c>
      <c r="AF63" s="205" t="n">
        <v>0.3958333333333333</v>
      </c>
      <c r="AG63" s="244" t="n">
        <v>1070410</v>
      </c>
      <c r="AH63" s="204" t="inlineStr">
        <is>
          <t>김영권</t>
        </is>
      </c>
      <c r="AI63" s="207" t="n"/>
      <c r="AJ63" s="245" t="n"/>
      <c r="AK63" s="209" t="n"/>
      <c r="AL63" s="210" t="n"/>
      <c r="AM63" s="246" t="n"/>
      <c r="AN63" s="171" t="n"/>
      <c r="AO63" s="242" t="n"/>
      <c r="AP63" s="243" t="n"/>
      <c r="AQ63" s="243" t="n"/>
      <c r="AR63" s="204" t="n"/>
      <c r="AS63" s="205" t="n"/>
      <c r="AT63" s="244" t="n"/>
      <c r="AU63" s="204" t="n"/>
      <c r="AV63" s="207" t="n"/>
      <c r="AW63" s="245" t="n"/>
      <c r="AX63" s="209" t="n"/>
      <c r="AY63" s="210" t="n"/>
      <c r="AZ63" s="246" t="n"/>
      <c r="BA63" s="171" t="n"/>
      <c r="BB63" s="242" t="n"/>
      <c r="BC63" s="243" t="inlineStr">
        <is>
          <t>퀸즈파크</t>
        </is>
      </c>
      <c r="BD63" s="243" t="inlineStr">
        <is>
          <t>전기차</t>
        </is>
      </c>
      <c r="BE63" s="204" t="inlineStr">
        <is>
          <t>옥길동</t>
        </is>
      </c>
      <c r="BF63" s="205" t="n">
        <v>0.6041666666666666</v>
      </c>
      <c r="BG63" s="244" t="n">
        <v>72710</v>
      </c>
      <c r="BH63" s="204" t="n"/>
      <c r="BI63" s="207" t="n"/>
      <c r="BJ63" s="245" t="n"/>
      <c r="BK63" s="209" t="n"/>
      <c r="BL63" s="210" t="n"/>
      <c r="BM63" s="246" t="n"/>
      <c r="BN63" s="171" t="n"/>
      <c r="BO63" s="171" t="n"/>
      <c r="BP63" s="171" t="n"/>
      <c r="BQ63" s="171" t="n"/>
      <c r="BR63" s="171" t="n"/>
      <c r="BS63" s="171" t="n"/>
      <c r="BT63" s="171" t="n"/>
      <c r="BU63" s="171" t="n"/>
      <c r="BV63" s="171" t="n"/>
      <c r="BW63" s="171" t="n"/>
      <c r="BX63" s="171" t="n"/>
      <c r="BY63" s="171" t="n"/>
      <c r="BZ63" s="171" t="n"/>
      <c r="CA63" s="171" t="n"/>
      <c r="CB63" s="171" t="n"/>
      <c r="CC63" s="171" t="n"/>
      <c r="CD63" s="171" t="n"/>
      <c r="CE63" s="171" t="n"/>
      <c r="CF63" s="171" t="n"/>
      <c r="CG63" s="171" t="n"/>
      <c r="CH63" s="171" t="n"/>
      <c r="CI63" s="171" t="n"/>
      <c r="CJ63" s="171" t="n"/>
      <c r="CK63" s="171" t="n"/>
      <c r="CL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242" t="n"/>
      <c r="P64" s="243" t="n"/>
      <c r="Q64" s="243" t="n"/>
      <c r="R64" s="204" t="n"/>
      <c r="S64" s="205" t="n"/>
      <c r="T64" s="244" t="n"/>
      <c r="U64" s="204" t="n"/>
      <c r="V64" s="207" t="n"/>
      <c r="W64" s="245" t="n"/>
      <c r="X64" s="209" t="n"/>
      <c r="Y64" s="210" t="n"/>
      <c r="Z64" s="246" t="n"/>
      <c r="AA64" s="171" t="n"/>
      <c r="AB64" s="242" t="n"/>
      <c r="AC64" s="243" t="inlineStr">
        <is>
          <t>보리수요양병원</t>
        </is>
      </c>
      <c r="AD64" s="243" t="inlineStr">
        <is>
          <t>600/210</t>
        </is>
      </c>
      <c r="AE64" s="204" t="inlineStr">
        <is>
          <t>운양동</t>
        </is>
      </c>
      <c r="AF64" s="205" t="n">
        <v>0.5555555555555556</v>
      </c>
      <c r="AG64" s="244" t="n">
        <v>969320</v>
      </c>
      <c r="AH64" s="204" t="inlineStr">
        <is>
          <t>허창수</t>
        </is>
      </c>
      <c r="AI64" s="207" t="n"/>
      <c r="AJ64" s="245" t="n"/>
      <c r="AK64" s="209" t="n"/>
      <c r="AL64" s="210" t="n"/>
      <c r="AM64" s="246" t="n"/>
      <c r="AN64" s="171" t="n"/>
      <c r="AO64" s="242" t="n"/>
      <c r="AP64" s="243" t="n"/>
      <c r="AQ64" s="243" t="n"/>
      <c r="AR64" s="204" t="n"/>
      <c r="AS64" s="205" t="n"/>
      <c r="AT64" s="244" t="n"/>
      <c r="AU64" s="204" t="n"/>
      <c r="AV64" s="207" t="n"/>
      <c r="AW64" s="245" t="n"/>
      <c r="AX64" s="209" t="n"/>
      <c r="AY64" s="210" t="n"/>
      <c r="AZ64" s="246" t="n"/>
      <c r="BA64" s="171" t="n"/>
      <c r="BB64" s="242" t="n"/>
      <c r="BC64" s="243" t="n"/>
      <c r="BD64" s="243" t="n"/>
      <c r="BE64" s="204" t="n"/>
      <c r="BF64" s="205" t="n"/>
      <c r="BG64" s="244" t="n"/>
      <c r="BH64" s="204" t="n"/>
      <c r="BI64" s="207" t="n"/>
      <c r="BJ64" s="245" t="n"/>
      <c r="BK64" s="209" t="n"/>
      <c r="BL64" s="210" t="n"/>
      <c r="BM64" s="246" t="n"/>
      <c r="BN64" s="171" t="n"/>
      <c r="BO64" s="171" t="n"/>
      <c r="BP64" s="171" t="n"/>
      <c r="BQ64" s="171" t="n"/>
      <c r="BR64" s="171" t="n"/>
      <c r="BS64" s="171" t="n"/>
      <c r="BT64" s="171" t="n"/>
      <c r="BU64" s="171" t="n"/>
      <c r="BV64" s="171" t="n"/>
      <c r="BW64" s="171" t="n"/>
      <c r="BX64" s="171" t="n"/>
      <c r="BY64" s="171" t="n"/>
      <c r="BZ64" s="171" t="n"/>
      <c r="CA64" s="171" t="n"/>
      <c r="CB64" s="171" t="n"/>
      <c r="CC64" s="171" t="n"/>
      <c r="CD64" s="171" t="n"/>
      <c r="CE64" s="171" t="n"/>
      <c r="CF64" s="171" t="n"/>
      <c r="CG64" s="171" t="n"/>
      <c r="CH64" s="171" t="n"/>
      <c r="CI64" s="171" t="n"/>
      <c r="CJ64" s="171" t="n"/>
      <c r="CK64" s="171" t="n"/>
      <c r="CL64" s="171" t="n"/>
    </row>
    <row r="65" ht="18" customHeight="1" s="22" thickBot="1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242" t="n"/>
      <c r="P65" s="243" t="n"/>
      <c r="Q65" s="243" t="n"/>
      <c r="R65" s="204" t="n"/>
      <c r="S65" s="205" t="n"/>
      <c r="T65" s="244" t="n"/>
      <c r="U65" s="204" t="n"/>
      <c r="V65" s="207" t="n"/>
      <c r="W65" s="245" t="n"/>
      <c r="X65" s="209" t="n"/>
      <c r="Y65" s="210" t="n"/>
      <c r="Z65" s="246" t="n"/>
      <c r="AA65" s="171" t="n"/>
      <c r="AB65" s="242" t="n"/>
      <c r="AC65" s="243" t="inlineStr">
        <is>
          <t>형제풍력</t>
        </is>
      </c>
      <c r="AD65" s="243" t="n">
        <v>200</v>
      </c>
      <c r="AE65" s="204" t="inlineStr">
        <is>
          <t>원산리</t>
        </is>
      </c>
      <c r="AF65" s="205" t="n">
        <v>0.5138888888888888</v>
      </c>
      <c r="AG65" s="244" t="n">
        <v>456720</v>
      </c>
      <c r="AH65" s="204" t="inlineStr">
        <is>
          <t>변종국</t>
        </is>
      </c>
      <c r="AI65" s="207" t="n"/>
      <c r="AJ65" s="245" t="n"/>
      <c r="AK65" s="209" t="n"/>
      <c r="AL65" s="210" t="n"/>
      <c r="AM65" s="246" t="n"/>
      <c r="AN65" s="171" t="n"/>
      <c r="AO65" s="242" t="n"/>
      <c r="AP65" s="243" t="n"/>
      <c r="AQ65" s="243" t="n"/>
      <c r="AR65" s="204" t="n"/>
      <c r="AS65" s="205" t="n"/>
      <c r="AT65" s="244" t="n"/>
      <c r="AU65" s="204" t="n"/>
      <c r="AV65" s="207" t="n"/>
      <c r="AW65" s="245" t="n"/>
      <c r="AX65" s="209" t="n"/>
      <c r="AY65" s="210" t="n"/>
      <c r="AZ65" s="246" t="n"/>
      <c r="BA65" s="171" t="n"/>
      <c r="BB65" s="242" t="n"/>
      <c r="BC65" s="243" t="n"/>
      <c r="BD65" s="243" t="n"/>
      <c r="BE65" s="204" t="n"/>
      <c r="BF65" s="205" t="n"/>
      <c r="BG65" s="244" t="n"/>
      <c r="BH65" s="204" t="n"/>
      <c r="BI65" s="207" t="n"/>
      <c r="BJ65" s="245" t="n"/>
      <c r="BK65" s="209" t="n"/>
      <c r="BL65" s="210" t="n"/>
      <c r="BM65" s="246" t="n"/>
      <c r="BN65" s="171" t="n"/>
      <c r="BO65" s="171" t="n"/>
      <c r="BP65" s="171" t="n"/>
      <c r="BQ65" s="171" t="n"/>
      <c r="BR65" s="171" t="n"/>
      <c r="BS65" s="171" t="n"/>
      <c r="BT65" s="171" t="n"/>
      <c r="BU65" s="171" t="n"/>
      <c r="BV65" s="171" t="n"/>
      <c r="BW65" s="171" t="n"/>
      <c r="BX65" s="171" t="n"/>
      <c r="BY65" s="171" t="n"/>
      <c r="BZ65" s="171" t="n"/>
      <c r="CA65" s="171" t="n"/>
      <c r="CB65" s="171" t="n"/>
      <c r="CC65" s="171" t="n"/>
      <c r="CD65" s="171" t="n"/>
      <c r="CE65" s="171" t="n"/>
      <c r="CF65" s="171" t="n"/>
      <c r="CG65" s="171" t="n"/>
      <c r="CH65" s="171" t="n"/>
      <c r="CI65" s="171" t="n"/>
      <c r="CJ65" s="171" t="n"/>
      <c r="CK65" s="171" t="n"/>
      <c r="CL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247" t="inlineStr">
        <is>
          <t>김포지역</t>
        </is>
      </c>
      <c r="P66" s="248" t="inlineStr">
        <is>
          <t>김포대주유소</t>
        </is>
      </c>
      <c r="Q66" s="248" t="n">
        <v>15</v>
      </c>
      <c r="R66" s="191" t="inlineStr">
        <is>
          <t>포내리</t>
        </is>
      </c>
      <c r="S66" s="192" t="n">
        <v>0.5833333333333334</v>
      </c>
      <c r="T66" s="249" t="n">
        <v>92950</v>
      </c>
      <c r="U66" s="191" t="inlineStr">
        <is>
          <t>이종석</t>
        </is>
      </c>
      <c r="V66" s="194" t="inlineStr">
        <is>
          <t>모햇발전소</t>
        </is>
      </c>
      <c r="W66" s="250" t="n">
        <v>160</v>
      </c>
      <c r="X66" s="196" t="inlineStr">
        <is>
          <t>학운리</t>
        </is>
      </c>
      <c r="Y66" s="197" t="n"/>
      <c r="Z66" s="251" t="inlineStr">
        <is>
          <t>정신배</t>
        </is>
      </c>
      <c r="AA66" s="171" t="n"/>
      <c r="AB66" s="247" t="inlineStr">
        <is>
          <t>김포지역</t>
        </is>
      </c>
      <c r="AC66" s="248" t="inlineStr">
        <is>
          <t>김포레코파크</t>
        </is>
      </c>
      <c r="AD66" s="248" t="n">
        <v>6500</v>
      </c>
      <c r="AE66" s="191" t="inlineStr">
        <is>
          <t>걸포동</t>
        </is>
      </c>
      <c r="AF66" s="192" t="n">
        <v>0.25</v>
      </c>
      <c r="AG66" s="249" t="n">
        <v>2095390</v>
      </c>
      <c r="AH66" s="191" t="inlineStr">
        <is>
          <t>송낙명</t>
        </is>
      </c>
      <c r="AI66" s="194" t="inlineStr">
        <is>
          <t>공간찬넬</t>
        </is>
      </c>
      <c r="AJ66" s="250" t="n">
        <v>294</v>
      </c>
      <c r="AK66" s="196" t="inlineStr">
        <is>
          <t>학운리</t>
        </is>
      </c>
      <c r="AL66" s="197" t="n"/>
      <c r="AM66" s="251" t="inlineStr">
        <is>
          <t>한태희</t>
        </is>
      </c>
      <c r="AN66" s="171" t="n"/>
      <c r="AO66" s="247" t="inlineStr">
        <is>
          <t>김포지역</t>
        </is>
      </c>
      <c r="AP66" s="248" t="inlineStr">
        <is>
          <t>통진레코파크</t>
        </is>
      </c>
      <c r="AQ66" s="248" t="n">
        <v>3500</v>
      </c>
      <c r="AR66" s="191" t="inlineStr">
        <is>
          <t>수참리</t>
        </is>
      </c>
      <c r="AS66" s="192" t="n">
        <v>0.25</v>
      </c>
      <c r="AT66" s="249" t="n">
        <v>1709290</v>
      </c>
      <c r="AU66" s="191" t="n"/>
      <c r="AV66" s="194" t="inlineStr">
        <is>
          <t>형제화학발전소</t>
        </is>
      </c>
      <c r="AW66" s="250" t="n">
        <v>43</v>
      </c>
      <c r="AX66" s="196" t="inlineStr">
        <is>
          <t>귀전리</t>
        </is>
      </c>
      <c r="AY66" s="197" t="n"/>
      <c r="AZ66" s="251" t="n"/>
      <c r="BA66" s="171" t="n"/>
      <c r="BB66" s="247" t="inlineStr">
        <is>
          <t>김포지역</t>
        </is>
      </c>
      <c r="BC66" s="248" t="inlineStr">
        <is>
          <t>롯데마트</t>
        </is>
      </c>
      <c r="BD66" s="248" t="inlineStr">
        <is>
          <t>3000/818</t>
        </is>
      </c>
      <c r="BE66" s="191" t="inlineStr">
        <is>
          <t>장기동</t>
        </is>
      </c>
      <c r="BF66" s="192" t="n">
        <v>0.3958333333333333</v>
      </c>
      <c r="BG66" s="249" t="n">
        <v>1525590</v>
      </c>
      <c r="BH66" s="191" t="n"/>
      <c r="BI66" s="194" t="n"/>
      <c r="BJ66" s="250" t="n"/>
      <c r="BK66" s="196" t="n"/>
      <c r="BL66" s="197" t="n"/>
      <c r="BM66" s="251" t="n"/>
      <c r="BN66" s="171" t="n"/>
      <c r="BO66" s="171" t="n"/>
      <c r="BP66" s="171" t="n"/>
      <c r="BQ66" s="171" t="n"/>
      <c r="BR66" s="171" t="n"/>
      <c r="BS66" s="171" t="n"/>
      <c r="BT66" s="171" t="n"/>
      <c r="BU66" s="171" t="n"/>
      <c r="BV66" s="171" t="n"/>
      <c r="BW66" s="171" t="n"/>
      <c r="BX66" s="171" t="n"/>
      <c r="BY66" s="171" t="n"/>
      <c r="BZ66" s="171" t="n"/>
      <c r="CA66" s="171" t="n"/>
      <c r="CB66" s="171" t="n"/>
      <c r="CC66" s="171" t="n"/>
      <c r="CD66" s="171" t="n"/>
      <c r="CE66" s="171" t="n"/>
      <c r="CF66" s="171" t="n"/>
      <c r="CG66" s="171" t="n"/>
      <c r="CH66" s="171" t="n"/>
      <c r="CI66" s="171" t="n"/>
      <c r="CJ66" s="171" t="n"/>
      <c r="CK66" s="171" t="n"/>
      <c r="CL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242" t="n"/>
      <c r="P67" s="243" t="inlineStr">
        <is>
          <t>삼창기연</t>
        </is>
      </c>
      <c r="Q67" s="243" t="n">
        <v>600</v>
      </c>
      <c r="R67" s="204" t="inlineStr">
        <is>
          <t>대멍리</t>
        </is>
      </c>
      <c r="S67" s="205" t="n">
        <v>0.4791666666666667</v>
      </c>
      <c r="T67" s="244" t="n">
        <v>770880</v>
      </c>
      <c r="U67" s="204" t="inlineStr">
        <is>
          <t>변종국</t>
        </is>
      </c>
      <c r="V67" s="207" t="inlineStr">
        <is>
          <t>지현태양광</t>
        </is>
      </c>
      <c r="W67" s="245" t="n">
        <v>259</v>
      </c>
      <c r="X67" s="209" t="inlineStr">
        <is>
          <t>대벽리</t>
        </is>
      </c>
      <c r="Y67" s="210" t="n"/>
      <c r="Z67" s="246" t="inlineStr">
        <is>
          <t>변종국</t>
        </is>
      </c>
      <c r="AA67" s="171" t="n"/>
      <c r="AB67" s="242" t="n"/>
      <c r="AC67" s="243" t="inlineStr">
        <is>
          <t>한국전력공사</t>
        </is>
      </c>
      <c r="AD67" s="243" t="inlineStr">
        <is>
          <t>전기차</t>
        </is>
      </c>
      <c r="AE67" s="204" t="inlineStr">
        <is>
          <t>장기동</t>
        </is>
      </c>
      <c r="AF67" s="205" t="n">
        <v>0.4166666666666667</v>
      </c>
      <c r="AG67" s="244" t="n">
        <v>193600</v>
      </c>
      <c r="AH67" s="204" t="inlineStr">
        <is>
          <t>옹승완</t>
        </is>
      </c>
      <c r="AI67" s="207" t="n"/>
      <c r="AJ67" s="245" t="n"/>
      <c r="AK67" s="209" t="n"/>
      <c r="AL67" s="210" t="n"/>
      <c r="AM67" s="246" t="n"/>
      <c r="AN67" s="171" t="n"/>
      <c r="AO67" s="242" t="n"/>
      <c r="AP67" s="243" t="inlineStr">
        <is>
          <t>김포스포츠센타</t>
        </is>
      </c>
      <c r="AQ67" s="243" t="inlineStr">
        <is>
          <t>350/180</t>
        </is>
      </c>
      <c r="AR67" s="204" t="inlineStr">
        <is>
          <t>감정동</t>
        </is>
      </c>
      <c r="AS67" s="205" t="n">
        <v>0.5625</v>
      </c>
      <c r="AT67" s="244" t="n">
        <v>876040</v>
      </c>
      <c r="AU67" s="204" t="n"/>
      <c r="AV67" s="207" t="inlineStr">
        <is>
          <t>캐스코드</t>
        </is>
      </c>
      <c r="AW67" s="245" t="n">
        <v>874</v>
      </c>
      <c r="AX67" s="209" t="inlineStr">
        <is>
          <t>갈산리</t>
        </is>
      </c>
      <c r="AY67" s="210" t="n"/>
      <c r="AZ67" s="246" t="n"/>
      <c r="BA67" s="171" t="n"/>
      <c r="BB67" s="242" t="n"/>
      <c r="BC67" s="243" t="inlineStr">
        <is>
          <t>통진서비스</t>
        </is>
      </c>
      <c r="BD67" s="243" t="n">
        <v>400</v>
      </c>
      <c r="BE67" s="204" t="inlineStr">
        <is>
          <t>서암리</t>
        </is>
      </c>
      <c r="BF67" s="205" t="n">
        <v>0.4791666666666667</v>
      </c>
      <c r="BG67" s="244" t="n">
        <v>703120</v>
      </c>
      <c r="BH67" s="204" t="n"/>
      <c r="BI67" s="207" t="n"/>
      <c r="BJ67" s="245" t="n"/>
      <c r="BK67" s="209" t="n"/>
      <c r="BL67" s="210" t="n"/>
      <c r="BM67" s="246" t="n"/>
      <c r="BN67" s="171" t="n"/>
      <c r="BO67" s="171" t="n"/>
      <c r="BP67" s="171" t="n"/>
      <c r="BQ67" s="171" t="n"/>
      <c r="BR67" s="171" t="n"/>
      <c r="BS67" s="171" t="n"/>
      <c r="BT67" s="171" t="n"/>
      <c r="BU67" s="171" t="n"/>
      <c r="BV67" s="171" t="n"/>
      <c r="BW67" s="171" t="n"/>
      <c r="BX67" s="171" t="n"/>
      <c r="BY67" s="171" t="n"/>
      <c r="BZ67" s="171" t="n"/>
      <c r="CA67" s="171" t="n"/>
      <c r="CB67" s="171" t="n"/>
      <c r="CC67" s="171" t="n"/>
      <c r="CD67" s="171" t="n"/>
      <c r="CE67" s="171" t="n"/>
      <c r="CF67" s="171" t="n"/>
      <c r="CG67" s="171" t="n"/>
      <c r="CH67" s="171" t="n"/>
      <c r="CI67" s="171" t="n"/>
      <c r="CJ67" s="171" t="n"/>
      <c r="CK67" s="171" t="n"/>
      <c r="CL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242" t="n"/>
      <c r="P68" s="243" t="inlineStr">
        <is>
          <t>에일린뜰</t>
        </is>
      </c>
      <c r="Q68" s="243" t="inlineStr">
        <is>
          <t>전기차</t>
        </is>
      </c>
      <c r="R68" s="204" t="inlineStr">
        <is>
          <t>마산동</t>
        </is>
      </c>
      <c r="S68" s="205" t="n">
        <v>0.3958333333333333</v>
      </c>
      <c r="T68" s="244" t="n">
        <v>132000</v>
      </c>
      <c r="U68" s="204" t="inlineStr">
        <is>
          <t>당효진</t>
        </is>
      </c>
      <c r="V68" s="207" t="inlineStr">
        <is>
          <t>광춘태양광</t>
        </is>
      </c>
      <c r="W68" s="245" t="n">
        <v>13</v>
      </c>
      <c r="X68" s="209" t="inlineStr">
        <is>
          <t>봉성리</t>
        </is>
      </c>
      <c r="Y68" s="210" t="n"/>
      <c r="Z68" s="246" t="inlineStr">
        <is>
          <t>옹승완</t>
        </is>
      </c>
      <c r="AA68" s="171" t="n"/>
      <c r="AB68" s="242" t="n"/>
      <c r="AC68" s="243" t="inlineStr">
        <is>
          <t>현주태양광</t>
        </is>
      </c>
      <c r="AD68" s="243" t="n">
        <v>34</v>
      </c>
      <c r="AE68" s="204" t="inlineStr">
        <is>
          <t>귀전리</t>
        </is>
      </c>
      <c r="AF68" s="205" t="n">
        <v>0.4375</v>
      </c>
      <c r="AG68" s="244" t="n">
        <v>187220</v>
      </c>
      <c r="AH68" s="204" t="inlineStr">
        <is>
          <t>변종국</t>
        </is>
      </c>
      <c r="AI68" s="207" t="n"/>
      <c r="AJ68" s="245" t="n"/>
      <c r="AK68" s="209" t="n"/>
      <c r="AL68" s="210" t="n"/>
      <c r="AM68" s="246" t="n"/>
      <c r="AN68" s="171" t="n"/>
      <c r="AO68" s="242" t="n"/>
      <c r="AP68" s="243" t="inlineStr">
        <is>
          <t>창조이엔지</t>
        </is>
      </c>
      <c r="AQ68" s="243" t="n">
        <v>300</v>
      </c>
      <c r="AR68" s="204" t="inlineStr">
        <is>
          <t>학운리</t>
        </is>
      </c>
      <c r="AS68" s="205" t="n">
        <v>0.4791666666666667</v>
      </c>
      <c r="AT68" s="244" t="n">
        <v>521730</v>
      </c>
      <c r="AU68" s="204" t="n"/>
      <c r="AV68" s="207" t="n"/>
      <c r="AW68" s="245" t="n"/>
      <c r="AX68" s="209" t="n"/>
      <c r="AY68" s="210" t="n"/>
      <c r="AZ68" s="246" t="n"/>
      <c r="BA68" s="171" t="n"/>
      <c r="BB68" s="242" t="n"/>
      <c r="BC68" s="243" t="inlineStr">
        <is>
          <t>한강메디플러스</t>
        </is>
      </c>
      <c r="BD68" s="243" t="inlineStr">
        <is>
          <t>400/82</t>
        </is>
      </c>
      <c r="BE68" s="204" t="inlineStr">
        <is>
          <t>장기동</t>
        </is>
      </c>
      <c r="BF68" s="205" t="n">
        <v>0.3125</v>
      </c>
      <c r="BG68" s="244" t="n">
        <v>1123100</v>
      </c>
      <c r="BH68" s="204" t="n"/>
      <c r="BI68" s="207" t="n"/>
      <c r="BJ68" s="245" t="n"/>
      <c r="BK68" s="209" t="n"/>
      <c r="BL68" s="210" t="n"/>
      <c r="BM68" s="246" t="n"/>
      <c r="BN68" s="171" t="n"/>
      <c r="BO68" s="171" t="n"/>
      <c r="BP68" s="171" t="n"/>
      <c r="BQ68" s="171" t="n"/>
      <c r="BR68" s="171" t="n"/>
      <c r="BS68" s="171" t="n"/>
      <c r="BT68" s="171" t="n"/>
      <c r="BU68" s="171" t="n"/>
      <c r="BV68" s="171" t="n"/>
      <c r="BW68" s="171" t="n"/>
      <c r="BX68" s="171" t="n"/>
      <c r="BY68" s="171" t="n"/>
      <c r="BZ68" s="171" t="n"/>
      <c r="CA68" s="171" t="n"/>
      <c r="CB68" s="171" t="n"/>
      <c r="CC68" s="171" t="n"/>
      <c r="CD68" s="171" t="n"/>
      <c r="CE68" s="171" t="n"/>
      <c r="CF68" s="171" t="n"/>
      <c r="CG68" s="171" t="n"/>
      <c r="CH68" s="171" t="n"/>
      <c r="CI68" s="171" t="n"/>
      <c r="CJ68" s="171" t="n"/>
      <c r="CK68" s="171" t="n"/>
      <c r="CL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242" t="n"/>
      <c r="P69" s="243" t="inlineStr">
        <is>
          <t>김포청소년수련원</t>
        </is>
      </c>
      <c r="Q69" s="243" t="inlineStr">
        <is>
          <t>전기차</t>
        </is>
      </c>
      <c r="R69" s="204" t="inlineStr">
        <is>
          <t>고막리</t>
        </is>
      </c>
      <c r="S69" s="205" t="n">
        <v>0.4583333333333333</v>
      </c>
      <c r="T69" s="244" t="n">
        <v>237600</v>
      </c>
      <c r="U69" s="204" t="inlineStr">
        <is>
          <t>민재홍</t>
        </is>
      </c>
      <c r="V69" s="207" t="inlineStr">
        <is>
          <t>김포시청</t>
        </is>
      </c>
      <c r="W69" s="245" t="inlineStr">
        <is>
          <t>부분</t>
        </is>
      </c>
      <c r="X69" s="209" t="n"/>
      <c r="Y69" s="210" t="n"/>
      <c r="Z69" s="246" t="inlineStr">
        <is>
          <t>이덕기</t>
        </is>
      </c>
      <c r="AA69" s="171" t="n"/>
      <c r="AB69" s="242" t="n"/>
      <c r="AC69" s="243" t="inlineStr">
        <is>
          <t>김포공설봉안당</t>
        </is>
      </c>
      <c r="AD69" s="243" t="inlineStr">
        <is>
          <t>300/90</t>
        </is>
      </c>
      <c r="AE69" s="204" t="inlineStr">
        <is>
          <t>마산동</t>
        </is>
      </c>
      <c r="AF69" s="205" t="n">
        <v>0.3958333333333333</v>
      </c>
      <c r="AG69" s="244" t="n">
        <v>684970</v>
      </c>
      <c r="AH69" s="204" t="inlineStr">
        <is>
          <t>서수형</t>
        </is>
      </c>
      <c r="AI69" s="207" t="n"/>
      <c r="AJ69" s="245" t="n"/>
      <c r="AK69" s="209" t="n"/>
      <c r="AL69" s="210" t="n"/>
      <c r="AM69" s="246" t="n"/>
      <c r="AN69" s="171" t="n"/>
      <c r="AO69" s="242" t="n"/>
      <c r="AP69" s="243" t="inlineStr">
        <is>
          <t>대양스틸산업</t>
        </is>
      </c>
      <c r="AQ69" s="243" t="n">
        <v>200</v>
      </c>
      <c r="AR69" s="204" t="inlineStr">
        <is>
          <t>송마리</t>
        </is>
      </c>
      <c r="AS69" s="205" t="n">
        <v>0.4583333333333333</v>
      </c>
      <c r="AT69" s="244" t="n">
        <v>456720</v>
      </c>
      <c r="AU69" s="204" t="n"/>
      <c r="AV69" s="207" t="n"/>
      <c r="AW69" s="245" t="n"/>
      <c r="AX69" s="209" t="n"/>
      <c r="AY69" s="210" t="n"/>
      <c r="AZ69" s="246" t="n"/>
      <c r="BA69" s="171" t="n"/>
      <c r="BB69" s="242" t="n"/>
      <c r="BC69" s="243" t="inlineStr">
        <is>
          <t>경서프라자</t>
        </is>
      </c>
      <c r="BD69" s="243" t="n">
        <v>400</v>
      </c>
      <c r="BE69" s="204" t="inlineStr">
        <is>
          <t>장기동</t>
        </is>
      </c>
      <c r="BF69" s="205" t="n">
        <v>0.2916666666666667</v>
      </c>
      <c r="BG69" s="244" t="n">
        <v>913990</v>
      </c>
      <c r="BH69" s="204" t="n"/>
      <c r="BI69" s="207" t="n"/>
      <c r="BJ69" s="245" t="n"/>
      <c r="BK69" s="209" t="n"/>
      <c r="BL69" s="210" t="n"/>
      <c r="BM69" s="246" t="n"/>
      <c r="BN69" s="171" t="n"/>
      <c r="BO69" s="171" t="n"/>
      <c r="BP69" s="171" t="n"/>
      <c r="BQ69" s="171" t="n"/>
      <c r="BR69" s="171" t="n"/>
      <c r="BS69" s="171" t="n"/>
      <c r="BT69" s="171" t="n"/>
      <c r="BU69" s="171" t="n"/>
      <c r="BV69" s="171" t="n"/>
      <c r="BW69" s="171" t="n"/>
      <c r="BX69" s="171" t="n"/>
      <c r="BY69" s="171" t="n"/>
      <c r="BZ69" s="171" t="n"/>
      <c r="CA69" s="171" t="n"/>
      <c r="CB69" s="171" t="n"/>
      <c r="CC69" s="171" t="n"/>
      <c r="CD69" s="171" t="n"/>
      <c r="CE69" s="171" t="n"/>
      <c r="CF69" s="171" t="n"/>
      <c r="CG69" s="171" t="n"/>
      <c r="CH69" s="171" t="n"/>
      <c r="CI69" s="171" t="n"/>
      <c r="CJ69" s="171" t="n"/>
      <c r="CK69" s="171" t="n"/>
      <c r="CL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242" t="n"/>
      <c r="P70" s="243" t="inlineStr">
        <is>
          <t>김포청소년수련원</t>
        </is>
      </c>
      <c r="Q70" s="243" t="inlineStr">
        <is>
          <t>850/182</t>
        </is>
      </c>
      <c r="R70" s="204" t="inlineStr">
        <is>
          <t>고막리</t>
        </is>
      </c>
      <c r="S70" s="205" t="n">
        <v>0.4583333333333333</v>
      </c>
      <c r="T70" s="244" t="n">
        <v>1045990</v>
      </c>
      <c r="U70" s="204" t="inlineStr">
        <is>
          <t>민재홍</t>
        </is>
      </c>
      <c r="V70" s="207" t="n"/>
      <c r="W70" s="245" t="n"/>
      <c r="X70" s="209" t="n"/>
      <c r="Y70" s="210" t="n"/>
      <c r="Z70" s="246" t="n"/>
      <c r="AA70" s="171" t="n"/>
      <c r="AB70" s="242" t="n"/>
      <c r="AC70" s="243" t="inlineStr">
        <is>
          <t>이마트</t>
        </is>
      </c>
      <c r="AD70" s="243" t="inlineStr">
        <is>
          <t>전기차</t>
        </is>
      </c>
      <c r="AE70" s="204" t="inlineStr">
        <is>
          <t>구래동</t>
        </is>
      </c>
      <c r="AF70" s="205" t="n">
        <v>0.4166666666666667</v>
      </c>
      <c r="AG70" s="244" t="n">
        <v>106590</v>
      </c>
      <c r="AH70" s="204" t="inlineStr">
        <is>
          <t>당효진</t>
        </is>
      </c>
      <c r="AI70" s="207" t="n"/>
      <c r="AJ70" s="245" t="n"/>
      <c r="AK70" s="209" t="n"/>
      <c r="AL70" s="210" t="n"/>
      <c r="AM70" s="246" t="n"/>
      <c r="AN70" s="171" t="n"/>
      <c r="AO70" s="242" t="n"/>
      <c r="AP70" s="243" t="inlineStr">
        <is>
          <t>제일사</t>
        </is>
      </c>
      <c r="AQ70" s="243" t="n">
        <v>300</v>
      </c>
      <c r="AR70" s="204" t="inlineStr">
        <is>
          <t>북변동</t>
        </is>
      </c>
      <c r="AS70" s="205" t="n">
        <v>0.3958333333333333</v>
      </c>
      <c r="AT70" s="244" t="n">
        <v>521730</v>
      </c>
      <c r="AU70" s="204" t="n"/>
      <c r="AV70" s="207" t="n"/>
      <c r="AW70" s="245" t="n"/>
      <c r="AX70" s="209" t="n"/>
      <c r="AY70" s="210" t="n"/>
      <c r="AZ70" s="246" t="n"/>
      <c r="BA70" s="171" t="n"/>
      <c r="BB70" s="242" t="n"/>
      <c r="BC70" s="243" t="inlineStr">
        <is>
          <t>한강프라자</t>
        </is>
      </c>
      <c r="BD70" s="243" t="n">
        <v>700</v>
      </c>
      <c r="BE70" s="204" t="inlineStr">
        <is>
          <t>신곡리</t>
        </is>
      </c>
      <c r="BF70" s="205" t="n">
        <v>0.3958333333333333</v>
      </c>
      <c r="BG70" s="244" t="n">
        <v>804760</v>
      </c>
      <c r="BH70" s="204" t="inlineStr">
        <is>
          <t>허창수</t>
        </is>
      </c>
      <c r="BI70" s="207" t="n"/>
      <c r="BJ70" s="245" t="n"/>
      <c r="BK70" s="209" t="n"/>
      <c r="BL70" s="210" t="n"/>
      <c r="BM70" s="246" t="n"/>
      <c r="BN70" s="171" t="n"/>
      <c r="BO70" s="171" t="n"/>
      <c r="BP70" s="171" t="n"/>
      <c r="BQ70" s="171" t="n"/>
      <c r="BR70" s="171" t="n"/>
      <c r="BS70" s="171" t="n"/>
      <c r="BT70" s="171" t="n"/>
      <c r="BU70" s="171" t="n"/>
      <c r="BV70" s="171" t="n"/>
      <c r="BW70" s="171" t="n"/>
      <c r="BX70" s="171" t="n"/>
      <c r="BY70" s="171" t="n"/>
      <c r="BZ70" s="171" t="n"/>
      <c r="CA70" s="171" t="n"/>
      <c r="CB70" s="171" t="n"/>
      <c r="CC70" s="171" t="n"/>
      <c r="CD70" s="171" t="n"/>
      <c r="CE70" s="171" t="n"/>
      <c r="CF70" s="171" t="n"/>
      <c r="CG70" s="171" t="n"/>
      <c r="CH70" s="171" t="n"/>
      <c r="CI70" s="171" t="n"/>
      <c r="CJ70" s="171" t="n"/>
      <c r="CK70" s="171" t="n"/>
      <c r="CL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242" t="n"/>
      <c r="P71" s="243" t="inlineStr">
        <is>
          <t>한강리더스</t>
        </is>
      </c>
      <c r="Q71" s="243" t="n">
        <v>600</v>
      </c>
      <c r="R71" s="204" t="inlineStr">
        <is>
          <t>구래동</t>
        </is>
      </c>
      <c r="S71" s="205" t="n">
        <v>0.3958333333333333</v>
      </c>
      <c r="T71" s="244" t="n">
        <v>770880</v>
      </c>
      <c r="U71" s="204" t="inlineStr">
        <is>
          <t>김영권</t>
        </is>
      </c>
      <c r="V71" s="207" t="n"/>
      <c r="W71" s="245" t="n"/>
      <c r="X71" s="209" t="n"/>
      <c r="Y71" s="210" t="n"/>
      <c r="Z71" s="246" t="n"/>
      <c r="AA71" s="171" t="n"/>
      <c r="AB71" s="242" t="n"/>
      <c r="AC71" s="243" t="inlineStr">
        <is>
          <t>늘루른비엠씨</t>
        </is>
      </c>
      <c r="AD71" s="243" t="n">
        <v>500</v>
      </c>
      <c r="AE71" s="204" t="inlineStr">
        <is>
          <t>구래동</t>
        </is>
      </c>
      <c r="AF71" s="205" t="n">
        <v>0.3958333333333333</v>
      </c>
      <c r="AG71" s="244" t="n">
        <v>737000</v>
      </c>
      <c r="AH71" s="204" t="inlineStr">
        <is>
          <t>허록종</t>
        </is>
      </c>
      <c r="AI71" s="207" t="n"/>
      <c r="AJ71" s="245" t="n"/>
      <c r="AK71" s="209" t="n"/>
      <c r="AL71" s="210" t="n"/>
      <c r="AM71" s="246" t="n"/>
      <c r="AN71" s="171" t="n"/>
      <c r="AO71" s="242" t="n"/>
      <c r="AP71" s="243" t="n"/>
      <c r="AQ71" s="243" t="n"/>
      <c r="AR71" s="204" t="n"/>
      <c r="AS71" s="205" t="n"/>
      <c r="AT71" s="244" t="n"/>
      <c r="AU71" s="204" t="n"/>
      <c r="AV71" s="207" t="n"/>
      <c r="AW71" s="245" t="n"/>
      <c r="AX71" s="209" t="n"/>
      <c r="AY71" s="210" t="n"/>
      <c r="AZ71" s="246" t="n"/>
      <c r="BA71" s="171" t="n"/>
      <c r="BB71" s="242" t="n"/>
      <c r="BC71" s="243" t="inlineStr">
        <is>
          <t>세희</t>
        </is>
      </c>
      <c r="BD71" s="243" t="inlineStr">
        <is>
          <t>500/182</t>
        </is>
      </c>
      <c r="BE71" s="204" t="inlineStr">
        <is>
          <t>풍무동</t>
        </is>
      </c>
      <c r="BF71" s="205" t="n">
        <v>0.5833333333333334</v>
      </c>
      <c r="BG71" s="244" t="n">
        <v>927410</v>
      </c>
      <c r="BH71" s="204" t="n"/>
      <c r="BI71" s="207" t="n"/>
      <c r="BJ71" s="245" t="n"/>
      <c r="BK71" s="209" t="n"/>
      <c r="BL71" s="210" t="n"/>
      <c r="BM71" s="246" t="n"/>
      <c r="BN71" s="171" t="n"/>
      <c r="BO71" s="171" t="n"/>
      <c r="BP71" s="171" t="n"/>
      <c r="BQ71" s="171" t="n"/>
      <c r="BR71" s="171" t="n"/>
      <c r="BS71" s="171" t="n"/>
      <c r="BT71" s="171" t="n"/>
      <c r="BU71" s="171" t="n"/>
      <c r="BV71" s="171" t="n"/>
      <c r="BW71" s="171" t="n"/>
      <c r="BX71" s="171" t="n"/>
      <c r="BY71" s="171" t="n"/>
      <c r="BZ71" s="171" t="n"/>
      <c r="CA71" s="171" t="n"/>
      <c r="CB71" s="171" t="n"/>
      <c r="CC71" s="171" t="n"/>
      <c r="CD71" s="171" t="n"/>
      <c r="CE71" s="171" t="n"/>
      <c r="CF71" s="171" t="n"/>
      <c r="CG71" s="171" t="n"/>
      <c r="CH71" s="171" t="n"/>
      <c r="CI71" s="171" t="n"/>
      <c r="CJ71" s="171" t="n"/>
      <c r="CK71" s="171" t="n"/>
      <c r="CL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242" t="n"/>
      <c r="P72" s="243" t="n"/>
      <c r="Q72" s="243" t="n"/>
      <c r="R72" s="204" t="n"/>
      <c r="S72" s="205" t="n"/>
      <c r="T72" s="244" t="n"/>
      <c r="U72" s="204" t="n"/>
      <c r="V72" s="207" t="n"/>
      <c r="W72" s="245" t="n"/>
      <c r="X72" s="209" t="n"/>
      <c r="Y72" s="210" t="n"/>
      <c r="Z72" s="246" t="n"/>
      <c r="AA72" s="171" t="n"/>
      <c r="AB72" s="242" t="n"/>
      <c r="AC72" s="243" t="inlineStr">
        <is>
          <t>현대태양광</t>
        </is>
      </c>
      <c r="AD72" s="243" t="n">
        <v>43</v>
      </c>
      <c r="AE72" s="204" t="inlineStr">
        <is>
          <t>귀전리</t>
        </is>
      </c>
      <c r="AF72" s="205" t="n">
        <v>0.4166666666666667</v>
      </c>
      <c r="AG72" s="244" t="n">
        <v>196680</v>
      </c>
      <c r="AH72" s="204" t="inlineStr">
        <is>
          <t>서수형</t>
        </is>
      </c>
      <c r="AI72" s="207" t="n"/>
      <c r="AJ72" s="245" t="n"/>
      <c r="AK72" s="209" t="n"/>
      <c r="AL72" s="210" t="n"/>
      <c r="AM72" s="246" t="n"/>
      <c r="AN72" s="171" t="n"/>
      <c r="AO72" s="242" t="n"/>
      <c r="AP72" s="243" t="n"/>
      <c r="AQ72" s="243" t="n"/>
      <c r="AR72" s="204" t="n"/>
      <c r="AS72" s="205" t="n"/>
      <c r="AT72" s="244" t="n"/>
      <c r="AU72" s="204" t="n"/>
      <c r="AV72" s="207" t="n"/>
      <c r="AW72" s="245" t="n"/>
      <c r="AX72" s="209" t="n"/>
      <c r="AY72" s="210" t="n"/>
      <c r="AZ72" s="246" t="n"/>
      <c r="BA72" s="171" t="n"/>
      <c r="BB72" s="242" t="n"/>
      <c r="BC72" s="243" t="inlineStr">
        <is>
          <t>이마트-기배부</t>
        </is>
      </c>
      <c r="BD72" s="243" t="n"/>
      <c r="BE72" s="204" t="inlineStr">
        <is>
          <t>장기동</t>
        </is>
      </c>
      <c r="BF72" s="205" t="n"/>
      <c r="BG72" s="244" t="n">
        <v>1736350</v>
      </c>
      <c r="BH72" s="204" t="inlineStr">
        <is>
          <t>이덕기</t>
        </is>
      </c>
      <c r="BI72" s="207" t="n"/>
      <c r="BJ72" s="245" t="n"/>
      <c r="BK72" s="209" t="n"/>
      <c r="BL72" s="210" t="n"/>
      <c r="BM72" s="246" t="n"/>
      <c r="BN72" s="171" t="n"/>
      <c r="BO72" s="171" t="n"/>
      <c r="BP72" s="171" t="n"/>
      <c r="BQ72" s="171" t="n"/>
      <c r="BR72" s="171" t="n"/>
      <c r="BS72" s="171" t="n"/>
      <c r="BT72" s="171" t="n"/>
      <c r="BU72" s="171" t="n"/>
      <c r="BV72" s="171" t="n"/>
      <c r="BW72" s="171" t="n"/>
      <c r="BX72" s="171" t="n"/>
      <c r="BY72" s="171" t="n"/>
      <c r="BZ72" s="171" t="n"/>
      <c r="CA72" s="171" t="n"/>
      <c r="CB72" s="171" t="n"/>
      <c r="CC72" s="171" t="n"/>
      <c r="CD72" s="171" t="n"/>
      <c r="CE72" s="171" t="n"/>
      <c r="CF72" s="171" t="n"/>
      <c r="CG72" s="171" t="n"/>
      <c r="CH72" s="171" t="n"/>
      <c r="CI72" s="171" t="n"/>
      <c r="CJ72" s="171" t="n"/>
      <c r="CK72" s="171" t="n"/>
      <c r="CL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242" t="n"/>
      <c r="P73" s="243" t="n"/>
      <c r="Q73" s="243" t="n"/>
      <c r="R73" s="204" t="n"/>
      <c r="S73" s="205" t="n"/>
      <c r="T73" s="244" t="n"/>
      <c r="U73" s="204" t="n"/>
      <c r="V73" s="207" t="n"/>
      <c r="W73" s="245" t="n"/>
      <c r="X73" s="209" t="n"/>
      <c r="Y73" s="210" t="n"/>
      <c r="Z73" s="246" t="n"/>
      <c r="AA73" s="171" t="n"/>
      <c r="AB73" s="242" t="n"/>
      <c r="AC73" s="243" t="inlineStr">
        <is>
          <t>엘지유플러스</t>
        </is>
      </c>
      <c r="AD73" s="243" t="inlineStr">
        <is>
          <t>전기차</t>
        </is>
      </c>
      <c r="AE73" s="204" t="inlineStr">
        <is>
          <t>구래동</t>
        </is>
      </c>
      <c r="AF73" s="205" t="n"/>
      <c r="AG73" s="244" t="n">
        <v>81180</v>
      </c>
      <c r="AH73" s="204" t="inlineStr">
        <is>
          <t>옹승완</t>
        </is>
      </c>
      <c r="AI73" s="207" t="n"/>
      <c r="AJ73" s="245" t="n"/>
      <c r="AK73" s="209" t="n"/>
      <c r="AL73" s="210" t="n"/>
      <c r="AM73" s="246" t="n"/>
      <c r="AN73" s="171" t="n"/>
      <c r="AO73" s="242" t="n"/>
      <c r="AP73" s="243" t="n"/>
      <c r="AQ73" s="243" t="n"/>
      <c r="AR73" s="204" t="n"/>
      <c r="AS73" s="205" t="n"/>
      <c r="AT73" s="244" t="n"/>
      <c r="AU73" s="204" t="n"/>
      <c r="AV73" s="207" t="n"/>
      <c r="AW73" s="245" t="n"/>
      <c r="AX73" s="209" t="n"/>
      <c r="AY73" s="210" t="n"/>
      <c r="AZ73" s="246" t="n"/>
      <c r="BA73" s="171" t="n"/>
      <c r="BB73" s="242" t="n"/>
      <c r="BC73" s="243" t="inlineStr">
        <is>
          <t>청우</t>
        </is>
      </c>
      <c r="BD73" s="243" t="n">
        <v>290</v>
      </c>
      <c r="BE73" s="204" t="inlineStr">
        <is>
          <t>가현리</t>
        </is>
      </c>
      <c r="BF73" s="205" t="n">
        <v>0.5</v>
      </c>
      <c r="BG73" s="244" t="n">
        <v>515130</v>
      </c>
      <c r="BH73" s="204" t="n"/>
      <c r="BI73" s="207" t="n"/>
      <c r="BJ73" s="245" t="n"/>
      <c r="BK73" s="209" t="n"/>
      <c r="BL73" s="210" t="n"/>
      <c r="BM73" s="246" t="n"/>
      <c r="BN73" s="171" t="n"/>
      <c r="BO73" s="171" t="n"/>
      <c r="BP73" s="171" t="n"/>
      <c r="BQ73" s="171" t="n"/>
      <c r="BR73" s="171" t="n"/>
      <c r="BS73" s="171" t="n"/>
      <c r="BT73" s="171" t="n"/>
      <c r="BU73" s="171" t="n"/>
      <c r="BV73" s="171" t="n"/>
      <c r="BW73" s="171" t="n"/>
      <c r="BX73" s="171" t="n"/>
      <c r="BY73" s="171" t="n"/>
      <c r="BZ73" s="171" t="n"/>
      <c r="CA73" s="171" t="n"/>
      <c r="CB73" s="171" t="n"/>
      <c r="CC73" s="171" t="n"/>
      <c r="CD73" s="171" t="n"/>
      <c r="CE73" s="171" t="n"/>
      <c r="CF73" s="171" t="n"/>
      <c r="CG73" s="171" t="n"/>
      <c r="CH73" s="171" t="n"/>
      <c r="CI73" s="171" t="n"/>
      <c r="CJ73" s="171" t="n"/>
      <c r="CK73" s="171" t="n"/>
      <c r="CL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242" t="n"/>
      <c r="P74" s="243" t="n"/>
      <c r="Q74" s="243" t="n"/>
      <c r="R74" s="204" t="n"/>
      <c r="S74" s="205" t="n"/>
      <c r="T74" s="244" t="n"/>
      <c r="U74" s="204" t="n"/>
      <c r="V74" s="207" t="n"/>
      <c r="W74" s="245" t="n"/>
      <c r="X74" s="209" t="n"/>
      <c r="Y74" s="210" t="n"/>
      <c r="Z74" s="246" t="n"/>
      <c r="AA74" s="171" t="n"/>
      <c r="AB74" s="242" t="n"/>
      <c r="AC74" s="243" t="inlineStr">
        <is>
          <t>김포장릉</t>
        </is>
      </c>
      <c r="AD74" s="243" t="n">
        <v>24</v>
      </c>
      <c r="AE74" s="204" t="inlineStr">
        <is>
          <t>풍무동</t>
        </is>
      </c>
      <c r="AF74" s="205" t="n">
        <v>0.4791666666666667</v>
      </c>
      <c r="AG74" s="244" t="n">
        <v>176220</v>
      </c>
      <c r="AH74" s="204" t="inlineStr">
        <is>
          <t>옹승완</t>
        </is>
      </c>
      <c r="AI74" s="207" t="n"/>
      <c r="AJ74" s="245" t="n"/>
      <c r="AK74" s="209" t="n"/>
      <c r="AL74" s="210" t="n"/>
      <c r="AM74" s="246" t="n"/>
      <c r="AN74" s="171" t="n"/>
      <c r="AO74" s="242" t="n"/>
      <c r="AP74" s="243" t="n"/>
      <c r="AQ74" s="243" t="n"/>
      <c r="AR74" s="204" t="n"/>
      <c r="AS74" s="205" t="n"/>
      <c r="AT74" s="244" t="n"/>
      <c r="AU74" s="204" t="n"/>
      <c r="AV74" s="207" t="n"/>
      <c r="AW74" s="245" t="n"/>
      <c r="AX74" s="209" t="n"/>
      <c r="AY74" s="210" t="n"/>
      <c r="AZ74" s="246" t="n"/>
      <c r="BA74" s="171" t="n"/>
      <c r="BB74" s="242" t="n"/>
      <c r="BC74" s="243" t="n"/>
      <c r="BD74" s="243" t="n"/>
      <c r="BE74" s="204" t="n"/>
      <c r="BF74" s="205" t="n"/>
      <c r="BG74" s="244" t="n"/>
      <c r="BH74" s="204" t="n"/>
      <c r="BI74" s="207" t="n"/>
      <c r="BJ74" s="245" t="n"/>
      <c r="BK74" s="209" t="n"/>
      <c r="BL74" s="210" t="n"/>
      <c r="BM74" s="246" t="n"/>
      <c r="BN74" s="171" t="n"/>
      <c r="BO74" s="171" t="n"/>
      <c r="BP74" s="171" t="n"/>
      <c r="BQ74" s="171" t="n"/>
      <c r="BR74" s="171" t="n"/>
      <c r="BS74" s="171" t="n"/>
      <c r="BT74" s="171" t="n"/>
      <c r="BU74" s="171" t="n"/>
      <c r="BV74" s="171" t="n"/>
      <c r="BW74" s="171" t="n"/>
      <c r="BX74" s="171" t="n"/>
      <c r="BY74" s="171" t="n"/>
      <c r="BZ74" s="171" t="n"/>
      <c r="CA74" s="171" t="n"/>
      <c r="CB74" s="171" t="n"/>
      <c r="CC74" s="171" t="n"/>
      <c r="CD74" s="171" t="n"/>
      <c r="CE74" s="171" t="n"/>
      <c r="CF74" s="171" t="n"/>
      <c r="CG74" s="171" t="n"/>
      <c r="CH74" s="171" t="n"/>
      <c r="CI74" s="171" t="n"/>
      <c r="CJ74" s="171" t="n"/>
      <c r="CK74" s="171" t="n"/>
      <c r="CL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242" t="n"/>
      <c r="P75" s="243" t="n"/>
      <c r="Q75" s="243" t="n"/>
      <c r="R75" s="204" t="n"/>
      <c r="S75" s="205" t="n"/>
      <c r="T75" s="244" t="n"/>
      <c r="U75" s="204" t="n"/>
      <c r="V75" s="207" t="n"/>
      <c r="W75" s="245" t="n"/>
      <c r="X75" s="209" t="n"/>
      <c r="Y75" s="210" t="n"/>
      <c r="Z75" s="246" t="n"/>
      <c r="AA75" s="171" t="n"/>
      <c r="AB75" s="242" t="n"/>
      <c r="AC75" s="243" t="inlineStr">
        <is>
          <t>갈산태양광</t>
        </is>
      </c>
      <c r="AD75" s="243" t="n">
        <v>59</v>
      </c>
      <c r="AE75" s="204" t="inlineStr">
        <is>
          <t>갈산리</t>
        </is>
      </c>
      <c r="AF75" s="205" t="n">
        <v>0.4791666666666667</v>
      </c>
      <c r="AG75" s="244" t="n">
        <v>213070</v>
      </c>
      <c r="AH75" s="204" t="inlineStr">
        <is>
          <t>옹승완</t>
        </is>
      </c>
      <c r="AI75" s="207" t="n"/>
      <c r="AJ75" s="245" t="n"/>
      <c r="AK75" s="209" t="n"/>
      <c r="AL75" s="210" t="n"/>
      <c r="AM75" s="246" t="n"/>
      <c r="AN75" s="171" t="n"/>
      <c r="AO75" s="242" t="n"/>
      <c r="AP75" s="243" t="n"/>
      <c r="AQ75" s="243" t="n"/>
      <c r="AR75" s="204" t="n"/>
      <c r="AS75" s="205" t="n"/>
      <c r="AT75" s="244" t="n"/>
      <c r="AU75" s="204" t="n"/>
      <c r="AV75" s="207" t="n"/>
      <c r="AW75" s="245" t="n"/>
      <c r="AX75" s="209" t="n"/>
      <c r="AY75" s="210" t="n"/>
      <c r="AZ75" s="246" t="n"/>
      <c r="BA75" s="171" t="n"/>
      <c r="BB75" s="242" t="n"/>
      <c r="BC75" s="243" t="n"/>
      <c r="BD75" s="243" t="n"/>
      <c r="BE75" s="204" t="n"/>
      <c r="BF75" s="205" t="n"/>
      <c r="BG75" s="244" t="n"/>
      <c r="BH75" s="204" t="n"/>
      <c r="BI75" s="207" t="n"/>
      <c r="BJ75" s="245" t="n"/>
      <c r="BK75" s="209" t="n"/>
      <c r="BL75" s="210" t="n"/>
      <c r="BM75" s="246" t="n"/>
      <c r="BN75" s="171" t="n"/>
      <c r="BO75" s="171" t="n"/>
      <c r="BP75" s="171" t="n"/>
      <c r="BQ75" s="171" t="n"/>
      <c r="BR75" s="171" t="n"/>
      <c r="BS75" s="171" t="n"/>
      <c r="BT75" s="171" t="n"/>
      <c r="BU75" s="171" t="n"/>
      <c r="BV75" s="171" t="n"/>
      <c r="BW75" s="171" t="n"/>
      <c r="BX75" s="171" t="n"/>
      <c r="BY75" s="171" t="n"/>
      <c r="BZ75" s="171" t="n"/>
      <c r="CA75" s="171" t="n"/>
      <c r="CB75" s="171" t="n"/>
      <c r="CC75" s="171" t="n"/>
      <c r="CD75" s="171" t="n"/>
      <c r="CE75" s="171" t="n"/>
      <c r="CF75" s="171" t="n"/>
      <c r="CG75" s="171" t="n"/>
      <c r="CH75" s="171" t="n"/>
      <c r="CI75" s="171" t="n"/>
      <c r="CJ75" s="171" t="n"/>
      <c r="CK75" s="171" t="n"/>
      <c r="CL75" s="171" t="n"/>
    </row>
    <row r="76" ht="18" customHeight="1" s="22" thickBot="1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252" t="inlineStr">
        <is>
          <t>비고</t>
        </is>
      </c>
      <c r="P76" s="253" t="n"/>
      <c r="Q76" s="253" t="n"/>
      <c r="R76" s="253" t="n"/>
      <c r="S76" s="253" t="n"/>
      <c r="T76" s="253" t="n"/>
      <c r="U76" s="253" t="n"/>
      <c r="V76" s="254" t="n"/>
      <c r="W76" s="253" t="n"/>
      <c r="X76" s="253" t="n"/>
      <c r="Y76" s="253" t="n"/>
      <c r="Z76" s="255" t="n"/>
      <c r="AA76" s="171" t="n"/>
      <c r="AB76" s="252" t="inlineStr">
        <is>
          <t>비고</t>
        </is>
      </c>
      <c r="AC76" s="253" t="n"/>
      <c r="AD76" s="253" t="n"/>
      <c r="AE76" s="253" t="n"/>
      <c r="AF76" s="253" t="n"/>
      <c r="AG76" s="253" t="n"/>
      <c r="AH76" s="253" t="n"/>
      <c r="AI76" s="254" t="n"/>
      <c r="AJ76" s="253" t="n"/>
      <c r="AK76" s="253" t="n"/>
      <c r="AL76" s="253" t="n"/>
      <c r="AM76" s="255" t="n"/>
      <c r="AN76" s="171" t="n"/>
      <c r="AO76" s="252" t="inlineStr">
        <is>
          <t>비고</t>
        </is>
      </c>
      <c r="AP76" s="253" t="n"/>
      <c r="AQ76" s="253" t="n"/>
      <c r="AR76" s="253" t="n"/>
      <c r="AS76" s="253" t="n"/>
      <c r="AT76" s="253" t="n"/>
      <c r="AU76" s="253" t="n"/>
      <c r="AV76" s="254" t="n"/>
      <c r="AW76" s="253" t="n"/>
      <c r="AX76" s="253" t="n"/>
      <c r="AY76" s="253" t="n"/>
      <c r="AZ76" s="255" t="n"/>
      <c r="BA76" s="171" t="n"/>
      <c r="BB76" s="252" t="inlineStr">
        <is>
          <t>비고</t>
        </is>
      </c>
      <c r="BC76" s="253" t="n"/>
      <c r="BD76" s="253" t="n"/>
      <c r="BE76" s="253" t="n"/>
      <c r="BF76" s="253" t="n"/>
      <c r="BG76" s="253" t="n"/>
      <c r="BH76" s="253" t="n"/>
      <c r="BI76" s="254" t="n"/>
      <c r="BJ76" s="253" t="n"/>
      <c r="BK76" s="253" t="n"/>
      <c r="BL76" s="253" t="n"/>
      <c r="BM76" s="255" t="n"/>
      <c r="BN76" s="171" t="n"/>
      <c r="BO76" s="171" t="n"/>
      <c r="BP76" s="171" t="n"/>
      <c r="BQ76" s="171" t="n"/>
      <c r="BR76" s="171" t="n"/>
      <c r="BS76" s="171" t="n"/>
      <c r="BT76" s="171" t="n"/>
      <c r="BU76" s="171" t="n"/>
      <c r="BV76" s="171" t="n"/>
      <c r="BW76" s="171" t="n"/>
      <c r="BX76" s="171" t="n"/>
      <c r="BY76" s="171" t="n"/>
      <c r="BZ76" s="171" t="n"/>
      <c r="CA76" s="171" t="n"/>
      <c r="CB76" s="171" t="n"/>
      <c r="CC76" s="171" t="n"/>
      <c r="CD76" s="171" t="n"/>
      <c r="CE76" s="171" t="n"/>
      <c r="CF76" s="171" t="n"/>
      <c r="CG76" s="171" t="n"/>
      <c r="CH76" s="171" t="n"/>
      <c r="CI76" s="171" t="n"/>
      <c r="CJ76" s="171" t="n"/>
      <c r="CK76" s="171" t="n"/>
      <c r="CL76" s="171" t="n"/>
    </row>
    <row r="77" ht="19.8" customHeight="1" s="22" thickBot="1">
      <c r="A77" s="171" t="n"/>
      <c r="B77" s="232" t="n">
        <v>46296</v>
      </c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233" t="inlineStr">
        <is>
          <t>(목)</t>
        </is>
      </c>
      <c r="N77" s="171" t="n"/>
      <c r="O77" s="232" t="n">
        <v>46303</v>
      </c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233" t="inlineStr">
        <is>
          <t>(목)</t>
        </is>
      </c>
      <c r="AA77" s="171" t="n"/>
      <c r="AB77" s="232" t="n">
        <v>46310</v>
      </c>
      <c r="AD77" s="171" t="n"/>
      <c r="AE77" s="171" t="n"/>
      <c r="AF77" s="171" t="n"/>
      <c r="AG77" s="171" t="n"/>
      <c r="AH77" s="171" t="n"/>
      <c r="AI77" s="171" t="n"/>
      <c r="AJ77" s="171" t="n"/>
      <c r="AK77" s="171" t="n"/>
      <c r="AL77" s="171" t="n"/>
      <c r="AM77" s="233" t="inlineStr">
        <is>
          <t>(목)</t>
        </is>
      </c>
      <c r="AN77" s="171" t="n"/>
      <c r="AO77" s="232" t="n">
        <v>46317</v>
      </c>
      <c r="AQ77" s="171" t="n"/>
      <c r="AR77" s="171" t="n"/>
      <c r="AS77" s="171" t="n"/>
      <c r="AT77" s="171" t="n"/>
      <c r="AU77" s="171" t="n"/>
      <c r="AV77" s="171" t="n"/>
      <c r="AW77" s="171" t="n"/>
      <c r="AX77" s="171" t="n"/>
      <c r="AY77" s="171" t="n"/>
      <c r="AZ77" s="233" t="inlineStr">
        <is>
          <t>(목)</t>
        </is>
      </c>
      <c r="BA77" s="171" t="n"/>
      <c r="BB77" s="232" t="n">
        <v>46324</v>
      </c>
      <c r="BD77" s="171" t="n"/>
      <c r="BE77" s="171" t="n"/>
      <c r="BF77" s="171" t="n"/>
      <c r="BG77" s="171" t="n"/>
      <c r="BH77" s="171" t="n"/>
      <c r="BI77" s="171" t="n"/>
      <c r="BJ77" s="171" t="n"/>
      <c r="BK77" s="171" t="n"/>
      <c r="BL77" s="171" t="n"/>
      <c r="BM77" s="233" t="inlineStr">
        <is>
          <t>(목)</t>
        </is>
      </c>
      <c r="BN77" s="171" t="n"/>
      <c r="BO77" s="171" t="n"/>
      <c r="BP77" s="171" t="n"/>
      <c r="BQ77" s="171" t="n"/>
      <c r="BR77" s="171" t="n"/>
      <c r="BS77" s="171" t="n"/>
      <c r="BT77" s="171" t="n"/>
      <c r="BU77" s="171" t="n"/>
      <c r="BV77" s="171" t="n"/>
      <c r="BW77" s="171" t="n"/>
      <c r="BX77" s="171" t="n"/>
      <c r="BY77" s="171" t="n"/>
      <c r="BZ77" s="171" t="n"/>
      <c r="CA77" s="171" t="n"/>
      <c r="CB77" s="171" t="n"/>
      <c r="CC77" s="171" t="n"/>
      <c r="CD77" s="171" t="n"/>
      <c r="CE77" s="171" t="n"/>
      <c r="CF77" s="171" t="n"/>
      <c r="CG77" s="171" t="n"/>
      <c r="CH77" s="171" t="n"/>
      <c r="CI77" s="171" t="n"/>
      <c r="CJ77" s="171" t="n"/>
      <c r="CK77" s="171" t="n"/>
      <c r="CL77" s="171" t="n"/>
    </row>
    <row r="78">
      <c r="A78" s="171" t="n"/>
      <c r="B78" s="234" t="inlineStr">
        <is>
          <t>정기검사</t>
        </is>
      </c>
      <c r="C78" s="235" t="n"/>
      <c r="D78" s="235" t="n"/>
      <c r="E78" s="235" t="n"/>
      <c r="F78" s="235" t="n"/>
      <c r="G78" s="235" t="n"/>
      <c r="H78" s="235" t="n"/>
      <c r="I78" s="236" t="inlineStr">
        <is>
          <t>사용전검사</t>
        </is>
      </c>
      <c r="J78" s="237" t="n"/>
      <c r="K78" s="237" t="n"/>
      <c r="L78" s="237" t="n"/>
      <c r="M78" s="238" t="n"/>
      <c r="N78" s="171" t="n"/>
      <c r="O78" s="234" t="inlineStr">
        <is>
          <t>정기검사</t>
        </is>
      </c>
      <c r="P78" s="235" t="n"/>
      <c r="Q78" s="235" t="n"/>
      <c r="R78" s="235" t="n"/>
      <c r="S78" s="235" t="n"/>
      <c r="T78" s="235" t="n"/>
      <c r="U78" s="235" t="n"/>
      <c r="V78" s="236" t="inlineStr">
        <is>
          <t>사용전검사</t>
        </is>
      </c>
      <c r="W78" s="237" t="n"/>
      <c r="X78" s="237" t="n"/>
      <c r="Y78" s="237" t="n"/>
      <c r="Z78" s="238" t="n"/>
      <c r="AA78" s="171" t="n"/>
      <c r="AB78" s="234" t="inlineStr">
        <is>
          <t>정기검사</t>
        </is>
      </c>
      <c r="AC78" s="235" t="n"/>
      <c r="AD78" s="235" t="n"/>
      <c r="AE78" s="235" t="n"/>
      <c r="AF78" s="235" t="n"/>
      <c r="AG78" s="235" t="n"/>
      <c r="AH78" s="235" t="n"/>
      <c r="AI78" s="236" t="inlineStr">
        <is>
          <t>사용전검사</t>
        </is>
      </c>
      <c r="AJ78" s="237" t="n"/>
      <c r="AK78" s="237" t="n"/>
      <c r="AL78" s="237" t="n"/>
      <c r="AM78" s="238" t="n"/>
      <c r="AN78" s="171" t="n"/>
      <c r="AO78" s="234" t="inlineStr">
        <is>
          <t>정기검사</t>
        </is>
      </c>
      <c r="AP78" s="235" t="n"/>
      <c r="AQ78" s="235" t="n"/>
      <c r="AR78" s="235" t="n"/>
      <c r="AS78" s="235" t="n"/>
      <c r="AT78" s="235" t="n"/>
      <c r="AU78" s="235" t="n"/>
      <c r="AV78" s="236" t="inlineStr">
        <is>
          <t>사용전검사</t>
        </is>
      </c>
      <c r="AW78" s="237" t="n"/>
      <c r="AX78" s="237" t="n"/>
      <c r="AY78" s="237" t="n"/>
      <c r="AZ78" s="238" t="n"/>
      <c r="BA78" s="171" t="n"/>
      <c r="BB78" s="234" t="inlineStr">
        <is>
          <t>정기검사</t>
        </is>
      </c>
      <c r="BC78" s="235" t="n"/>
      <c r="BD78" s="235" t="n"/>
      <c r="BE78" s="235" t="n"/>
      <c r="BF78" s="235" t="n"/>
      <c r="BG78" s="235" t="n"/>
      <c r="BH78" s="235" t="n"/>
      <c r="BI78" s="236" t="inlineStr">
        <is>
          <t>사용전검사</t>
        </is>
      </c>
      <c r="BJ78" s="237" t="n"/>
      <c r="BK78" s="237" t="n"/>
      <c r="BL78" s="237" t="n"/>
      <c r="BM78" s="238" t="n"/>
      <c r="BN78" s="171" t="n"/>
      <c r="BO78" s="171" t="n"/>
      <c r="BP78" s="171" t="n"/>
      <c r="BQ78" s="171" t="n"/>
      <c r="BR78" s="171" t="n"/>
      <c r="BS78" s="171" t="n"/>
      <c r="BT78" s="171" t="n"/>
      <c r="BU78" s="171" t="n"/>
      <c r="BV78" s="171" t="n"/>
      <c r="BW78" s="171" t="n"/>
      <c r="BX78" s="171" t="n"/>
      <c r="BY78" s="171" t="n"/>
      <c r="BZ78" s="171" t="n"/>
      <c r="CA78" s="171" t="n"/>
      <c r="CB78" s="171" t="n"/>
      <c r="CC78" s="171" t="n"/>
      <c r="CD78" s="171" t="n"/>
      <c r="CE78" s="171" t="n"/>
      <c r="CF78" s="171" t="n"/>
      <c r="CG78" s="171" t="n"/>
      <c r="CH78" s="171" t="n"/>
      <c r="CI78" s="171" t="n"/>
      <c r="CJ78" s="171" t="n"/>
      <c r="CK78" s="171" t="n"/>
      <c r="CL78" s="171" t="n"/>
    </row>
    <row r="79">
      <c r="A79" s="171" t="n"/>
      <c r="B79" s="239" t="inlineStr">
        <is>
          <t>구분</t>
        </is>
      </c>
      <c r="C79" s="240" t="inlineStr">
        <is>
          <t>상호</t>
        </is>
      </c>
      <c r="D79" s="240" t="inlineStr">
        <is>
          <t>용량</t>
        </is>
      </c>
      <c r="E79" s="240" t="inlineStr">
        <is>
          <t>지역</t>
        </is>
      </c>
      <c r="F79" s="240" t="inlineStr">
        <is>
          <t>시간</t>
        </is>
      </c>
      <c r="G79" s="240" t="inlineStr">
        <is>
          <t>수수료</t>
        </is>
      </c>
      <c r="H79" s="240" t="inlineStr">
        <is>
          <t>검사자</t>
        </is>
      </c>
      <c r="I79" s="239" t="inlineStr">
        <is>
          <t>상호</t>
        </is>
      </c>
      <c r="J79" s="240" t="inlineStr">
        <is>
          <t>용량</t>
        </is>
      </c>
      <c r="K79" s="240" t="inlineStr">
        <is>
          <t>지역</t>
        </is>
      </c>
      <c r="L79" s="240" t="inlineStr">
        <is>
          <t>시간</t>
        </is>
      </c>
      <c r="M79" s="241" t="inlineStr">
        <is>
          <t>검사자</t>
        </is>
      </c>
      <c r="N79" s="171" t="n"/>
      <c r="O79" s="239" t="inlineStr">
        <is>
          <t>구분</t>
        </is>
      </c>
      <c r="P79" s="240" t="inlineStr">
        <is>
          <t>상호</t>
        </is>
      </c>
      <c r="Q79" s="240" t="inlineStr">
        <is>
          <t>용량</t>
        </is>
      </c>
      <c r="R79" s="240" t="inlineStr">
        <is>
          <t>지역</t>
        </is>
      </c>
      <c r="S79" s="240" t="inlineStr">
        <is>
          <t>시간</t>
        </is>
      </c>
      <c r="T79" s="240" t="inlineStr">
        <is>
          <t>수수료</t>
        </is>
      </c>
      <c r="U79" s="240" t="inlineStr">
        <is>
          <t>검사자</t>
        </is>
      </c>
      <c r="V79" s="239" t="inlineStr">
        <is>
          <t>상호</t>
        </is>
      </c>
      <c r="W79" s="240" t="inlineStr">
        <is>
          <t>용량</t>
        </is>
      </c>
      <c r="X79" s="240" t="inlineStr">
        <is>
          <t>지역</t>
        </is>
      </c>
      <c r="Y79" s="240" t="inlineStr">
        <is>
          <t>시간</t>
        </is>
      </c>
      <c r="Z79" s="241" t="inlineStr">
        <is>
          <t>검사자</t>
        </is>
      </c>
      <c r="AA79" s="171" t="n"/>
      <c r="AB79" s="239" t="inlineStr">
        <is>
          <t>구분</t>
        </is>
      </c>
      <c r="AC79" s="240" t="inlineStr">
        <is>
          <t>상호</t>
        </is>
      </c>
      <c r="AD79" s="240" t="inlineStr">
        <is>
          <t>용량</t>
        </is>
      </c>
      <c r="AE79" s="240" t="inlineStr">
        <is>
          <t>지역</t>
        </is>
      </c>
      <c r="AF79" s="240" t="inlineStr">
        <is>
          <t>시간</t>
        </is>
      </c>
      <c r="AG79" s="240" t="inlineStr">
        <is>
          <t>수수료</t>
        </is>
      </c>
      <c r="AH79" s="240" t="inlineStr">
        <is>
          <t>검사자</t>
        </is>
      </c>
      <c r="AI79" s="239" t="inlineStr">
        <is>
          <t>상호</t>
        </is>
      </c>
      <c r="AJ79" s="240" t="inlineStr">
        <is>
          <t>용량</t>
        </is>
      </c>
      <c r="AK79" s="240" t="inlineStr">
        <is>
          <t>지역</t>
        </is>
      </c>
      <c r="AL79" s="240" t="inlineStr">
        <is>
          <t>시간</t>
        </is>
      </c>
      <c r="AM79" s="241" t="inlineStr">
        <is>
          <t>검사자</t>
        </is>
      </c>
      <c r="AN79" s="171" t="n"/>
      <c r="AO79" s="239" t="inlineStr">
        <is>
          <t>구분</t>
        </is>
      </c>
      <c r="AP79" s="240" t="inlineStr">
        <is>
          <t>상호</t>
        </is>
      </c>
      <c r="AQ79" s="240" t="inlineStr">
        <is>
          <t>용량</t>
        </is>
      </c>
      <c r="AR79" s="240" t="inlineStr">
        <is>
          <t>지역</t>
        </is>
      </c>
      <c r="AS79" s="240" t="inlineStr">
        <is>
          <t>시간</t>
        </is>
      </c>
      <c r="AT79" s="240" t="inlineStr">
        <is>
          <t>수수료</t>
        </is>
      </c>
      <c r="AU79" s="240" t="inlineStr">
        <is>
          <t>검사자</t>
        </is>
      </c>
      <c r="AV79" s="239" t="inlineStr">
        <is>
          <t>상호</t>
        </is>
      </c>
      <c r="AW79" s="240" t="inlineStr">
        <is>
          <t>용량</t>
        </is>
      </c>
      <c r="AX79" s="240" t="inlineStr">
        <is>
          <t>지역</t>
        </is>
      </c>
      <c r="AY79" s="240" t="inlineStr">
        <is>
          <t>시간</t>
        </is>
      </c>
      <c r="AZ79" s="241" t="inlineStr">
        <is>
          <t>검사자</t>
        </is>
      </c>
      <c r="BA79" s="171" t="n"/>
      <c r="BB79" s="239" t="inlineStr">
        <is>
          <t>구분</t>
        </is>
      </c>
      <c r="BC79" s="240" t="inlineStr">
        <is>
          <t>상호</t>
        </is>
      </c>
      <c r="BD79" s="240" t="inlineStr">
        <is>
          <t>용량</t>
        </is>
      </c>
      <c r="BE79" s="240" t="inlineStr">
        <is>
          <t>지역</t>
        </is>
      </c>
      <c r="BF79" s="240" t="inlineStr">
        <is>
          <t>시간</t>
        </is>
      </c>
      <c r="BG79" s="240" t="inlineStr">
        <is>
          <t>수수료</t>
        </is>
      </c>
      <c r="BH79" s="240" t="inlineStr">
        <is>
          <t>검사자</t>
        </is>
      </c>
      <c r="BI79" s="239" t="inlineStr">
        <is>
          <t>상호</t>
        </is>
      </c>
      <c r="BJ79" s="240" t="inlineStr">
        <is>
          <t>용량</t>
        </is>
      </c>
      <c r="BK79" s="240" t="inlineStr">
        <is>
          <t>지역</t>
        </is>
      </c>
      <c r="BL79" s="240" t="inlineStr">
        <is>
          <t>시간</t>
        </is>
      </c>
      <c r="BM79" s="241" t="inlineStr">
        <is>
          <t>검사자</t>
        </is>
      </c>
      <c r="BN79" s="171" t="n"/>
      <c r="BO79" s="171" t="n"/>
      <c r="BP79" s="171" t="n"/>
      <c r="BQ79" s="171" t="n"/>
      <c r="BR79" s="171" t="n"/>
      <c r="BS79" s="171" t="n"/>
      <c r="BT79" s="171" t="n"/>
      <c r="BU79" s="171" t="n"/>
      <c r="BV79" s="171" t="n"/>
      <c r="BW79" s="171" t="n"/>
      <c r="BX79" s="171" t="n"/>
      <c r="BY79" s="171" t="n"/>
      <c r="BZ79" s="171" t="n"/>
      <c r="CA79" s="171" t="n"/>
      <c r="CB79" s="171" t="n"/>
      <c r="CC79" s="171" t="n"/>
      <c r="CD79" s="171" t="n"/>
      <c r="CE79" s="171" t="n"/>
      <c r="CF79" s="171" t="n"/>
      <c r="CG79" s="171" t="n"/>
      <c r="CH79" s="171" t="n"/>
      <c r="CI79" s="171" t="n"/>
      <c r="CJ79" s="171" t="n"/>
      <c r="CK79" s="171" t="n"/>
      <c r="CL79" s="171" t="n"/>
    </row>
    <row r="80">
      <c r="A80" s="171" t="n"/>
      <c r="B80" s="242" t="inlineStr">
        <is>
          <t>부천지역</t>
        </is>
      </c>
      <c r="C80" s="243" t="inlineStr">
        <is>
          <t>승재밀니엄</t>
        </is>
      </c>
      <c r="D80" s="243" t="inlineStr">
        <is>
          <t>750/235</t>
        </is>
      </c>
      <c r="E80" s="204" t="inlineStr">
        <is>
          <t>상동</t>
        </is>
      </c>
      <c r="F80" s="205" t="n">
        <v>0.3958333333333333</v>
      </c>
      <c r="G80" s="244" t="n">
        <v>1100550</v>
      </c>
      <c r="H80" s="204" t="inlineStr">
        <is>
          <t>정성관</t>
        </is>
      </c>
      <c r="I80" s="207" t="inlineStr">
        <is>
          <t>러키비키</t>
        </is>
      </c>
      <c r="J80" s="245" t="n">
        <v>15</v>
      </c>
      <c r="K80" s="209" t="inlineStr">
        <is>
          <t>역곡</t>
        </is>
      </c>
      <c r="L80" s="210" t="n"/>
      <c r="M80" s="246" t="inlineStr">
        <is>
          <t>정신배</t>
        </is>
      </c>
      <c r="N80" s="171" t="n"/>
      <c r="O80" s="242" t="inlineStr">
        <is>
          <t>부천지역</t>
        </is>
      </c>
      <c r="P80" s="243" t="inlineStr">
        <is>
          <t>백광이엔티</t>
        </is>
      </c>
      <c r="Q80" s="243" t="n">
        <v>150</v>
      </c>
      <c r="R80" s="204" t="inlineStr">
        <is>
          <t>도당동</t>
        </is>
      </c>
      <c r="S80" s="205" t="n">
        <v>0.4791666666666667</v>
      </c>
      <c r="T80" s="244" t="n">
        <v>424160</v>
      </c>
      <c r="U80" s="204" t="inlineStr">
        <is>
          <t>송낙명</t>
        </is>
      </c>
      <c r="V80" s="207" t="inlineStr">
        <is>
          <t>약대동행정</t>
        </is>
      </c>
      <c r="W80" s="245" t="n">
        <v>6</v>
      </c>
      <c r="X80" s="209" t="inlineStr">
        <is>
          <t>약대동</t>
        </is>
      </c>
      <c r="Y80" s="210" t="n"/>
      <c r="Z80" s="246" t="inlineStr">
        <is>
          <t>정신배</t>
        </is>
      </c>
      <c r="AA80" s="171" t="n"/>
      <c r="AB80" s="242" t="inlineStr">
        <is>
          <t>부천지역</t>
        </is>
      </c>
      <c r="AC80" s="243" t="inlineStr">
        <is>
          <t>이노컴</t>
        </is>
      </c>
      <c r="AD80" s="243" t="n">
        <v>500</v>
      </c>
      <c r="AE80" s="204" t="inlineStr">
        <is>
          <t>내동</t>
        </is>
      </c>
      <c r="AF80" s="205" t="n">
        <v>0.4791666666666667</v>
      </c>
      <c r="AG80" s="244" t="n">
        <v>737000</v>
      </c>
      <c r="AH80" s="204" t="inlineStr">
        <is>
          <t>이종석</t>
        </is>
      </c>
      <c r="AI80" s="207" t="inlineStr">
        <is>
          <t>부천요양병원</t>
        </is>
      </c>
      <c r="AJ80" s="245" t="inlineStr">
        <is>
          <t>500/183</t>
        </is>
      </c>
      <c r="AK80" s="209" t="inlineStr">
        <is>
          <t>상동</t>
        </is>
      </c>
      <c r="AL80" s="210" t="n">
        <v>0.2708333333333333</v>
      </c>
      <c r="AM80" s="246" t="inlineStr">
        <is>
          <t>이덕기</t>
        </is>
      </c>
      <c r="AN80" s="171" t="n"/>
      <c r="AO80" s="242" t="inlineStr">
        <is>
          <t>부천지역</t>
        </is>
      </c>
      <c r="AP80" s="243" t="inlineStr">
        <is>
          <t>센트럴프라움</t>
        </is>
      </c>
      <c r="AQ80" s="243" t="inlineStr">
        <is>
          <t>전기차</t>
        </is>
      </c>
      <c r="AR80" s="204" t="inlineStr">
        <is>
          <t>중동</t>
        </is>
      </c>
      <c r="AS80" s="205" t="n">
        <v>0.4166666666666667</v>
      </c>
      <c r="AT80" s="244" t="n">
        <v>72710</v>
      </c>
      <c r="AU80" s="204" t="n"/>
      <c r="AV80" s="207" t="inlineStr">
        <is>
          <t>변종국교육</t>
        </is>
      </c>
      <c r="AW80" s="245" t="n"/>
      <c r="AX80" s="209" t="n"/>
      <c r="AY80" s="210" t="n"/>
      <c r="AZ80" s="246" t="n"/>
      <c r="BA80" s="171" t="n"/>
      <c r="BB80" s="242" t="inlineStr">
        <is>
          <t>부천지역</t>
        </is>
      </c>
      <c r="BC80" s="243" t="inlineStr">
        <is>
          <t>금영프라자</t>
        </is>
      </c>
      <c r="BD80" s="243" t="inlineStr">
        <is>
          <t>600/115</t>
        </is>
      </c>
      <c r="BE80" s="204" t="inlineStr">
        <is>
          <t>중동</t>
        </is>
      </c>
      <c r="BF80" s="205" t="n">
        <v>0.2708333333333333</v>
      </c>
      <c r="BG80" s="244" t="n">
        <v>1223970</v>
      </c>
      <c r="BH80" s="204" t="n"/>
      <c r="BI80" s="207" t="inlineStr">
        <is>
          <t>정신배건강</t>
        </is>
      </c>
      <c r="BJ80" s="245" t="n"/>
      <c r="BK80" s="209" t="n"/>
      <c r="BL80" s="210" t="n"/>
      <c r="BM80" s="246" t="n"/>
      <c r="BN80" s="171" t="n"/>
      <c r="BO80" s="171" t="n"/>
      <c r="BP80" s="171" t="n"/>
      <c r="BQ80" s="171" t="n"/>
      <c r="BR80" s="171" t="n"/>
      <c r="BS80" s="171" t="n"/>
      <c r="BT80" s="171" t="n"/>
      <c r="BU80" s="171" t="n"/>
      <c r="BV80" s="171" t="n"/>
      <c r="BW80" s="171" t="n"/>
      <c r="BX80" s="171" t="n"/>
      <c r="BY80" s="171" t="n"/>
      <c r="BZ80" s="171" t="n"/>
      <c r="CA80" s="171" t="n"/>
      <c r="CB80" s="171" t="n"/>
      <c r="CC80" s="171" t="n"/>
      <c r="CD80" s="171" t="n"/>
      <c r="CE80" s="171" t="n"/>
      <c r="CF80" s="171" t="n"/>
      <c r="CG80" s="171" t="n"/>
      <c r="CH80" s="171" t="n"/>
      <c r="CI80" s="171" t="n"/>
      <c r="CJ80" s="171" t="n"/>
      <c r="CK80" s="171" t="n"/>
      <c r="CL80" s="171" t="n"/>
    </row>
    <row r="81">
      <c r="A81" s="171" t="n"/>
      <c r="B81" s="242" t="n"/>
      <c r="C81" s="243" t="inlineStr">
        <is>
          <t>서문교회</t>
        </is>
      </c>
      <c r="D81" s="243" t="n">
        <v>400</v>
      </c>
      <c r="E81" s="204" t="inlineStr">
        <is>
          <t>상동</t>
        </is>
      </c>
      <c r="F81" s="205" t="n">
        <v>0.5833333333333334</v>
      </c>
      <c r="G81" s="244" t="n">
        <v>703120</v>
      </c>
      <c r="H81" s="204" t="inlineStr">
        <is>
          <t>정신배</t>
        </is>
      </c>
      <c r="I81" s="207" t="inlineStr">
        <is>
          <t>중동한라마을</t>
        </is>
      </c>
      <c r="J81" s="245" t="n">
        <v>5</v>
      </c>
      <c r="K81" s="209" t="inlineStr">
        <is>
          <t>중동</t>
        </is>
      </c>
      <c r="L81" s="210" t="n"/>
      <c r="M81" s="246" t="inlineStr">
        <is>
          <t>한태희</t>
        </is>
      </c>
      <c r="N81" s="171" t="n"/>
      <c r="O81" s="242" t="n"/>
      <c r="P81" s="243" t="inlineStr">
        <is>
          <t>코스모롤리탄</t>
        </is>
      </c>
      <c r="Q81" s="243" t="inlineStr">
        <is>
          <t>전기차</t>
        </is>
      </c>
      <c r="R81" s="204" t="inlineStr">
        <is>
          <t>중동</t>
        </is>
      </c>
      <c r="S81" s="205" t="n">
        <v>0.3958333333333333</v>
      </c>
      <c r="T81" s="244" t="n">
        <v>98120</v>
      </c>
      <c r="U81" s="204" t="inlineStr">
        <is>
          <t>이종석</t>
        </is>
      </c>
      <c r="V81" s="207" t="inlineStr">
        <is>
          <t>크라운당구장</t>
        </is>
      </c>
      <c r="W81" s="245" t="n">
        <v>30</v>
      </c>
      <c r="X81" s="209" t="inlineStr">
        <is>
          <t>송내동</t>
        </is>
      </c>
      <c r="Y81" s="210" t="n"/>
      <c r="Z81" s="246" t="inlineStr">
        <is>
          <t>허창수</t>
        </is>
      </c>
      <c r="AA81" s="171" t="n"/>
      <c r="AB81" s="242" t="n"/>
      <c r="AC81" s="243" t="inlineStr">
        <is>
          <t>정인정밀</t>
        </is>
      </c>
      <c r="AD81" s="243" t="n">
        <v>225</v>
      </c>
      <c r="AE81" s="204" t="inlineStr">
        <is>
          <t>도당동</t>
        </is>
      </c>
      <c r="AF81" s="205" t="n">
        <v>0.5208333333333334</v>
      </c>
      <c r="AG81" s="244" t="n">
        <v>472890</v>
      </c>
      <c r="AH81" s="204" t="inlineStr">
        <is>
          <t>한태희</t>
        </is>
      </c>
      <c r="AI81" s="207" t="inlineStr">
        <is>
          <t>이종석휴가(오후13시 휴가)</t>
        </is>
      </c>
      <c r="AJ81" s="245" t="n"/>
      <c r="AK81" s="209" t="n"/>
      <c r="AL81" s="210" t="n"/>
      <c r="AM81" s="246" t="n"/>
      <c r="AN81" s="171" t="n"/>
      <c r="AO81" s="242" t="n"/>
      <c r="AP81" s="243" t="inlineStr">
        <is>
          <t>염광파파트</t>
        </is>
      </c>
      <c r="AQ81" s="243" t="inlineStr">
        <is>
          <t>650/145</t>
        </is>
      </c>
      <c r="AR81" s="204" t="inlineStr">
        <is>
          <t>괴안동</t>
        </is>
      </c>
      <c r="AS81" s="205" t="n">
        <v>0.4166666666666667</v>
      </c>
      <c r="AT81" s="244" t="n">
        <v>967340</v>
      </c>
      <c r="AU81" s="204" t="n"/>
      <c r="AV81" s="207" t="n"/>
      <c r="AW81" s="245" t="n"/>
      <c r="AX81" s="209" t="n"/>
      <c r="AY81" s="210" t="n"/>
      <c r="AZ81" s="246" t="n"/>
      <c r="BA81" s="171" t="n"/>
      <c r="BB81" s="242" t="n"/>
      <c r="BC81" s="243" t="inlineStr">
        <is>
          <t>안앤락</t>
        </is>
      </c>
      <c r="BD81" s="243" t="n">
        <v>200</v>
      </c>
      <c r="BE81" s="204" t="inlineStr">
        <is>
          <t>역곡</t>
        </is>
      </c>
      <c r="BF81" s="205" t="n">
        <v>0.4791666666666667</v>
      </c>
      <c r="BG81" s="244" t="n">
        <v>456720</v>
      </c>
      <c r="BH81" s="204" t="n"/>
      <c r="BI81" s="207" t="inlineStr">
        <is>
          <t>변종국휴가</t>
        </is>
      </c>
      <c r="BJ81" s="245" t="n"/>
      <c r="BK81" s="209" t="n"/>
      <c r="BL81" s="210" t="n"/>
      <c r="BM81" s="246" t="n"/>
      <c r="BN81" s="171" t="n"/>
      <c r="BO81" s="171" t="n"/>
      <c r="BP81" s="171" t="n"/>
      <c r="BQ81" s="171" t="n"/>
      <c r="BR81" s="171" t="n"/>
      <c r="BS81" s="171" t="n"/>
      <c r="BT81" s="171" t="n"/>
      <c r="BU81" s="171" t="n"/>
      <c r="BV81" s="171" t="n"/>
      <c r="BW81" s="171" t="n"/>
      <c r="BX81" s="171" t="n"/>
      <c r="BY81" s="171" t="n"/>
      <c r="BZ81" s="171" t="n"/>
      <c r="CA81" s="171" t="n"/>
      <c r="CB81" s="171" t="n"/>
      <c r="CC81" s="171" t="n"/>
      <c r="CD81" s="171" t="n"/>
      <c r="CE81" s="171" t="n"/>
      <c r="CF81" s="171" t="n"/>
      <c r="CG81" s="171" t="n"/>
      <c r="CH81" s="171" t="n"/>
      <c r="CI81" s="171" t="n"/>
      <c r="CJ81" s="171" t="n"/>
      <c r="CK81" s="171" t="n"/>
      <c r="CL81" s="171" t="n"/>
    </row>
    <row r="82">
      <c r="A82" s="171" t="n"/>
      <c r="B82" s="242" t="n"/>
      <c r="C82" s="243" t="inlineStr">
        <is>
          <t>미성주상복합</t>
        </is>
      </c>
      <c r="D82" s="243" t="n">
        <v>500</v>
      </c>
      <c r="E82" s="204" t="inlineStr">
        <is>
          <t>소사동</t>
        </is>
      </c>
      <c r="F82" s="205" t="n">
        <v>0.3958333333333333</v>
      </c>
      <c r="G82" s="244" t="n">
        <v>737000</v>
      </c>
      <c r="H82" s="204" t="inlineStr">
        <is>
          <t>송낙명</t>
        </is>
      </c>
      <c r="I82" s="207" t="inlineStr">
        <is>
          <t>김영권건강</t>
        </is>
      </c>
      <c r="J82" s="245" t="n"/>
      <c r="K82" s="209" t="n"/>
      <c r="L82" s="210" t="n"/>
      <c r="M82" s="246" t="n"/>
      <c r="N82" s="171" t="n"/>
      <c r="O82" s="242" t="n"/>
      <c r="P82" s="243" t="n"/>
      <c r="Q82" s="243" t="n"/>
      <c r="R82" s="204" t="n"/>
      <c r="S82" s="205" t="n"/>
      <c r="T82" s="244" t="n"/>
      <c r="U82" s="204" t="n"/>
      <c r="V82" s="207" t="inlineStr">
        <is>
          <t>장권우</t>
        </is>
      </c>
      <c r="W82" s="245" t="inlineStr">
        <is>
          <t>변변</t>
        </is>
      </c>
      <c r="X82" s="209" t="inlineStr">
        <is>
          <t>내동</t>
        </is>
      </c>
      <c r="Y82" s="210" t="n"/>
      <c r="Z82" s="246" t="inlineStr">
        <is>
          <t>변종국</t>
        </is>
      </c>
      <c r="AA82" s="171" t="n"/>
      <c r="AB82" s="242" t="n"/>
      <c r="AC82" s="243" t="inlineStr">
        <is>
          <t>운풍특수강</t>
        </is>
      </c>
      <c r="AD82" s="243" t="n">
        <v>300</v>
      </c>
      <c r="AE82" s="204" t="inlineStr">
        <is>
          <t>내동</t>
        </is>
      </c>
      <c r="AF82" s="205" t="n">
        <v>0.5416666666666666</v>
      </c>
      <c r="AG82" s="244" t="n">
        <v>521730</v>
      </c>
      <c r="AH82" s="204" t="inlineStr">
        <is>
          <t>이덕기</t>
        </is>
      </c>
      <c r="AI82" s="207" t="inlineStr">
        <is>
          <t>정신배휴가</t>
        </is>
      </c>
      <c r="AJ82" s="245" t="n"/>
      <c r="AK82" s="209" t="n"/>
      <c r="AL82" s="210" t="n"/>
      <c r="AM82" s="246" t="n"/>
      <c r="AN82" s="171" t="n"/>
      <c r="AO82" s="242" t="n"/>
      <c r="AP82" s="243" t="inlineStr">
        <is>
          <t>금호엔지니어링</t>
        </is>
      </c>
      <c r="AQ82" s="243" t="n">
        <v>450</v>
      </c>
      <c r="AR82" s="204" t="inlineStr">
        <is>
          <t>내동</t>
        </is>
      </c>
      <c r="AS82" s="205" t="n">
        <v>0.5208333333333334</v>
      </c>
      <c r="AT82" s="244" t="n">
        <v>720060</v>
      </c>
      <c r="AU82" s="204" t="n"/>
      <c r="AV82" s="207" t="n"/>
      <c r="AW82" s="245" t="n"/>
      <c r="AX82" s="209" t="n"/>
      <c r="AY82" s="210" t="n"/>
      <c r="AZ82" s="246" t="n"/>
      <c r="BA82" s="171" t="n"/>
      <c r="BB82" s="242" t="n"/>
      <c r="BC82" s="243" t="inlineStr">
        <is>
          <t>명인기업</t>
        </is>
      </c>
      <c r="BD82" s="243" t="n">
        <v>200</v>
      </c>
      <c r="BE82" s="204" t="inlineStr">
        <is>
          <t>역곡</t>
        </is>
      </c>
      <c r="BF82" s="205" t="n">
        <v>0.3958333333333333</v>
      </c>
      <c r="BG82" s="244" t="n">
        <v>456720</v>
      </c>
      <c r="BH82" s="204" t="n"/>
      <c r="BI82" s="207" t="n"/>
      <c r="BJ82" s="245" t="n"/>
      <c r="BK82" s="209" t="n"/>
      <c r="BL82" s="210" t="n"/>
      <c r="BM82" s="246" t="n"/>
      <c r="BN82" s="171" t="n"/>
      <c r="BO82" s="171" t="n"/>
      <c r="BP82" s="171" t="n"/>
      <c r="BQ82" s="171" t="n"/>
      <c r="BR82" s="171" t="n"/>
      <c r="BS82" s="171" t="n"/>
      <c r="BT82" s="171" t="n"/>
      <c r="BU82" s="171" t="n"/>
      <c r="BV82" s="171" t="n"/>
      <c r="BW82" s="171" t="n"/>
      <c r="BX82" s="171" t="n"/>
      <c r="BY82" s="171" t="n"/>
      <c r="BZ82" s="171" t="n"/>
      <c r="CA82" s="171" t="n"/>
      <c r="CB82" s="171" t="n"/>
      <c r="CC82" s="171" t="n"/>
      <c r="CD82" s="171" t="n"/>
      <c r="CE82" s="171" t="n"/>
      <c r="CF82" s="171" t="n"/>
      <c r="CG82" s="171" t="n"/>
      <c r="CH82" s="171" t="n"/>
      <c r="CI82" s="171" t="n"/>
      <c r="CJ82" s="171" t="n"/>
      <c r="CK82" s="171" t="n"/>
      <c r="CL82" s="171" t="n"/>
    </row>
    <row r="83">
      <c r="A83" s="171" t="n"/>
      <c r="B83" s="242" t="n"/>
      <c r="C83" s="243" t="n"/>
      <c r="D83" s="243" t="n"/>
      <c r="E83" s="204" t="n"/>
      <c r="F83" s="205" t="n"/>
      <c r="G83" s="244" t="n"/>
      <c r="H83" s="204" t="n"/>
      <c r="I83" s="207" t="n"/>
      <c r="J83" s="245" t="n"/>
      <c r="K83" s="209" t="n"/>
      <c r="L83" s="210" t="n"/>
      <c r="M83" s="246" t="n"/>
      <c r="N83" s="171" t="n"/>
      <c r="O83" s="242" t="n"/>
      <c r="P83" s="243" t="n"/>
      <c r="Q83" s="243" t="n"/>
      <c r="R83" s="204" t="n"/>
      <c r="S83" s="205" t="n"/>
      <c r="T83" s="244" t="n"/>
      <c r="U83" s="204" t="n"/>
      <c r="V83" s="207" t="inlineStr">
        <is>
          <t>허록종휴가</t>
        </is>
      </c>
      <c r="W83" s="245" t="n"/>
      <c r="X83" s="209" t="n"/>
      <c r="Y83" s="210" t="n"/>
      <c r="Z83" s="246" t="n"/>
      <c r="AA83" s="171" t="n"/>
      <c r="AB83" s="242" t="n"/>
      <c r="AC83" s="243" t="inlineStr">
        <is>
          <t>동명파워코드</t>
        </is>
      </c>
      <c r="AD83" s="243" t="n">
        <v>150</v>
      </c>
      <c r="AE83" s="204" t="inlineStr">
        <is>
          <t>도당동</t>
        </is>
      </c>
      <c r="AF83" s="205" t="n">
        <v>0.6041666666666666</v>
      </c>
      <c r="AG83" s="244" t="n">
        <v>424160</v>
      </c>
      <c r="AH83" s="204" t="inlineStr">
        <is>
          <t>민재홍</t>
        </is>
      </c>
      <c r="AI83" s="207" t="n"/>
      <c r="AJ83" s="245" t="n"/>
      <c r="AK83" s="209" t="n"/>
      <c r="AL83" s="210" t="n"/>
      <c r="AM83" s="246" t="n"/>
      <c r="AN83" s="171" t="n"/>
      <c r="AO83" s="242" t="n"/>
      <c r="AP83" s="243" t="inlineStr">
        <is>
          <t>그림홈프라자</t>
        </is>
      </c>
      <c r="AQ83" s="243" t="inlineStr">
        <is>
          <t>500/105</t>
        </is>
      </c>
      <c r="AR83" s="204" t="inlineStr">
        <is>
          <t>괴안동</t>
        </is>
      </c>
      <c r="AS83" s="205" t="n">
        <v>0.2708333333333333</v>
      </c>
      <c r="AT83" s="244" t="n">
        <v>1176010</v>
      </c>
      <c r="AU83" s="204" t="n"/>
      <c r="AV83" s="207" t="n"/>
      <c r="AW83" s="245" t="n"/>
      <c r="AX83" s="209" t="n"/>
      <c r="AY83" s="210" t="n"/>
      <c r="AZ83" s="246" t="n"/>
      <c r="BA83" s="171" t="n"/>
      <c r="BB83" s="242" t="n"/>
      <c r="BC83" s="243" t="inlineStr">
        <is>
          <t>역곡e편한세상</t>
        </is>
      </c>
      <c r="BD83" s="243" t="n">
        <v>1</v>
      </c>
      <c r="BE83" s="204" t="inlineStr">
        <is>
          <t>역곡</t>
        </is>
      </c>
      <c r="BF83" s="205" t="n">
        <v>0.4166666666666667</v>
      </c>
      <c r="BG83" s="244" t="n">
        <v>90530</v>
      </c>
      <c r="BH83" s="204" t="n"/>
      <c r="BI83" s="207" t="n"/>
      <c r="BJ83" s="245" t="n"/>
      <c r="BK83" s="209" t="n"/>
      <c r="BL83" s="210" t="n"/>
      <c r="BM83" s="246" t="n"/>
      <c r="BN83" s="171" t="n"/>
      <c r="BO83" s="171" t="n"/>
      <c r="BP83" s="171" t="n"/>
      <c r="BQ83" s="171" t="n"/>
      <c r="BR83" s="171" t="n"/>
      <c r="BS83" s="171" t="n"/>
      <c r="BT83" s="171" t="n"/>
      <c r="BU83" s="171" t="n"/>
      <c r="BV83" s="171" t="n"/>
      <c r="BW83" s="171" t="n"/>
      <c r="BX83" s="171" t="n"/>
      <c r="BY83" s="171" t="n"/>
      <c r="BZ83" s="171" t="n"/>
      <c r="CA83" s="171" t="n"/>
      <c r="CB83" s="171" t="n"/>
      <c r="CC83" s="171" t="n"/>
      <c r="CD83" s="171" t="n"/>
      <c r="CE83" s="171" t="n"/>
      <c r="CF83" s="171" t="n"/>
      <c r="CG83" s="171" t="n"/>
      <c r="CH83" s="171" t="n"/>
      <c r="CI83" s="171" t="n"/>
      <c r="CJ83" s="171" t="n"/>
      <c r="CK83" s="171" t="n"/>
      <c r="CL83" s="171" t="n"/>
    </row>
    <row r="84">
      <c r="A84" s="171" t="n"/>
      <c r="B84" s="242" t="n"/>
      <c r="C84" s="243" t="n"/>
      <c r="D84" s="243" t="n"/>
      <c r="E84" s="204" t="n"/>
      <c r="F84" s="205" t="n"/>
      <c r="G84" s="244" t="n"/>
      <c r="H84" s="204" t="n"/>
      <c r="I84" s="207" t="n"/>
      <c r="J84" s="245" t="n"/>
      <c r="K84" s="209" t="n"/>
      <c r="L84" s="210" t="n"/>
      <c r="M84" s="246" t="n"/>
      <c r="N84" s="171" t="n"/>
      <c r="O84" s="242" t="n"/>
      <c r="P84" s="243" t="n"/>
      <c r="Q84" s="243" t="n"/>
      <c r="R84" s="204" t="n"/>
      <c r="S84" s="205" t="n"/>
      <c r="T84" s="244" t="n"/>
      <c r="U84" s="204" t="n"/>
      <c r="V84" s="207" t="inlineStr">
        <is>
          <t>한태희 휴가</t>
        </is>
      </c>
      <c r="W84" s="245" t="n"/>
      <c r="X84" s="209" t="n"/>
      <c r="Y84" s="210" t="n"/>
      <c r="Z84" s="246" t="n"/>
      <c r="AA84" s="171" t="n"/>
      <c r="AB84" s="242" t="n"/>
      <c r="AC84" s="243" t="inlineStr">
        <is>
          <t>로얄타워</t>
        </is>
      </c>
      <c r="AD84" s="243" t="inlineStr">
        <is>
          <t>1457/209</t>
        </is>
      </c>
      <c r="AE84" s="204" t="inlineStr">
        <is>
          <t>상동</t>
        </is>
      </c>
      <c r="AF84" s="205" t="n">
        <v>0.2916666666666667</v>
      </c>
      <c r="AG84" s="244" t="n">
        <v>1616350</v>
      </c>
      <c r="AH84" s="204" t="inlineStr">
        <is>
          <t>허록종</t>
        </is>
      </c>
      <c r="AI84" s="207" t="n"/>
      <c r="AJ84" s="245" t="n"/>
      <c r="AK84" s="209" t="n"/>
      <c r="AL84" s="210" t="n"/>
      <c r="AM84" s="246" t="n"/>
      <c r="AN84" s="171" t="n"/>
      <c r="AO84" s="242" t="n"/>
      <c r="AP84" s="243" t="inlineStr">
        <is>
          <t>센트럴프라움</t>
        </is>
      </c>
      <c r="AQ84" s="243" t="inlineStr">
        <is>
          <t>1900/454</t>
        </is>
      </c>
      <c r="AR84" s="204" t="inlineStr">
        <is>
          <t>중동</t>
        </is>
      </c>
      <c r="AS84" s="205" t="n">
        <v>0.4166666666666667</v>
      </c>
      <c r="AT84" s="244" t="n">
        <v>1285350</v>
      </c>
      <c r="AU84" s="204" t="n"/>
      <c r="AV84" s="207" t="n"/>
      <c r="AW84" s="245" t="n"/>
      <c r="AX84" s="209" t="n"/>
      <c r="AY84" s="210" t="n"/>
      <c r="AZ84" s="246" t="n"/>
      <c r="BA84" s="171" t="n"/>
      <c r="BB84" s="242" t="n"/>
      <c r="BC84" s="243" t="inlineStr">
        <is>
          <t>이이즈맥</t>
        </is>
      </c>
      <c r="BD84" s="243" t="n">
        <v>200</v>
      </c>
      <c r="BE84" s="204" t="inlineStr">
        <is>
          <t>역곡</t>
        </is>
      </c>
      <c r="BF84" s="205" t="n">
        <v>0.5416666666666666</v>
      </c>
      <c r="BG84" s="244" t="n">
        <v>456720</v>
      </c>
      <c r="BH84" s="204" t="n"/>
      <c r="BI84" s="207" t="n"/>
      <c r="BJ84" s="245" t="n"/>
      <c r="BK84" s="209" t="n"/>
      <c r="BL84" s="210" t="n"/>
      <c r="BM84" s="246" t="n"/>
      <c r="BN84" s="171" t="n"/>
      <c r="BO84" s="171" t="n"/>
      <c r="BP84" s="171" t="n"/>
      <c r="BQ84" s="171" t="n"/>
      <c r="BR84" s="171" t="n"/>
      <c r="BS84" s="171" t="n"/>
      <c r="BT84" s="171" t="n"/>
      <c r="BU84" s="171" t="n"/>
      <c r="BV84" s="171" t="n"/>
      <c r="BW84" s="171" t="n"/>
      <c r="BX84" s="171" t="n"/>
      <c r="BY84" s="171" t="n"/>
      <c r="BZ84" s="171" t="n"/>
      <c r="CA84" s="171" t="n"/>
      <c r="CB84" s="171" t="n"/>
      <c r="CC84" s="171" t="n"/>
      <c r="CD84" s="171" t="n"/>
      <c r="CE84" s="171" t="n"/>
      <c r="CF84" s="171" t="n"/>
      <c r="CG84" s="171" t="n"/>
      <c r="CH84" s="171" t="n"/>
      <c r="CI84" s="171" t="n"/>
      <c r="CJ84" s="171" t="n"/>
      <c r="CK84" s="171" t="n"/>
      <c r="CL84" s="171" t="n"/>
    </row>
    <row r="85">
      <c r="A85" s="171" t="n"/>
      <c r="B85" s="242" t="n"/>
      <c r="C85" s="243" t="n"/>
      <c r="D85" s="243" t="n"/>
      <c r="E85" s="204" t="n"/>
      <c r="F85" s="205" t="n"/>
      <c r="G85" s="244" t="n"/>
      <c r="H85" s="204" t="n"/>
      <c r="I85" s="207" t="n"/>
      <c r="J85" s="245" t="n"/>
      <c r="K85" s="209" t="n"/>
      <c r="L85" s="210" t="n"/>
      <c r="M85" s="246" t="n"/>
      <c r="N85" s="171" t="n"/>
      <c r="O85" s="242" t="n"/>
      <c r="P85" s="243" t="n"/>
      <c r="Q85" s="243" t="n"/>
      <c r="R85" s="204" t="n"/>
      <c r="S85" s="205" t="n"/>
      <c r="T85" s="244" t="n"/>
      <c r="U85" s="204" t="n"/>
      <c r="V85" s="207" t="inlineStr">
        <is>
          <t>정성관 휴가</t>
        </is>
      </c>
      <c r="W85" s="245" t="inlineStr">
        <is>
          <t>정신배-이종석</t>
        </is>
      </c>
      <c r="X85" s="209" t="n"/>
      <c r="Y85" s="210" t="n"/>
      <c r="Z85" s="246" t="n"/>
      <c r="AA85" s="171" t="n"/>
      <c r="AB85" s="242" t="n"/>
      <c r="AC85" s="243" t="inlineStr">
        <is>
          <t>중동대림아파트</t>
        </is>
      </c>
      <c r="AD85" s="243" t="inlineStr">
        <is>
          <t>1200/331</t>
        </is>
      </c>
      <c r="AE85" s="204" t="inlineStr">
        <is>
          <t>중동</t>
        </is>
      </c>
      <c r="AF85" s="205" t="n">
        <v>0.3958333333333333</v>
      </c>
      <c r="AG85" s="244" t="n">
        <v>1156540</v>
      </c>
      <c r="AH85" s="204" t="inlineStr">
        <is>
          <t>한태희</t>
        </is>
      </c>
      <c r="AI85" s="207" t="n"/>
      <c r="AJ85" s="245" t="n"/>
      <c r="AK85" s="209" t="n"/>
      <c r="AL85" s="210" t="n"/>
      <c r="AM85" s="246" t="n"/>
      <c r="AN85" s="171" t="n"/>
      <c r="AO85" s="242" t="n"/>
      <c r="AP85" s="243" t="inlineStr">
        <is>
          <t>삼정</t>
        </is>
      </c>
      <c r="AQ85" s="243" t="n">
        <v>300</v>
      </c>
      <c r="AR85" s="204" t="inlineStr">
        <is>
          <t>송내동</t>
        </is>
      </c>
      <c r="AS85" s="205" t="n">
        <v>0.5833333333333334</v>
      </c>
      <c r="AT85" s="244" t="n">
        <v>521730</v>
      </c>
      <c r="AU85" s="204" t="n"/>
      <c r="AV85" s="207" t="n"/>
      <c r="AW85" s="245" t="n"/>
      <c r="AX85" s="209" t="n"/>
      <c r="AY85" s="210" t="n"/>
      <c r="AZ85" s="246" t="n"/>
      <c r="BA85" s="171" t="n"/>
      <c r="BB85" s="242" t="n"/>
      <c r="BC85" s="243" t="inlineStr">
        <is>
          <t>아트</t>
        </is>
      </c>
      <c r="BD85" s="243" t="n">
        <v>200</v>
      </c>
      <c r="BE85" s="204" t="inlineStr">
        <is>
          <t>역곡</t>
        </is>
      </c>
      <c r="BF85" s="205" t="n">
        <v>0.4166666666666667</v>
      </c>
      <c r="BG85" s="244" t="n">
        <v>456720</v>
      </c>
      <c r="BH85" s="204" t="n"/>
      <c r="BI85" s="207" t="n"/>
      <c r="BJ85" s="245" t="n"/>
      <c r="BK85" s="209" t="n"/>
      <c r="BL85" s="210" t="n"/>
      <c r="BM85" s="246" t="n"/>
      <c r="BN85" s="171" t="n"/>
      <c r="BO85" s="171" t="n"/>
      <c r="BP85" s="171" t="n"/>
      <c r="BQ85" s="171" t="n"/>
      <c r="BR85" s="171" t="n"/>
      <c r="BS85" s="171" t="n"/>
      <c r="BT85" s="171" t="n"/>
      <c r="BU85" s="171" t="n"/>
      <c r="BV85" s="171" t="n"/>
      <c r="BW85" s="171" t="n"/>
      <c r="BX85" s="171" t="n"/>
      <c r="BY85" s="171" t="n"/>
      <c r="BZ85" s="171" t="n"/>
      <c r="CA85" s="171" t="n"/>
      <c r="CB85" s="171" t="n"/>
      <c r="CC85" s="171" t="n"/>
      <c r="CD85" s="171" t="n"/>
      <c r="CE85" s="171" t="n"/>
      <c r="CF85" s="171" t="n"/>
      <c r="CG85" s="171" t="n"/>
      <c r="CH85" s="171" t="n"/>
      <c r="CI85" s="171" t="n"/>
      <c r="CJ85" s="171" t="n"/>
      <c r="CK85" s="171" t="n"/>
      <c r="CL85" s="171" t="n"/>
    </row>
    <row r="86">
      <c r="A86" s="171" t="n"/>
      <c r="B86" s="242" t="n"/>
      <c r="C86" s="243" t="n"/>
      <c r="D86" s="243" t="n"/>
      <c r="E86" s="204" t="n"/>
      <c r="F86" s="205" t="n"/>
      <c r="G86" s="244" t="n"/>
      <c r="H86" s="204" t="n"/>
      <c r="I86" s="207" t="n"/>
      <c r="J86" s="245" t="n"/>
      <c r="K86" s="209" t="n"/>
      <c r="L86" s="210" t="n"/>
      <c r="M86" s="246" t="n"/>
      <c r="N86" s="171" t="n"/>
      <c r="O86" s="242" t="n"/>
      <c r="P86" s="243" t="n"/>
      <c r="Q86" s="243" t="n"/>
      <c r="R86" s="204" t="n"/>
      <c r="S86" s="205" t="n"/>
      <c r="T86" s="244" t="n"/>
      <c r="U86" s="204" t="n"/>
      <c r="V86" s="207" t="inlineStr">
        <is>
          <t>민재홍 휴가</t>
        </is>
      </c>
      <c r="W86" s="245" t="n"/>
      <c r="X86" s="209" t="n"/>
      <c r="Y86" s="210" t="n"/>
      <c r="Z86" s="246" t="n"/>
      <c r="AA86" s="171" t="n"/>
      <c r="AB86" s="242" t="n"/>
      <c r="AC86" s="243" t="inlineStr">
        <is>
          <t>약대교회</t>
        </is>
      </c>
      <c r="AD86" s="243" t="n">
        <v>105</v>
      </c>
      <c r="AE86" s="204" t="inlineStr">
        <is>
          <t>약대동</t>
        </is>
      </c>
      <c r="AF86" s="205" t="n">
        <v>0.4791666666666667</v>
      </c>
      <c r="AG86" s="244" t="n">
        <v>167640</v>
      </c>
      <c r="AH86" s="204" t="inlineStr">
        <is>
          <t>당효진</t>
        </is>
      </c>
      <c r="AI86" s="207" t="n"/>
      <c r="AJ86" s="245" t="n"/>
      <c r="AK86" s="209" t="n"/>
      <c r="AL86" s="210" t="n"/>
      <c r="AM86" s="246" t="n"/>
      <c r="AN86" s="171" t="n"/>
      <c r="AO86" s="242" t="n"/>
      <c r="AP86" s="243" t="n"/>
      <c r="AQ86" s="243" t="n"/>
      <c r="AR86" s="204" t="n"/>
      <c r="AS86" s="205" t="n"/>
      <c r="AT86" s="244" t="n"/>
      <c r="AU86" s="204" t="n"/>
      <c r="AV86" s="207" t="n"/>
      <c r="AW86" s="245" t="n"/>
      <c r="AX86" s="209" t="n"/>
      <c r="AY86" s="210" t="n"/>
      <c r="AZ86" s="246" t="n"/>
      <c r="BA86" s="171" t="n"/>
      <c r="BB86" s="242" t="n"/>
      <c r="BC86" s="243" t="inlineStr">
        <is>
          <t>부천사랑병원</t>
        </is>
      </c>
      <c r="BD86" s="243" t="inlineStr">
        <is>
          <t>500/145</t>
        </is>
      </c>
      <c r="BE86" s="204" t="inlineStr">
        <is>
          <t>심곡동</t>
        </is>
      </c>
      <c r="BF86" s="205" t="inlineStr">
        <is>
          <t>무정전</t>
        </is>
      </c>
      <c r="BG86" s="244" t="n">
        <v>916520</v>
      </c>
      <c r="BH86" s="204" t="n"/>
      <c r="BI86" s="207" t="n"/>
      <c r="BJ86" s="245" t="n"/>
      <c r="BK86" s="209" t="n"/>
      <c r="BL86" s="210" t="n"/>
      <c r="BM86" s="246" t="n"/>
      <c r="BN86" s="171" t="n"/>
      <c r="BO86" s="171" t="n"/>
      <c r="BP86" s="171" t="n"/>
      <c r="BQ86" s="171" t="n"/>
      <c r="BR86" s="171" t="n"/>
      <c r="BS86" s="171" t="n"/>
      <c r="BT86" s="171" t="n"/>
      <c r="BU86" s="171" t="n"/>
      <c r="BV86" s="171" t="n"/>
      <c r="BW86" s="171" t="n"/>
      <c r="BX86" s="171" t="n"/>
      <c r="BY86" s="171" t="n"/>
      <c r="BZ86" s="171" t="n"/>
      <c r="CA86" s="171" t="n"/>
      <c r="CB86" s="171" t="n"/>
      <c r="CC86" s="171" t="n"/>
      <c r="CD86" s="171" t="n"/>
      <c r="CE86" s="171" t="n"/>
      <c r="CF86" s="171" t="n"/>
      <c r="CG86" s="171" t="n"/>
      <c r="CH86" s="171" t="n"/>
      <c r="CI86" s="171" t="n"/>
      <c r="CJ86" s="171" t="n"/>
      <c r="CK86" s="171" t="n"/>
      <c r="CL86" s="171" t="n"/>
    </row>
    <row r="87">
      <c r="A87" s="171" t="n"/>
      <c r="B87" s="242" t="n"/>
      <c r="C87" s="243" t="n"/>
      <c r="D87" s="243" t="n"/>
      <c r="E87" s="204" t="n"/>
      <c r="F87" s="205" t="n"/>
      <c r="G87" s="244" t="n"/>
      <c r="H87" s="204" t="n"/>
      <c r="I87" s="207" t="n"/>
      <c r="J87" s="245" t="n"/>
      <c r="K87" s="209" t="n"/>
      <c r="L87" s="210" t="n"/>
      <c r="M87" s="246" t="n"/>
      <c r="N87" s="171" t="n"/>
      <c r="O87" s="242" t="n"/>
      <c r="P87" s="243" t="n"/>
      <c r="Q87" s="243" t="n"/>
      <c r="R87" s="204" t="n"/>
      <c r="S87" s="205" t="n"/>
      <c r="T87" s="244" t="n"/>
      <c r="U87" s="204" t="n"/>
      <c r="V87" s="207" t="n"/>
      <c r="W87" s="245" t="n"/>
      <c r="X87" s="209" t="n"/>
      <c r="Y87" s="210" t="n"/>
      <c r="Z87" s="246" t="n"/>
      <c r="AA87" s="171" t="n"/>
      <c r="AB87" s="242" t="n"/>
      <c r="AC87" s="243" t="inlineStr">
        <is>
          <t>중앙리치빌</t>
        </is>
      </c>
      <c r="AD87" s="256" t="n">
        <v>0.3958333333333333</v>
      </c>
      <c r="AE87" s="204" t="inlineStr">
        <is>
          <t>소사본동</t>
        </is>
      </c>
      <c r="AF87" s="205" t="n">
        <v>0.3958333333333333</v>
      </c>
      <c r="AG87" s="244" t="n">
        <v>48290</v>
      </c>
      <c r="AH87" s="204" t="inlineStr">
        <is>
          <t>민재홍</t>
        </is>
      </c>
      <c r="AI87" s="207" t="n"/>
      <c r="AJ87" s="245" t="n"/>
      <c r="AK87" s="209" t="n"/>
      <c r="AL87" s="210" t="n"/>
      <c r="AM87" s="246" t="n"/>
      <c r="AN87" s="171" t="n"/>
      <c r="AO87" s="242" t="n"/>
      <c r="AP87" s="243" t="n"/>
      <c r="AQ87" s="243" t="n"/>
      <c r="AR87" s="204" t="n"/>
      <c r="AS87" s="205" t="n"/>
      <c r="AT87" s="244" t="n"/>
      <c r="AU87" s="204" t="n"/>
      <c r="AV87" s="207" t="n"/>
      <c r="AW87" s="245" t="n"/>
      <c r="AX87" s="209" t="n"/>
      <c r="AY87" s="210" t="n"/>
      <c r="AZ87" s="246" t="n"/>
      <c r="BA87" s="171" t="n"/>
      <c r="BB87" s="242" t="n"/>
      <c r="BC87" s="243" t="n"/>
      <c r="BD87" s="243" t="n"/>
      <c r="BE87" s="204" t="n"/>
      <c r="BF87" s="205" t="n"/>
      <c r="BG87" s="244" t="n"/>
      <c r="BH87" s="204" t="n"/>
      <c r="BI87" s="207" t="n"/>
      <c r="BJ87" s="245" t="n"/>
      <c r="BK87" s="209" t="n"/>
      <c r="BL87" s="210" t="n"/>
      <c r="BM87" s="246" t="n"/>
      <c r="BN87" s="171" t="n"/>
      <c r="BO87" s="171" t="n"/>
      <c r="BP87" s="171" t="n"/>
      <c r="BQ87" s="171" t="n"/>
      <c r="BR87" s="171" t="n"/>
      <c r="BS87" s="171" t="n"/>
      <c r="BT87" s="171" t="n"/>
      <c r="BU87" s="171" t="n"/>
      <c r="BV87" s="171" t="n"/>
      <c r="BW87" s="171" t="n"/>
      <c r="BX87" s="171" t="n"/>
      <c r="BY87" s="171" t="n"/>
      <c r="BZ87" s="171" t="n"/>
      <c r="CA87" s="171" t="n"/>
      <c r="CB87" s="171" t="n"/>
      <c r="CC87" s="171" t="n"/>
      <c r="CD87" s="171" t="n"/>
      <c r="CE87" s="171" t="n"/>
      <c r="CF87" s="171" t="n"/>
      <c r="CG87" s="171" t="n"/>
      <c r="CH87" s="171" t="n"/>
      <c r="CI87" s="171" t="n"/>
      <c r="CJ87" s="171" t="n"/>
      <c r="CK87" s="171" t="n"/>
      <c r="CL87" s="171" t="n"/>
    </row>
    <row r="88">
      <c r="A88" s="171" t="n"/>
      <c r="B88" s="242" t="n"/>
      <c r="C88" s="243" t="n"/>
      <c r="D88" s="243" t="n"/>
      <c r="E88" s="204" t="n"/>
      <c r="F88" s="205" t="n"/>
      <c r="G88" s="244" t="n"/>
      <c r="H88" s="204" t="n"/>
      <c r="I88" s="207" t="n"/>
      <c r="J88" s="245" t="n"/>
      <c r="K88" s="209" t="n"/>
      <c r="L88" s="210" t="n"/>
      <c r="M88" s="246" t="n"/>
      <c r="N88" s="171" t="n"/>
      <c r="O88" s="242" t="n"/>
      <c r="P88" s="243" t="n"/>
      <c r="Q88" s="243" t="n"/>
      <c r="R88" s="204" t="n"/>
      <c r="S88" s="205" t="n"/>
      <c r="T88" s="244" t="n"/>
      <c r="U88" s="204" t="n"/>
      <c r="V88" s="207" t="n"/>
      <c r="W88" s="245" t="n"/>
      <c r="X88" s="209" t="n"/>
      <c r="Y88" s="210" t="n"/>
      <c r="Z88" s="246" t="n"/>
      <c r="AA88" s="171" t="n"/>
      <c r="AB88" s="242" t="n"/>
      <c r="AC88" s="243" t="inlineStr">
        <is>
          <t>크린토피아</t>
        </is>
      </c>
      <c r="AD88" s="243" t="n">
        <v>290</v>
      </c>
      <c r="AE88" s="204" t="inlineStr">
        <is>
          <t>내동</t>
        </is>
      </c>
      <c r="AF88" s="205" t="n">
        <v>0.625</v>
      </c>
      <c r="AG88" s="244" t="n">
        <v>515130</v>
      </c>
      <c r="AH88" s="204" t="inlineStr">
        <is>
          <t>당효진</t>
        </is>
      </c>
      <c r="AI88" s="207" t="n"/>
      <c r="AJ88" s="245" t="n"/>
      <c r="AK88" s="209" t="n"/>
      <c r="AL88" s="210" t="n"/>
      <c r="AM88" s="246" t="n"/>
      <c r="AN88" s="171" t="n"/>
      <c r="AO88" s="242" t="n"/>
      <c r="AP88" s="243" t="n"/>
      <c r="AQ88" s="243" t="n"/>
      <c r="AR88" s="204" t="n"/>
      <c r="AS88" s="205" t="n"/>
      <c r="AT88" s="244" t="n"/>
      <c r="AU88" s="204" t="n"/>
      <c r="AV88" s="207" t="n"/>
      <c r="AW88" s="245" t="n"/>
      <c r="AX88" s="209" t="n"/>
      <c r="AY88" s="210" t="n"/>
      <c r="AZ88" s="246" t="n"/>
      <c r="BA88" s="171" t="n"/>
      <c r="BB88" s="242" t="n"/>
      <c r="BC88" s="243" t="n"/>
      <c r="BD88" s="243" t="n"/>
      <c r="BE88" s="204" t="n"/>
      <c r="BF88" s="205" t="n"/>
      <c r="BG88" s="244" t="n"/>
      <c r="BH88" s="204" t="n"/>
      <c r="BI88" s="207" t="n"/>
      <c r="BJ88" s="245" t="n"/>
      <c r="BK88" s="209" t="n"/>
      <c r="BL88" s="210" t="n"/>
      <c r="BM88" s="246" t="n"/>
      <c r="BN88" s="171" t="n"/>
      <c r="BO88" s="171" t="n"/>
      <c r="BP88" s="171" t="n"/>
      <c r="BQ88" s="171" t="n"/>
      <c r="BR88" s="171" t="n"/>
      <c r="BS88" s="171" t="n"/>
      <c r="BT88" s="171" t="n"/>
      <c r="BU88" s="171" t="n"/>
      <c r="BV88" s="171" t="n"/>
      <c r="BW88" s="171" t="n"/>
      <c r="BX88" s="171" t="n"/>
      <c r="BY88" s="171" t="n"/>
      <c r="BZ88" s="171" t="n"/>
      <c r="CA88" s="171" t="n"/>
      <c r="CB88" s="171" t="n"/>
      <c r="CC88" s="171" t="n"/>
      <c r="CD88" s="171" t="n"/>
      <c r="CE88" s="171" t="n"/>
      <c r="CF88" s="171" t="n"/>
      <c r="CG88" s="171" t="n"/>
      <c r="CH88" s="171" t="n"/>
      <c r="CI88" s="171" t="n"/>
      <c r="CJ88" s="171" t="n"/>
      <c r="CK88" s="171" t="n"/>
      <c r="CL88" s="171" t="n"/>
    </row>
    <row r="89" ht="18" customHeight="1" s="22" thickBot="1">
      <c r="A89" s="171" t="n"/>
      <c r="B89" s="242" t="n"/>
      <c r="C89" s="243" t="n"/>
      <c r="D89" s="243" t="n"/>
      <c r="E89" s="204" t="n"/>
      <c r="F89" s="205" t="n"/>
      <c r="G89" s="244" t="n"/>
      <c r="H89" s="204" t="n"/>
      <c r="I89" s="207" t="n"/>
      <c r="J89" s="245" t="n"/>
      <c r="K89" s="209" t="n"/>
      <c r="L89" s="210" t="n"/>
      <c r="M89" s="246" t="n"/>
      <c r="N89" s="171" t="n"/>
      <c r="O89" s="242" t="n"/>
      <c r="P89" s="243" t="n"/>
      <c r="Q89" s="243" t="n"/>
      <c r="R89" s="204" t="n"/>
      <c r="S89" s="205" t="n"/>
      <c r="T89" s="244" t="n"/>
      <c r="U89" s="204" t="n"/>
      <c r="V89" s="207" t="n"/>
      <c r="W89" s="245" t="n"/>
      <c r="X89" s="209" t="n"/>
      <c r="Y89" s="210" t="n"/>
      <c r="Z89" s="246" t="n"/>
      <c r="AA89" s="171" t="n"/>
      <c r="AB89" s="242" t="n"/>
      <c r="AC89" s="243" t="inlineStr">
        <is>
          <t>서암리종장</t>
        </is>
      </c>
      <c r="AD89" s="243" t="n">
        <v>38</v>
      </c>
      <c r="AE89" s="204" t="inlineStr">
        <is>
          <t>서암리</t>
        </is>
      </c>
      <c r="AF89" s="205" t="n">
        <v>0.4166666666666667</v>
      </c>
      <c r="AG89" s="244" t="n">
        <v>201740</v>
      </c>
      <c r="AH89" s="204" t="inlineStr">
        <is>
          <t>정성관</t>
        </is>
      </c>
      <c r="AI89" s="207" t="n"/>
      <c r="AJ89" s="245" t="n"/>
      <c r="AK89" s="209" t="n"/>
      <c r="AL89" s="210" t="n"/>
      <c r="AM89" s="246" t="n"/>
      <c r="AN89" s="171" t="n"/>
      <c r="AO89" s="242" t="n"/>
      <c r="AP89" s="243" t="n"/>
      <c r="AQ89" s="243" t="n"/>
      <c r="AR89" s="204" t="n"/>
      <c r="AS89" s="205" t="n"/>
      <c r="AT89" s="244" t="n"/>
      <c r="AU89" s="204" t="n"/>
      <c r="AV89" s="207" t="n"/>
      <c r="AW89" s="245" t="n"/>
      <c r="AX89" s="209" t="n"/>
      <c r="AY89" s="210" t="n"/>
      <c r="AZ89" s="246" t="n"/>
      <c r="BA89" s="171" t="n"/>
      <c r="BB89" s="242" t="n"/>
      <c r="BC89" s="243" t="n"/>
      <c r="BD89" s="243" t="n"/>
      <c r="BE89" s="204" t="n"/>
      <c r="BF89" s="205" t="n"/>
      <c r="BG89" s="244" t="n"/>
      <c r="BH89" s="204" t="n"/>
      <c r="BI89" s="207" t="n"/>
      <c r="BJ89" s="245" t="n"/>
      <c r="BK89" s="209" t="n"/>
      <c r="BL89" s="210" t="n"/>
      <c r="BM89" s="246" t="n"/>
      <c r="BN89" s="171" t="n"/>
      <c r="BO89" s="171" t="n"/>
      <c r="BP89" s="171" t="n"/>
      <c r="BQ89" s="171" t="n"/>
      <c r="BR89" s="171" t="n"/>
      <c r="BS89" s="171" t="n"/>
      <c r="BT89" s="171" t="n"/>
      <c r="BU89" s="171" t="n"/>
      <c r="BV89" s="171" t="n"/>
      <c r="BW89" s="171" t="n"/>
      <c r="BX89" s="171" t="n"/>
      <c r="BY89" s="171" t="n"/>
      <c r="BZ89" s="171" t="n"/>
      <c r="CA89" s="171" t="n"/>
      <c r="CB89" s="171" t="n"/>
      <c r="CC89" s="171" t="n"/>
      <c r="CD89" s="171" t="n"/>
      <c r="CE89" s="171" t="n"/>
      <c r="CF89" s="171" t="n"/>
      <c r="CG89" s="171" t="n"/>
      <c r="CH89" s="171" t="n"/>
      <c r="CI89" s="171" t="n"/>
      <c r="CJ89" s="171" t="n"/>
      <c r="CK89" s="171" t="n"/>
      <c r="CL89" s="171" t="n"/>
    </row>
    <row r="90">
      <c r="A90" s="171" t="n"/>
      <c r="B90" s="247" t="inlineStr">
        <is>
          <t>김포지역</t>
        </is>
      </c>
      <c r="C90" s="248" t="inlineStr">
        <is>
          <t>하이톤가구</t>
        </is>
      </c>
      <c r="D90" s="248" t="n">
        <v>250</v>
      </c>
      <c r="E90" s="191" t="inlineStr">
        <is>
          <t>마송리</t>
        </is>
      </c>
      <c r="F90" s="192" t="n">
        <v>0.4791666666666667</v>
      </c>
      <c r="G90" s="249" t="n">
        <v>489170</v>
      </c>
      <c r="H90" s="191" t="inlineStr">
        <is>
          <t>서수형</t>
        </is>
      </c>
      <c r="I90" s="194" t="inlineStr">
        <is>
          <t>현성태양광</t>
        </is>
      </c>
      <c r="J90" s="250" t="n">
        <v>45</v>
      </c>
      <c r="K90" s="196" t="inlineStr">
        <is>
          <t>가현리</t>
        </is>
      </c>
      <c r="L90" s="197" t="n"/>
      <c r="M90" s="251" t="inlineStr">
        <is>
          <t>당효진</t>
        </is>
      </c>
      <c r="N90" s="171" t="n"/>
      <c r="O90" s="247" t="inlineStr">
        <is>
          <t>김포지역</t>
        </is>
      </c>
      <c r="P90" s="248" t="inlineStr">
        <is>
          <t>김포르리랜서오피슽텔</t>
        </is>
      </c>
      <c r="Q90" s="248" t="inlineStr">
        <is>
          <t>400/105</t>
        </is>
      </c>
      <c r="R90" s="191" t="inlineStr">
        <is>
          <t>사우동</t>
        </is>
      </c>
      <c r="S90" s="192" t="n">
        <v>0.3958333333333333</v>
      </c>
      <c r="T90" s="249" t="n">
        <v>870760</v>
      </c>
      <c r="U90" s="191" t="inlineStr">
        <is>
          <t>당효진</t>
        </is>
      </c>
      <c r="V90" s="194" t="inlineStr">
        <is>
          <t>우진태양광</t>
        </is>
      </c>
      <c r="W90" s="250" t="n">
        <v>218</v>
      </c>
      <c r="X90" s="196" t="inlineStr">
        <is>
          <t>옹정리</t>
        </is>
      </c>
      <c r="Y90" s="197" t="n"/>
      <c r="Z90" s="251" t="inlineStr">
        <is>
          <t>옹승완</t>
        </is>
      </c>
      <c r="AA90" s="171" t="n"/>
      <c r="AB90" s="247" t="inlineStr">
        <is>
          <t>김포지역</t>
        </is>
      </c>
      <c r="AC90" s="248" t="inlineStr">
        <is>
          <t>라르플레이스</t>
        </is>
      </c>
      <c r="AD90" s="248" t="inlineStr">
        <is>
          <t>800/450</t>
        </is>
      </c>
      <c r="AE90" s="191" t="inlineStr">
        <is>
          <t>신곡리</t>
        </is>
      </c>
      <c r="AF90" s="192" t="n">
        <v>0.625</v>
      </c>
      <c r="AG90" s="249" t="n">
        <v>1085040</v>
      </c>
      <c r="AH90" s="191" t="inlineStr">
        <is>
          <t>옹승완</t>
        </is>
      </c>
      <c r="AI90" s="194" t="inlineStr">
        <is>
          <t>동호중기2공장</t>
        </is>
      </c>
      <c r="AJ90" s="250" t="n">
        <v>30</v>
      </c>
      <c r="AK90" s="196" t="inlineStr">
        <is>
          <t>귀전리</t>
        </is>
      </c>
      <c r="AL90" s="197" t="n"/>
      <c r="AM90" s="251" t="inlineStr">
        <is>
          <t>옹승완</t>
        </is>
      </c>
      <c r="AN90" s="171" t="n"/>
      <c r="AO90" s="247" t="inlineStr">
        <is>
          <t>김포지역</t>
        </is>
      </c>
      <c r="AP90" s="248" t="inlineStr">
        <is>
          <t>삼흥알텍</t>
        </is>
      </c>
      <c r="AQ90" s="248" t="n">
        <v>290</v>
      </c>
      <c r="AR90" s="191" t="inlineStr">
        <is>
          <t>석탄리</t>
        </is>
      </c>
      <c r="AS90" s="192" t="n">
        <v>0.4791666666666667</v>
      </c>
      <c r="AT90" s="249" t="n">
        <v>515130</v>
      </c>
      <c r="AU90" s="191" t="n"/>
      <c r="AV90" s="194" t="inlineStr">
        <is>
          <t>모헷발전소</t>
        </is>
      </c>
      <c r="AW90" s="250" t="n"/>
      <c r="AX90" s="196" t="inlineStr">
        <is>
          <t>대명리</t>
        </is>
      </c>
      <c r="AY90" s="197" t="n"/>
      <c r="AZ90" s="251" t="n"/>
      <c r="BA90" s="171" t="n"/>
      <c r="BB90" s="247" t="inlineStr">
        <is>
          <t>김포지역</t>
        </is>
      </c>
      <c r="BC90" s="248" t="inlineStr">
        <is>
          <t>고촌레코파크</t>
        </is>
      </c>
      <c r="BD90" s="248" t="n">
        <v>1800</v>
      </c>
      <c r="BE90" s="191" t="inlineStr">
        <is>
          <t>신곡리</t>
        </is>
      </c>
      <c r="BF90" s="192" t="n">
        <v>0.25</v>
      </c>
      <c r="BG90" s="249" t="n">
        <v>1386000</v>
      </c>
      <c r="BH90" s="191" t="n"/>
      <c r="BI90" s="194" t="n"/>
      <c r="BJ90" s="250" t="n"/>
      <c r="BK90" s="196" t="n"/>
      <c r="BL90" s="197" t="n"/>
      <c r="BM90" s="251" t="n"/>
      <c r="BN90" s="171" t="n"/>
      <c r="BO90" s="171" t="n"/>
      <c r="BP90" s="171" t="n"/>
      <c r="BQ90" s="171" t="n"/>
      <c r="BR90" s="171" t="n"/>
      <c r="BS90" s="171" t="n"/>
      <c r="BT90" s="171" t="n"/>
      <c r="BU90" s="171" t="n"/>
      <c r="BV90" s="171" t="n"/>
      <c r="BW90" s="171" t="n"/>
      <c r="BX90" s="171" t="n"/>
      <c r="BY90" s="171" t="n"/>
      <c r="BZ90" s="171" t="n"/>
      <c r="CA90" s="171" t="n"/>
      <c r="CB90" s="171" t="n"/>
      <c r="CC90" s="171" t="n"/>
      <c r="CD90" s="171" t="n"/>
      <c r="CE90" s="171" t="n"/>
      <c r="CF90" s="171" t="n"/>
      <c r="CG90" s="171" t="n"/>
      <c r="CH90" s="171" t="n"/>
      <c r="CI90" s="171" t="n"/>
      <c r="CJ90" s="171" t="n"/>
      <c r="CK90" s="171" t="n"/>
      <c r="CL90" s="171" t="n"/>
    </row>
    <row r="91">
      <c r="A91" s="171" t="n"/>
      <c r="B91" s="242" t="n"/>
      <c r="C91" s="243" t="inlineStr">
        <is>
          <t>청원프라자</t>
        </is>
      </c>
      <c r="D91" s="243" t="inlineStr">
        <is>
          <t>500/68</t>
        </is>
      </c>
      <c r="E91" s="204" t="inlineStr">
        <is>
          <t>사우동</t>
        </is>
      </c>
      <c r="F91" s="205" t="n">
        <v>0.3958333333333333</v>
      </c>
      <c r="G91" s="244" t="n">
        <v>893640</v>
      </c>
      <c r="H91" s="204" t="inlineStr">
        <is>
          <t>옹승완</t>
        </is>
      </c>
      <c r="I91" s="207" t="inlineStr">
        <is>
          <t>뉴플로우</t>
        </is>
      </c>
      <c r="J91" s="245" t="n">
        <v>120</v>
      </c>
      <c r="K91" s="209" t="inlineStr">
        <is>
          <t>율생리</t>
        </is>
      </c>
      <c r="L91" s="210" t="n"/>
      <c r="M91" s="246" t="inlineStr">
        <is>
          <t>민재홍</t>
        </is>
      </c>
      <c r="N91" s="171" t="n"/>
      <c r="O91" s="242" t="n"/>
      <c r="P91" s="243" t="inlineStr">
        <is>
          <t>대한중전기</t>
        </is>
      </c>
      <c r="Q91" s="243" t="n">
        <v>750</v>
      </c>
      <c r="R91" s="204" t="inlineStr">
        <is>
          <t>송마리</t>
        </is>
      </c>
      <c r="S91" s="205" t="n">
        <v>0.5138888888888888</v>
      </c>
      <c r="T91" s="244" t="n">
        <v>821700</v>
      </c>
      <c r="U91" s="204" t="inlineStr">
        <is>
          <t>변종국</t>
        </is>
      </c>
      <c r="V91" s="207" t="inlineStr">
        <is>
          <t>김포프리랜서</t>
        </is>
      </c>
      <c r="W91" s="245" t="n">
        <v>400</v>
      </c>
      <c r="X91" s="209" t="inlineStr">
        <is>
          <t>사우동</t>
        </is>
      </c>
      <c r="Y91" s="210" t="n"/>
      <c r="Z91" s="246" t="inlineStr">
        <is>
          <t>당효진</t>
        </is>
      </c>
      <c r="AA91" s="171" t="n"/>
      <c r="AB91" s="242" t="n"/>
      <c r="AC91" s="243" t="inlineStr">
        <is>
          <t>만송</t>
        </is>
      </c>
      <c r="AD91" s="243" t="n">
        <v>180</v>
      </c>
      <c r="AE91" s="204" t="inlineStr">
        <is>
          <t>학운리</t>
        </is>
      </c>
      <c r="AF91" s="205" t="n">
        <v>0.4583333333333333</v>
      </c>
      <c r="AG91" s="244" t="n">
        <v>258170</v>
      </c>
      <c r="AH91" s="204" t="inlineStr">
        <is>
          <t>정성관</t>
        </is>
      </c>
      <c r="AI91" s="207" t="n"/>
      <c r="AJ91" s="245" t="n"/>
      <c r="AK91" s="209" t="n"/>
      <c r="AL91" s="210" t="n"/>
      <c r="AM91" s="246" t="n"/>
      <c r="AN91" s="171" t="n"/>
      <c r="AO91" s="242" t="n"/>
      <c r="AP91" s="243" t="inlineStr">
        <is>
          <t>유민철강</t>
        </is>
      </c>
      <c r="AQ91" s="243" t="n">
        <v>197</v>
      </c>
      <c r="AR91" s="204" t="inlineStr">
        <is>
          <t>학운리</t>
        </is>
      </c>
      <c r="AS91" s="205" t="n">
        <v>0.4791666666666667</v>
      </c>
      <c r="AT91" s="244" t="n">
        <v>357280</v>
      </c>
      <c r="AU91" s="204" t="n"/>
      <c r="AV91" s="207" t="inlineStr">
        <is>
          <t>현대</t>
        </is>
      </c>
      <c r="AW91" s="245" t="n">
        <v>219</v>
      </c>
      <c r="AX91" s="209" t="inlineStr">
        <is>
          <t>귀전리</t>
        </is>
      </c>
      <c r="AY91" s="210" t="n"/>
      <c r="AZ91" s="246" t="n"/>
      <c r="BA91" s="171" t="n"/>
      <c r="BB91" s="242" t="n"/>
      <c r="BC91" s="243" t="inlineStr">
        <is>
          <t>우창엠피</t>
        </is>
      </c>
      <c r="BD91" s="243" t="n">
        <v>290</v>
      </c>
      <c r="BE91" s="204" t="inlineStr">
        <is>
          <t>북변동</t>
        </is>
      </c>
      <c r="BF91" s="205" t="n">
        <v>0.4791666666666667</v>
      </c>
      <c r="BG91" s="244" t="n">
        <v>515130</v>
      </c>
      <c r="BH91" s="204" t="n"/>
      <c r="BI91" s="207" t="n"/>
      <c r="BJ91" s="245" t="n"/>
      <c r="BK91" s="209" t="n"/>
      <c r="BL91" s="210" t="n"/>
      <c r="BM91" s="246" t="n"/>
      <c r="BN91" s="171" t="n"/>
      <c r="BO91" s="171" t="n"/>
      <c r="BP91" s="171" t="n"/>
      <c r="BQ91" s="171" t="n"/>
      <c r="BR91" s="171" t="n"/>
      <c r="BS91" s="171" t="n"/>
      <c r="BT91" s="171" t="n"/>
      <c r="BU91" s="171" t="n"/>
      <c r="BV91" s="171" t="n"/>
      <c r="BW91" s="171" t="n"/>
      <c r="BX91" s="171" t="n"/>
      <c r="BY91" s="171" t="n"/>
      <c r="BZ91" s="171" t="n"/>
      <c r="CA91" s="171" t="n"/>
      <c r="CB91" s="171" t="n"/>
      <c r="CC91" s="171" t="n"/>
      <c r="CD91" s="171" t="n"/>
      <c r="CE91" s="171" t="n"/>
      <c r="CF91" s="171" t="n"/>
      <c r="CG91" s="171" t="n"/>
      <c r="CH91" s="171" t="n"/>
      <c r="CI91" s="171" t="n"/>
      <c r="CJ91" s="171" t="n"/>
      <c r="CK91" s="171" t="n"/>
      <c r="CL91" s="171" t="n"/>
    </row>
    <row r="92">
      <c r="A92" s="171" t="n"/>
      <c r="B92" s="242" t="n"/>
      <c r="C92" s="243" t="inlineStr">
        <is>
          <t>경일화학</t>
        </is>
      </c>
      <c r="D92" s="243" t="n">
        <v>490</v>
      </c>
      <c r="E92" s="204" t="inlineStr">
        <is>
          <t>송마리</t>
        </is>
      </c>
      <c r="F92" s="205" t="n">
        <v>0.3958333333333333</v>
      </c>
      <c r="G92" s="244" t="n">
        <v>733590</v>
      </c>
      <c r="H92" s="204" t="inlineStr">
        <is>
          <t>변종국</t>
        </is>
      </c>
      <c r="I92" s="207" t="inlineStr">
        <is>
          <t>이부환태양광</t>
        </is>
      </c>
      <c r="J92" s="245" t="n">
        <v>120</v>
      </c>
      <c r="K92" s="209" t="inlineStr">
        <is>
          <t>율생리</t>
        </is>
      </c>
      <c r="L92" s="210" t="n"/>
      <c r="M92" s="246" t="inlineStr">
        <is>
          <t>민재홍</t>
        </is>
      </c>
      <c r="N92" s="171" t="n"/>
      <c r="O92" s="242" t="n"/>
      <c r="P92" s="243" t="inlineStr">
        <is>
          <t>와이산업</t>
        </is>
      </c>
      <c r="Q92" s="243" t="n">
        <v>178</v>
      </c>
      <c r="R92" s="204" t="inlineStr">
        <is>
          <t>송마리</t>
        </is>
      </c>
      <c r="S92" s="205" t="n">
        <v>0.4166666666666667</v>
      </c>
      <c r="T92" s="244" t="n">
        <v>337480</v>
      </c>
      <c r="U92" s="204" t="inlineStr">
        <is>
          <t>서수형</t>
        </is>
      </c>
      <c r="V92" s="207" t="n"/>
      <c r="W92" s="245" t="n"/>
      <c r="X92" s="209" t="n"/>
      <c r="Y92" s="210" t="n"/>
      <c r="Z92" s="246" t="n"/>
      <c r="AA92" s="171" t="n"/>
      <c r="AB92" s="242" t="n"/>
      <c r="AC92" s="243" t="inlineStr">
        <is>
          <t>고은메티타워</t>
        </is>
      </c>
      <c r="AD92" s="243" t="inlineStr">
        <is>
          <t>1500/350</t>
        </is>
      </c>
      <c r="AE92" s="204" t="inlineStr">
        <is>
          <t>구래동</t>
        </is>
      </c>
      <c r="AF92" s="205" t="n">
        <v>0.2916666666666667</v>
      </c>
      <c r="AG92" s="244" t="n">
        <v>1565850</v>
      </c>
      <c r="AH92" s="204" t="inlineStr">
        <is>
          <t>서수형</t>
        </is>
      </c>
      <c r="AI92" s="207" t="n"/>
      <c r="AJ92" s="245" t="n"/>
      <c r="AK92" s="209" t="n"/>
      <c r="AL92" s="210" t="n"/>
      <c r="AM92" s="246" t="n"/>
      <c r="AN92" s="171" t="n"/>
      <c r="AO92" s="242" t="n"/>
      <c r="AP92" s="243" t="inlineStr">
        <is>
          <t>센트럴프라자2</t>
        </is>
      </c>
      <c r="AQ92" s="243" t="inlineStr">
        <is>
          <t>전기차</t>
        </is>
      </c>
      <c r="AR92" s="204" t="inlineStr">
        <is>
          <t>구래동</t>
        </is>
      </c>
      <c r="AS92" s="205" t="n">
        <v>0.4375</v>
      </c>
      <c r="AT92" s="244" t="n">
        <v>64240</v>
      </c>
      <c r="AU92" s="204" t="n"/>
      <c r="AV92" s="207" t="n"/>
      <c r="AW92" s="245" t="n"/>
      <c r="AX92" s="209" t="n"/>
      <c r="AY92" s="210" t="n"/>
      <c r="AZ92" s="246" t="n"/>
      <c r="BA92" s="171" t="n"/>
      <c r="BB92" s="242" t="n"/>
      <c r="BC92" s="243" t="inlineStr">
        <is>
          <t>영신기업사</t>
        </is>
      </c>
      <c r="BD92" s="243" t="n">
        <v>250</v>
      </c>
      <c r="BE92" s="204" t="inlineStr">
        <is>
          <t>율생리</t>
        </is>
      </c>
      <c r="BF92" s="205" t="n">
        <v>0.4166666666666667</v>
      </c>
      <c r="BG92" s="244" t="n">
        <v>489170</v>
      </c>
      <c r="BH92" s="204" t="n"/>
      <c r="BI92" s="207" t="n"/>
      <c r="BJ92" s="245" t="n"/>
      <c r="BK92" s="209" t="n"/>
      <c r="BL92" s="210" t="n"/>
      <c r="BM92" s="246" t="n"/>
      <c r="BN92" s="171" t="n"/>
      <c r="BO92" s="171" t="n"/>
      <c r="BP92" s="171" t="n"/>
      <c r="BQ92" s="171" t="n"/>
      <c r="BR92" s="171" t="n"/>
      <c r="BS92" s="171" t="n"/>
      <c r="BT92" s="171" t="n"/>
      <c r="BU92" s="171" t="n"/>
      <c r="BV92" s="171" t="n"/>
      <c r="BW92" s="171" t="n"/>
      <c r="BX92" s="171" t="n"/>
      <c r="BY92" s="171" t="n"/>
      <c r="BZ92" s="171" t="n"/>
      <c r="CA92" s="171" t="n"/>
      <c r="CB92" s="171" t="n"/>
      <c r="CC92" s="171" t="n"/>
      <c r="CD92" s="171" t="n"/>
      <c r="CE92" s="171" t="n"/>
      <c r="CF92" s="171" t="n"/>
      <c r="CG92" s="171" t="n"/>
      <c r="CH92" s="171" t="n"/>
      <c r="CI92" s="171" t="n"/>
      <c r="CJ92" s="171" t="n"/>
      <c r="CK92" s="171" t="n"/>
      <c r="CL92" s="171" t="n"/>
    </row>
    <row r="93">
      <c r="A93" s="171" t="n"/>
      <c r="B93" s="242" t="n"/>
      <c r="C93" s="243" t="inlineStr">
        <is>
          <t>셔경금속</t>
        </is>
      </c>
      <c r="D93" s="243" t="n">
        <v>250</v>
      </c>
      <c r="E93" s="204" t="inlineStr">
        <is>
          <t>학운리</t>
        </is>
      </c>
      <c r="F93" s="205" t="n">
        <v>0.4583333333333333</v>
      </c>
      <c r="G93" s="244" t="n">
        <v>489170</v>
      </c>
      <c r="H93" s="204" t="inlineStr">
        <is>
          <t>이덕기</t>
        </is>
      </c>
      <c r="I93" s="207" t="inlineStr">
        <is>
          <t>해오름</t>
        </is>
      </c>
      <c r="J93" s="245" t="n">
        <v>120</v>
      </c>
      <c r="K93" s="209" t="inlineStr">
        <is>
          <t>상마리</t>
        </is>
      </c>
      <c r="L93" s="210" t="n"/>
      <c r="M93" s="246" t="inlineStr">
        <is>
          <t>이종석</t>
        </is>
      </c>
      <c r="N93" s="171" t="n"/>
      <c r="O93" s="242" t="n"/>
      <c r="P93" s="243" t="inlineStr">
        <is>
          <t>케이에스</t>
        </is>
      </c>
      <c r="Q93" s="243" t="n">
        <v>250</v>
      </c>
      <c r="R93" s="204" t="inlineStr">
        <is>
          <t>송마리</t>
        </is>
      </c>
      <c r="S93" s="205" t="n">
        <v>0.4583333333333333</v>
      </c>
      <c r="T93" s="244" t="n">
        <v>489170</v>
      </c>
      <c r="U93" s="204" t="inlineStr">
        <is>
          <t>변종국</t>
        </is>
      </c>
      <c r="V93" s="207" t="n"/>
      <c r="W93" s="245" t="n"/>
      <c r="X93" s="209" t="n"/>
      <c r="Y93" s="210" t="n"/>
      <c r="Z93" s="246" t="n"/>
      <c r="AA93" s="171" t="n"/>
      <c r="AB93" s="242" t="n"/>
      <c r="AC93" s="243" t="inlineStr">
        <is>
          <t>중일라크리움</t>
        </is>
      </c>
      <c r="AD93" s="243" t="inlineStr">
        <is>
          <t>2000/550</t>
        </is>
      </c>
      <c r="AE93" s="204" t="inlineStr">
        <is>
          <t>구래동</t>
        </is>
      </c>
      <c r="AF93" s="205" t="n">
        <v>0.4166666666666667</v>
      </c>
      <c r="AG93" s="244" t="n">
        <v>1329240</v>
      </c>
      <c r="AH93" s="204" t="inlineStr">
        <is>
          <t>변종국</t>
        </is>
      </c>
      <c r="AI93" s="207" t="n"/>
      <c r="AJ93" s="245" t="n"/>
      <c r="AK93" s="209" t="n"/>
      <c r="AL93" s="210" t="n"/>
      <c r="AM93" s="246" t="n"/>
      <c r="AN93" s="171" t="n"/>
      <c r="AO93" s="242" t="n"/>
      <c r="AP93" s="243" t="inlineStr">
        <is>
          <t>메트로 프라임</t>
        </is>
      </c>
      <c r="AQ93" s="243" t="inlineStr">
        <is>
          <t>700/273</t>
        </is>
      </c>
      <c r="AR93" s="204" t="inlineStr">
        <is>
          <t>풍무동</t>
        </is>
      </c>
      <c r="AS93" s="205" t="n">
        <v>0.4375</v>
      </c>
      <c r="AT93" s="244" t="n">
        <v>1022120</v>
      </c>
      <c r="AU93" s="204" t="n"/>
      <c r="AV93" s="207" t="n"/>
      <c r="AW93" s="245" t="n"/>
      <c r="AX93" s="209" t="n"/>
      <c r="AY93" s="210" t="n"/>
      <c r="AZ93" s="246" t="n"/>
      <c r="BA93" s="171" t="n"/>
      <c r="BB93" s="242" t="n"/>
      <c r="BC93" s="243" t="inlineStr">
        <is>
          <t>영신기업사</t>
        </is>
      </c>
      <c r="BD93" s="243" t="n">
        <v>150</v>
      </c>
      <c r="BE93" s="204" t="inlineStr">
        <is>
          <t>율생리</t>
        </is>
      </c>
      <c r="BF93" s="205" t="n">
        <v>0.4375</v>
      </c>
      <c r="BG93" s="244" t="n">
        <v>424160</v>
      </c>
      <c r="BH93" s="204" t="n"/>
      <c r="BI93" s="207" t="n"/>
      <c r="BJ93" s="245" t="n"/>
      <c r="BK93" s="209" t="n"/>
      <c r="BL93" s="210" t="n"/>
      <c r="BM93" s="246" t="n"/>
      <c r="BN93" s="171" t="n"/>
      <c r="BO93" s="171" t="n"/>
      <c r="BP93" s="171" t="n"/>
      <c r="BQ93" s="171" t="n"/>
      <c r="BR93" s="171" t="n"/>
      <c r="BS93" s="171" t="n"/>
      <c r="BT93" s="171" t="n"/>
      <c r="BU93" s="171" t="n"/>
      <c r="BV93" s="171" t="n"/>
      <c r="BW93" s="171" t="n"/>
      <c r="BX93" s="171" t="n"/>
      <c r="BY93" s="171" t="n"/>
      <c r="BZ93" s="171" t="n"/>
      <c r="CA93" s="171" t="n"/>
      <c r="CB93" s="171" t="n"/>
      <c r="CC93" s="171" t="n"/>
      <c r="CD93" s="171" t="n"/>
      <c r="CE93" s="171" t="n"/>
      <c r="CF93" s="171" t="n"/>
      <c r="CG93" s="171" t="n"/>
      <c r="CH93" s="171" t="n"/>
      <c r="CI93" s="171" t="n"/>
      <c r="CJ93" s="171" t="n"/>
      <c r="CK93" s="171" t="n"/>
      <c r="CL93" s="171" t="n"/>
    </row>
    <row r="94">
      <c r="A94" s="171" t="n"/>
      <c r="B94" s="242" t="n"/>
      <c r="C94" s="243" t="inlineStr">
        <is>
          <t>한국나이스</t>
        </is>
      </c>
      <c r="D94" s="243" t="n">
        <v>700</v>
      </c>
      <c r="E94" s="204" t="inlineStr">
        <is>
          <t>고양리</t>
        </is>
      </c>
      <c r="F94" s="205" t="n">
        <v>0.4583333333333333</v>
      </c>
      <c r="G94" s="244" t="n">
        <v>804760</v>
      </c>
      <c r="H94" s="204" t="inlineStr">
        <is>
          <t>허록종</t>
        </is>
      </c>
      <c r="I94" s="207" t="inlineStr">
        <is>
          <t>채비</t>
        </is>
      </c>
      <c r="J94" s="245" t="n">
        <v>212</v>
      </c>
      <c r="K94" s="209" t="inlineStr">
        <is>
          <t>석탄리</t>
        </is>
      </c>
      <c r="L94" s="210" t="n"/>
      <c r="M94" s="246" t="inlineStr">
        <is>
          <t>허창수</t>
        </is>
      </c>
      <c r="N94" s="171" t="n"/>
      <c r="O94" s="242" t="n"/>
      <c r="P94" s="243" t="inlineStr">
        <is>
          <t>정우베스트</t>
        </is>
      </c>
      <c r="Q94" s="243" t="n">
        <v>140</v>
      </c>
      <c r="R94" s="204" t="inlineStr">
        <is>
          <t>학운리</t>
        </is>
      </c>
      <c r="S94" s="205" t="n">
        <v>0.5208333333333334</v>
      </c>
      <c r="T94" s="244" t="n">
        <v>223740</v>
      </c>
      <c r="U94" s="204" t="inlineStr">
        <is>
          <t>이덕기</t>
        </is>
      </c>
      <c r="V94" s="207" t="n"/>
      <c r="W94" s="245" t="n"/>
      <c r="X94" s="209" t="n"/>
      <c r="Y94" s="210" t="n"/>
      <c r="Z94" s="246" t="n"/>
      <c r="AA94" s="171" t="n"/>
      <c r="AB94" s="242" t="n"/>
      <c r="AC94" s="243" t="inlineStr">
        <is>
          <t>선두산업</t>
        </is>
      </c>
      <c r="AD94" s="243" t="n">
        <v>700</v>
      </c>
      <c r="AE94" s="204" t="inlineStr">
        <is>
          <t>원산리</t>
        </is>
      </c>
      <c r="AF94" s="205" t="n">
        <v>0.5</v>
      </c>
      <c r="AG94" s="244" t="n">
        <v>804760</v>
      </c>
      <c r="AH94" s="204" t="inlineStr">
        <is>
          <t>허창수</t>
        </is>
      </c>
      <c r="AI94" s="207" t="n"/>
      <c r="AJ94" s="245" t="n"/>
      <c r="AK94" s="209" t="n"/>
      <c r="AL94" s="210" t="n"/>
      <c r="AM94" s="246" t="n"/>
      <c r="AN94" s="171" t="n"/>
      <c r="AO94" s="242" t="n"/>
      <c r="AP94" s="243" t="n"/>
      <c r="AQ94" s="243" t="n"/>
      <c r="AR94" s="204" t="n"/>
      <c r="AS94" s="205" t="n"/>
      <c r="AT94" s="244" t="n"/>
      <c r="AU94" s="204" t="n"/>
      <c r="AV94" s="207" t="n"/>
      <c r="AW94" s="245" t="n"/>
      <c r="AX94" s="209" t="n"/>
      <c r="AY94" s="210" t="n"/>
      <c r="AZ94" s="246" t="n"/>
      <c r="BA94" s="171" t="n"/>
      <c r="BB94" s="242" t="n"/>
      <c r="BC94" s="243" t="inlineStr">
        <is>
          <t>바이하츠</t>
        </is>
      </c>
      <c r="BD94" s="243" t="n">
        <v>275</v>
      </c>
      <c r="BE94" s="204" t="inlineStr">
        <is>
          <t>가현리</t>
        </is>
      </c>
      <c r="BF94" s="205" t="n">
        <v>0.5138888888888888</v>
      </c>
      <c r="BG94" s="244" t="n">
        <v>505450</v>
      </c>
      <c r="BH94" s="204" t="n"/>
      <c r="BI94" s="207" t="n"/>
      <c r="BJ94" s="245" t="n"/>
      <c r="BK94" s="209" t="n"/>
      <c r="BL94" s="210" t="n"/>
      <c r="BM94" s="246" t="n"/>
      <c r="BN94" s="171" t="n"/>
      <c r="BO94" s="171" t="n"/>
      <c r="BP94" s="171" t="n"/>
      <c r="BQ94" s="171" t="n"/>
      <c r="BR94" s="171" t="n"/>
      <c r="BS94" s="171" t="n"/>
      <c r="BT94" s="171" t="n"/>
      <c r="BU94" s="171" t="n"/>
      <c r="BV94" s="171" t="n"/>
      <c r="BW94" s="171" t="n"/>
      <c r="BX94" s="171" t="n"/>
      <c r="BY94" s="171" t="n"/>
      <c r="BZ94" s="171" t="n"/>
      <c r="CA94" s="171" t="n"/>
      <c r="CB94" s="171" t="n"/>
      <c r="CC94" s="171" t="n"/>
      <c r="CD94" s="171" t="n"/>
      <c r="CE94" s="171" t="n"/>
      <c r="CF94" s="171" t="n"/>
      <c r="CG94" s="171" t="n"/>
      <c r="CH94" s="171" t="n"/>
      <c r="CI94" s="171" t="n"/>
      <c r="CJ94" s="171" t="n"/>
      <c r="CK94" s="171" t="n"/>
      <c r="CL94" s="171" t="n"/>
    </row>
    <row r="95">
      <c r="A95" s="171" t="n"/>
      <c r="B95" s="242" t="n"/>
      <c r="C95" s="243" t="n"/>
      <c r="D95" s="243" t="n"/>
      <c r="E95" s="204" t="n"/>
      <c r="F95" s="205" t="n"/>
      <c r="G95" s="244" t="n"/>
      <c r="H95" s="204" t="n"/>
      <c r="I95" s="207" t="inlineStr">
        <is>
          <t>코리아스피드칼라</t>
        </is>
      </c>
      <c r="J95" s="245" t="n">
        <v>380</v>
      </c>
      <c r="K95" s="209" t="inlineStr">
        <is>
          <t>학운리</t>
        </is>
      </c>
      <c r="L95" s="210" t="n"/>
      <c r="M95" s="246" t="inlineStr">
        <is>
          <t>이덕기</t>
        </is>
      </c>
      <c r="N95" s="171" t="n"/>
      <c r="O95" s="242" t="n"/>
      <c r="P95" s="243" t="inlineStr">
        <is>
          <t>서워피앤씨</t>
        </is>
      </c>
      <c r="Q95" s="243" t="n">
        <v>120</v>
      </c>
      <c r="R95" s="204" t="inlineStr">
        <is>
          <t>동을산리</t>
        </is>
      </c>
      <c r="S95" s="205" t="n">
        <v>0.3958333333333333</v>
      </c>
      <c r="T95" s="244" t="n">
        <v>206580</v>
      </c>
      <c r="U95" s="204" t="inlineStr">
        <is>
          <t>김영권</t>
        </is>
      </c>
      <c r="V95" s="207" t="n"/>
      <c r="W95" s="245" t="n"/>
      <c r="X95" s="209" t="n"/>
      <c r="Y95" s="210" t="n"/>
      <c r="Z95" s="246" t="n"/>
      <c r="AA95" s="171" t="n"/>
      <c r="AB95" s="242" t="n"/>
      <c r="AC95" s="243" t="inlineStr">
        <is>
          <t>동양기계공업사</t>
        </is>
      </c>
      <c r="AD95" s="243" t="n">
        <v>100</v>
      </c>
      <c r="AE95" s="204" t="inlineStr">
        <is>
          <t>옹정리</t>
        </is>
      </c>
      <c r="AF95" s="205" t="n">
        <v>0.5416666666666666</v>
      </c>
      <c r="AG95" s="244" t="n">
        <v>391710</v>
      </c>
      <c r="AH95" s="204" t="inlineStr">
        <is>
          <t>김영권</t>
        </is>
      </c>
      <c r="AI95" s="207" t="n"/>
      <c r="AJ95" s="245" t="n"/>
      <c r="AK95" s="209" t="n"/>
      <c r="AL95" s="210" t="n"/>
      <c r="AM95" s="246" t="n"/>
      <c r="AN95" s="171" t="n"/>
      <c r="AO95" s="242" t="n"/>
      <c r="AP95" s="243" t="n"/>
      <c r="AQ95" s="243" t="n"/>
      <c r="AR95" s="204" t="n"/>
      <c r="AS95" s="205" t="n"/>
      <c r="AT95" s="244" t="n"/>
      <c r="AU95" s="204" t="n"/>
      <c r="AV95" s="207" t="n"/>
      <c r="AW95" s="245" t="n"/>
      <c r="AX95" s="209" t="n"/>
      <c r="AY95" s="210" t="n"/>
      <c r="AZ95" s="246" t="n"/>
      <c r="BA95" s="171" t="n"/>
      <c r="BB95" s="242" t="n"/>
      <c r="BC95" s="243" t="inlineStr">
        <is>
          <t>성창기계</t>
        </is>
      </c>
      <c r="BD95" s="243" t="n">
        <v>84</v>
      </c>
      <c r="BE95" s="204" t="inlineStr">
        <is>
          <t>학운리</t>
        </is>
      </c>
      <c r="BF95" s="205" t="n">
        <v>0.5833333333333334</v>
      </c>
      <c r="BG95" s="244" t="n">
        <v>239800</v>
      </c>
      <c r="BH95" s="204" t="n"/>
      <c r="BI95" s="207" t="n"/>
      <c r="BJ95" s="245" t="n"/>
      <c r="BK95" s="209" t="n"/>
      <c r="BL95" s="210" t="n"/>
      <c r="BM95" s="246" t="n"/>
      <c r="BN95" s="171" t="n"/>
      <c r="BO95" s="171" t="n"/>
      <c r="BP95" s="171" t="n"/>
      <c r="BQ95" s="171" t="n"/>
      <c r="BR95" s="171" t="n"/>
      <c r="BS95" s="171" t="n"/>
      <c r="BT95" s="171" t="n"/>
      <c r="BU95" s="171" t="n"/>
      <c r="BV95" s="171" t="n"/>
      <c r="BW95" s="171" t="n"/>
      <c r="BX95" s="171" t="n"/>
      <c r="BY95" s="171" t="n"/>
      <c r="BZ95" s="171" t="n"/>
      <c r="CA95" s="171" t="n"/>
      <c r="CB95" s="171" t="n"/>
      <c r="CC95" s="171" t="n"/>
      <c r="CD95" s="171" t="n"/>
      <c r="CE95" s="171" t="n"/>
      <c r="CF95" s="171" t="n"/>
      <c r="CG95" s="171" t="n"/>
      <c r="CH95" s="171" t="n"/>
      <c r="CI95" s="171" t="n"/>
      <c r="CJ95" s="171" t="n"/>
      <c r="CK95" s="171" t="n"/>
      <c r="CL95" s="171" t="n"/>
    </row>
    <row r="96">
      <c r="A96" s="171" t="n"/>
      <c r="B96" s="242" t="n"/>
      <c r="C96" s="243" t="n"/>
      <c r="D96" s="243" t="n"/>
      <c r="E96" s="204" t="n"/>
      <c r="F96" s="205" t="n"/>
      <c r="G96" s="244" t="n"/>
      <c r="H96" s="204" t="n"/>
      <c r="I96" s="207" t="inlineStr">
        <is>
          <t>경진태양광</t>
        </is>
      </c>
      <c r="J96" s="245" t="n">
        <v>116</v>
      </c>
      <c r="K96" s="209" t="inlineStr">
        <is>
          <t>도사리</t>
        </is>
      </c>
      <c r="L96" s="210" t="n"/>
      <c r="M96" s="246" t="inlineStr">
        <is>
          <t>당효진</t>
        </is>
      </c>
      <c r="N96" s="171" t="n"/>
      <c r="O96" s="242" t="n"/>
      <c r="P96" s="243" t="n"/>
      <c r="Q96" s="243" t="n"/>
      <c r="R96" s="204" t="n"/>
      <c r="S96" s="205" t="n"/>
      <c r="T96" s="244" t="n"/>
      <c r="U96" s="204" t="n"/>
      <c r="V96" s="207" t="n"/>
      <c r="W96" s="245" t="n"/>
      <c r="X96" s="209" t="n"/>
      <c r="Y96" s="210" t="n"/>
      <c r="Z96" s="246" t="n"/>
      <c r="AA96" s="171" t="n"/>
      <c r="AB96" s="242" t="n"/>
      <c r="AC96" s="243" t="inlineStr">
        <is>
          <t>아트산업</t>
        </is>
      </c>
      <c r="AD96" s="243" t="n">
        <v>950</v>
      </c>
      <c r="AE96" s="204" t="inlineStr">
        <is>
          <t>학운리</t>
        </is>
      </c>
      <c r="AF96" s="205" t="n">
        <v>0.4791666666666667</v>
      </c>
      <c r="AG96" s="244" t="n">
        <v>889460</v>
      </c>
      <c r="AH96" s="204" t="inlineStr">
        <is>
          <t>허창수</t>
        </is>
      </c>
      <c r="AI96" s="207" t="n"/>
      <c r="AJ96" s="245" t="n"/>
      <c r="AK96" s="209" t="n"/>
      <c r="AL96" s="210" t="n"/>
      <c r="AM96" s="246" t="n"/>
      <c r="AN96" s="171" t="n"/>
      <c r="AO96" s="242" t="n"/>
      <c r="AP96" s="243" t="n"/>
      <c r="AQ96" s="243" t="n"/>
      <c r="AR96" s="204" t="n"/>
      <c r="AS96" s="205" t="n"/>
      <c r="AT96" s="244" t="n"/>
      <c r="AU96" s="204" t="n"/>
      <c r="AV96" s="207" t="n"/>
      <c r="AW96" s="245" t="n"/>
      <c r="AX96" s="209" t="n"/>
      <c r="AY96" s="210" t="n"/>
      <c r="AZ96" s="246" t="n"/>
      <c r="BA96" s="171" t="n"/>
      <c r="BB96" s="242" t="n"/>
      <c r="BC96" s="243" t="inlineStr">
        <is>
          <t>휘담에디의료재단</t>
        </is>
      </c>
      <c r="BD96" s="243" t="inlineStr">
        <is>
          <t>300/115</t>
        </is>
      </c>
      <c r="BE96" s="204" t="inlineStr">
        <is>
          <t>마곡리</t>
        </is>
      </c>
      <c r="BF96" s="205" t="n">
        <v>0.5</v>
      </c>
      <c r="BG96" s="244" t="n">
        <v>689040</v>
      </c>
      <c r="BH96" s="204" t="n"/>
      <c r="BI96" s="207" t="n"/>
      <c r="BJ96" s="245" t="n"/>
      <c r="BK96" s="209" t="n"/>
      <c r="BL96" s="210" t="n"/>
      <c r="BM96" s="246" t="n"/>
      <c r="BN96" s="171" t="n"/>
      <c r="BO96" s="171" t="n"/>
      <c r="BP96" s="171" t="n"/>
      <c r="BQ96" s="171" t="n"/>
      <c r="BR96" s="171" t="n"/>
      <c r="BS96" s="171" t="n"/>
      <c r="BT96" s="171" t="n"/>
      <c r="BU96" s="171" t="n"/>
      <c r="BV96" s="171" t="n"/>
      <c r="BW96" s="171" t="n"/>
      <c r="BX96" s="171" t="n"/>
      <c r="BY96" s="171" t="n"/>
      <c r="BZ96" s="171" t="n"/>
      <c r="CA96" s="171" t="n"/>
      <c r="CB96" s="171" t="n"/>
      <c r="CC96" s="171" t="n"/>
      <c r="CD96" s="171" t="n"/>
      <c r="CE96" s="171" t="n"/>
      <c r="CF96" s="171" t="n"/>
      <c r="CG96" s="171" t="n"/>
      <c r="CH96" s="171" t="n"/>
      <c r="CI96" s="171" t="n"/>
      <c r="CJ96" s="171" t="n"/>
      <c r="CK96" s="171" t="n"/>
      <c r="CL96" s="171" t="n"/>
    </row>
    <row r="97">
      <c r="A97" s="171" t="n"/>
      <c r="B97" s="242" t="n"/>
      <c r="C97" s="243" t="n"/>
      <c r="D97" s="243" t="n"/>
      <c r="E97" s="204" t="n"/>
      <c r="F97" s="205" t="n"/>
      <c r="G97" s="244" t="n"/>
      <c r="H97" s="204" t="n"/>
      <c r="I97" s="207" t="n"/>
      <c r="J97" s="245" t="n"/>
      <c r="K97" s="209" t="n"/>
      <c r="L97" s="210" t="n"/>
      <c r="M97" s="246" t="n"/>
      <c r="N97" s="171" t="n"/>
      <c r="O97" s="242" t="n"/>
      <c r="P97" s="243" t="n"/>
      <c r="Q97" s="243" t="n"/>
      <c r="R97" s="204" t="n"/>
      <c r="S97" s="205" t="n"/>
      <c r="T97" s="244" t="n"/>
      <c r="U97" s="204" t="n"/>
      <c r="V97" s="207" t="n"/>
      <c r="W97" s="245" t="n"/>
      <c r="X97" s="209" t="n"/>
      <c r="Y97" s="210" t="n"/>
      <c r="Z97" s="246" t="n"/>
      <c r="AA97" s="171" t="n"/>
      <c r="AB97" s="242" t="n"/>
      <c r="AC97" s="243" t="inlineStr">
        <is>
          <t>마송lh</t>
        </is>
      </c>
      <c r="AD97" s="243" t="inlineStr">
        <is>
          <t>2200/600</t>
        </is>
      </c>
      <c r="AE97" s="204" t="inlineStr">
        <is>
          <t>마송리</t>
        </is>
      </c>
      <c r="AF97" s="205" t="n">
        <v>0.5833333333333334</v>
      </c>
      <c r="AG97" s="244" t="n">
        <v>1367850</v>
      </c>
      <c r="AH97" s="204" t="inlineStr">
        <is>
          <t>송낙명</t>
        </is>
      </c>
      <c r="AI97" s="207" t="n"/>
      <c r="AJ97" s="245" t="n"/>
      <c r="AK97" s="209" t="n"/>
      <c r="AL97" s="210" t="n"/>
      <c r="AM97" s="246" t="n"/>
      <c r="AN97" s="171" t="n"/>
      <c r="AO97" s="242" t="n"/>
      <c r="AP97" s="243" t="n"/>
      <c r="AQ97" s="243" t="n"/>
      <c r="AR97" s="204" t="n"/>
      <c r="AS97" s="205" t="n"/>
      <c r="AT97" s="244" t="n"/>
      <c r="AU97" s="204" t="n"/>
      <c r="AV97" s="207" t="n"/>
      <c r="AW97" s="245" t="n"/>
      <c r="AX97" s="209" t="n"/>
      <c r="AY97" s="210" t="n"/>
      <c r="AZ97" s="246" t="n"/>
      <c r="BA97" s="171" t="n"/>
      <c r="BB97" s="242" t="n"/>
      <c r="BC97" s="243" t="n"/>
      <c r="BD97" s="243" t="n"/>
      <c r="BE97" s="204" t="n"/>
      <c r="BF97" s="205" t="n"/>
      <c r="BG97" s="244" t="n"/>
      <c r="BH97" s="204" t="n"/>
      <c r="BI97" s="207" t="n"/>
      <c r="BJ97" s="245" t="n"/>
      <c r="BK97" s="209" t="n"/>
      <c r="BL97" s="210" t="n"/>
      <c r="BM97" s="246" t="n"/>
      <c r="BN97" s="171" t="n"/>
      <c r="BO97" s="171" t="n"/>
      <c r="BP97" s="171" t="n"/>
      <c r="BQ97" s="171" t="n"/>
      <c r="BR97" s="171" t="n"/>
      <c r="BS97" s="171" t="n"/>
      <c r="BT97" s="171" t="n"/>
      <c r="BU97" s="171" t="n"/>
      <c r="BV97" s="171" t="n"/>
      <c r="BW97" s="171" t="n"/>
      <c r="BX97" s="171" t="n"/>
      <c r="BY97" s="171" t="n"/>
      <c r="BZ97" s="171" t="n"/>
      <c r="CA97" s="171" t="n"/>
      <c r="CB97" s="171" t="n"/>
      <c r="CC97" s="171" t="n"/>
      <c r="CD97" s="171" t="n"/>
      <c r="CE97" s="171" t="n"/>
      <c r="CF97" s="171" t="n"/>
      <c r="CG97" s="171" t="n"/>
      <c r="CH97" s="171" t="n"/>
      <c r="CI97" s="171" t="n"/>
      <c r="CJ97" s="171" t="n"/>
      <c r="CK97" s="171" t="n"/>
      <c r="CL97" s="171" t="n"/>
    </row>
    <row r="98">
      <c r="A98" s="171" t="n"/>
      <c r="B98" s="242" t="n"/>
      <c r="C98" s="243" t="n"/>
      <c r="D98" s="243" t="n"/>
      <c r="E98" s="204" t="n"/>
      <c r="F98" s="205" t="n"/>
      <c r="G98" s="244" t="n"/>
      <c r="H98" s="204" t="n"/>
      <c r="I98" s="207" t="n"/>
      <c r="J98" s="245" t="n"/>
      <c r="K98" s="209" t="n"/>
      <c r="L98" s="210" t="n"/>
      <c r="M98" s="246" t="n"/>
      <c r="N98" s="171" t="n"/>
      <c r="O98" s="242" t="n"/>
      <c r="P98" s="243" t="n"/>
      <c r="Q98" s="243" t="n"/>
      <c r="R98" s="204" t="n"/>
      <c r="S98" s="205" t="n"/>
      <c r="T98" s="244" t="n"/>
      <c r="U98" s="204" t="n"/>
      <c r="V98" s="207" t="n"/>
      <c r="W98" s="245" t="n"/>
      <c r="X98" s="209" t="n"/>
      <c r="Y98" s="210" t="n"/>
      <c r="Z98" s="246" t="n"/>
      <c r="AA98" s="171" t="n"/>
      <c r="AB98" s="242" t="n"/>
      <c r="AC98" s="243" t="inlineStr">
        <is>
          <t>마송lh</t>
        </is>
      </c>
      <c r="AD98" s="243" t="inlineStr">
        <is>
          <t>전기차</t>
        </is>
      </c>
      <c r="AE98" s="204" t="inlineStr">
        <is>
          <t>마송리</t>
        </is>
      </c>
      <c r="AF98" s="205" t="n">
        <v>0.625</v>
      </c>
      <c r="AG98" s="244" t="n">
        <v>411510</v>
      </c>
      <c r="AH98" s="204" t="inlineStr">
        <is>
          <t>송낙명</t>
        </is>
      </c>
      <c r="AI98" s="207" t="n"/>
      <c r="AJ98" s="245" t="n"/>
      <c r="AK98" s="209" t="n"/>
      <c r="AL98" s="210" t="n"/>
      <c r="AM98" s="246" t="n"/>
      <c r="AN98" s="171" t="n"/>
      <c r="AO98" s="242" t="n"/>
      <c r="AP98" s="243" t="n"/>
      <c r="AQ98" s="243" t="n"/>
      <c r="AR98" s="204" t="n"/>
      <c r="AS98" s="205" t="n"/>
      <c r="AT98" s="244" t="n"/>
      <c r="AU98" s="204" t="n"/>
      <c r="AV98" s="207" t="n"/>
      <c r="AW98" s="245" t="n"/>
      <c r="AX98" s="209" t="n"/>
      <c r="AY98" s="210" t="n"/>
      <c r="AZ98" s="246" t="n"/>
      <c r="BA98" s="171" t="n"/>
      <c r="BB98" s="242" t="n"/>
      <c r="BC98" s="243" t="n"/>
      <c r="BD98" s="243" t="n"/>
      <c r="BE98" s="204" t="n"/>
      <c r="BF98" s="205" t="n"/>
      <c r="BG98" s="244" t="n"/>
      <c r="BH98" s="204" t="n"/>
      <c r="BI98" s="207" t="n"/>
      <c r="BJ98" s="245" t="n"/>
      <c r="BK98" s="209" t="n"/>
      <c r="BL98" s="210" t="n"/>
      <c r="BM98" s="246" t="n"/>
      <c r="BN98" s="171" t="n"/>
      <c r="BO98" s="171" t="n"/>
      <c r="BP98" s="171" t="n"/>
      <c r="BQ98" s="171" t="n"/>
      <c r="BR98" s="171" t="n"/>
      <c r="BS98" s="171" t="n"/>
      <c r="BT98" s="171" t="n"/>
      <c r="BU98" s="171" t="n"/>
      <c r="BV98" s="171" t="n"/>
      <c r="BW98" s="171" t="n"/>
      <c r="BX98" s="171" t="n"/>
      <c r="BY98" s="171" t="n"/>
      <c r="BZ98" s="171" t="n"/>
      <c r="CA98" s="171" t="n"/>
      <c r="CB98" s="171" t="n"/>
      <c r="CC98" s="171" t="n"/>
      <c r="CD98" s="171" t="n"/>
      <c r="CE98" s="171" t="n"/>
      <c r="CF98" s="171" t="n"/>
      <c r="CG98" s="171" t="n"/>
      <c r="CH98" s="171" t="n"/>
      <c r="CI98" s="171" t="n"/>
      <c r="CJ98" s="171" t="n"/>
      <c r="CK98" s="171" t="n"/>
      <c r="CL98" s="171" t="n"/>
    </row>
    <row r="99">
      <c r="A99" s="171" t="n"/>
      <c r="B99" s="242" t="n"/>
      <c r="C99" s="243" t="n"/>
      <c r="D99" s="243" t="n"/>
      <c r="E99" s="204" t="n"/>
      <c r="F99" s="205" t="n"/>
      <c r="G99" s="244" t="n"/>
      <c r="H99" s="204" t="n"/>
      <c r="I99" s="207" t="n"/>
      <c r="J99" s="245" t="n"/>
      <c r="K99" s="209" t="n"/>
      <c r="L99" s="210" t="n"/>
      <c r="M99" s="246" t="n"/>
      <c r="N99" s="171" t="n"/>
      <c r="O99" s="242" t="n"/>
      <c r="P99" s="243" t="n"/>
      <c r="Q99" s="243" t="n"/>
      <c r="R99" s="204" t="n"/>
      <c r="S99" s="205" t="n"/>
      <c r="T99" s="244" t="n"/>
      <c r="U99" s="204" t="n"/>
      <c r="V99" s="207" t="n"/>
      <c r="W99" s="245" t="n"/>
      <c r="X99" s="209" t="n"/>
      <c r="Y99" s="210" t="n"/>
      <c r="Z99" s="246" t="n"/>
      <c r="AA99" s="171" t="n"/>
      <c r="AB99" s="242" t="n"/>
      <c r="AC99" s="243" t="n"/>
      <c r="AD99" s="243" t="n"/>
      <c r="AE99" s="204" t="n"/>
      <c r="AF99" s="205" t="n"/>
      <c r="AG99" s="244" t="n"/>
      <c r="AH99" s="204" t="n"/>
      <c r="AI99" s="207" t="n"/>
      <c r="AJ99" s="245" t="n"/>
      <c r="AK99" s="209" t="n"/>
      <c r="AL99" s="210" t="n"/>
      <c r="AM99" s="246" t="n"/>
      <c r="AN99" s="171" t="n"/>
      <c r="AO99" s="242" t="n"/>
      <c r="AP99" s="243" t="n"/>
      <c r="AQ99" s="243" t="n"/>
      <c r="AR99" s="204" t="n"/>
      <c r="AS99" s="205" t="n"/>
      <c r="AT99" s="244" t="n"/>
      <c r="AU99" s="204" t="n"/>
      <c r="AV99" s="207" t="n"/>
      <c r="AW99" s="245" t="n"/>
      <c r="AX99" s="209" t="n"/>
      <c r="AY99" s="210" t="n"/>
      <c r="AZ99" s="246" t="n"/>
      <c r="BA99" s="171" t="n"/>
      <c r="BB99" s="242" t="n"/>
      <c r="BC99" s="243" t="n"/>
      <c r="BD99" s="243" t="n"/>
      <c r="BE99" s="204" t="n"/>
      <c r="BF99" s="205" t="n"/>
      <c r="BG99" s="244" t="n"/>
      <c r="BH99" s="204" t="n"/>
      <c r="BI99" s="207" t="n"/>
      <c r="BJ99" s="245" t="n"/>
      <c r="BK99" s="209" t="n"/>
      <c r="BL99" s="210" t="n"/>
      <c r="BM99" s="246" t="n"/>
      <c r="BN99" s="171" t="n"/>
      <c r="BO99" s="171" t="n"/>
      <c r="BP99" s="171" t="n"/>
      <c r="BQ99" s="171" t="n"/>
      <c r="BR99" s="171" t="n"/>
      <c r="BS99" s="171" t="n"/>
      <c r="BT99" s="171" t="n"/>
      <c r="BU99" s="171" t="n"/>
      <c r="BV99" s="171" t="n"/>
      <c r="BW99" s="171" t="n"/>
      <c r="BX99" s="171" t="n"/>
      <c r="BY99" s="171" t="n"/>
      <c r="BZ99" s="171" t="n"/>
      <c r="CA99" s="171" t="n"/>
      <c r="CB99" s="171" t="n"/>
      <c r="CC99" s="171" t="n"/>
      <c r="CD99" s="171" t="n"/>
      <c r="CE99" s="171" t="n"/>
      <c r="CF99" s="171" t="n"/>
      <c r="CG99" s="171" t="n"/>
      <c r="CH99" s="171" t="n"/>
      <c r="CI99" s="171" t="n"/>
      <c r="CJ99" s="171" t="n"/>
      <c r="CK99" s="171" t="n"/>
      <c r="CL99" s="171" t="n"/>
    </row>
    <row r="100" ht="18" customHeight="1" s="22" thickBot="1">
      <c r="A100" s="171" t="n"/>
      <c r="B100" s="252" t="inlineStr">
        <is>
          <t>비고</t>
        </is>
      </c>
      <c r="C100" s="253" t="n"/>
      <c r="D100" s="253" t="n"/>
      <c r="E100" s="253" t="n"/>
      <c r="F100" s="253" t="n"/>
      <c r="G100" s="253" t="n"/>
      <c r="H100" s="253" t="n"/>
      <c r="I100" s="254" t="n"/>
      <c r="J100" s="253" t="n"/>
      <c r="K100" s="253" t="n"/>
      <c r="L100" s="253" t="n"/>
      <c r="M100" s="255" t="n"/>
      <c r="N100" s="171" t="n"/>
      <c r="O100" s="252" t="inlineStr">
        <is>
          <t>비고</t>
        </is>
      </c>
      <c r="P100" s="253" t="n"/>
      <c r="Q100" s="253" t="n"/>
      <c r="R100" s="253" t="n"/>
      <c r="S100" s="253" t="n"/>
      <c r="T100" s="253" t="n"/>
      <c r="U100" s="253" t="n"/>
      <c r="V100" s="254" t="n"/>
      <c r="W100" s="253" t="n"/>
      <c r="X100" s="253" t="n"/>
      <c r="Y100" s="253" t="n"/>
      <c r="Z100" s="255" t="n"/>
      <c r="AA100" s="171" t="n"/>
      <c r="AB100" s="252" t="inlineStr">
        <is>
          <t>비고</t>
        </is>
      </c>
      <c r="AC100" s="253" t="n"/>
      <c r="AD100" s="253" t="n"/>
      <c r="AE100" s="253" t="n"/>
      <c r="AF100" s="253" t="n"/>
      <c r="AG100" s="253" t="n"/>
      <c r="AH100" s="253" t="n"/>
      <c r="AI100" s="254" t="n"/>
      <c r="AJ100" s="253" t="n"/>
      <c r="AK100" s="253" t="n"/>
      <c r="AL100" s="253" t="n"/>
      <c r="AM100" s="255" t="n"/>
      <c r="AN100" s="171" t="n"/>
      <c r="AO100" s="252" t="inlineStr">
        <is>
          <t>비고</t>
        </is>
      </c>
      <c r="AP100" s="253" t="n"/>
      <c r="AQ100" s="253" t="n"/>
      <c r="AR100" s="253" t="n"/>
      <c r="AS100" s="253" t="n"/>
      <c r="AT100" s="253" t="n"/>
      <c r="AU100" s="253" t="n"/>
      <c r="AV100" s="254" t="n"/>
      <c r="AW100" s="253" t="n"/>
      <c r="AX100" s="253" t="n"/>
      <c r="AY100" s="253" t="n"/>
      <c r="AZ100" s="255" t="n"/>
      <c r="BA100" s="171" t="n"/>
      <c r="BB100" s="252" t="inlineStr">
        <is>
          <t>비고</t>
        </is>
      </c>
      <c r="BC100" s="253" t="n"/>
      <c r="BD100" s="253" t="n"/>
      <c r="BE100" s="253" t="n"/>
      <c r="BF100" s="253" t="n"/>
      <c r="BG100" s="253" t="n"/>
      <c r="BH100" s="253" t="n"/>
      <c r="BI100" s="254" t="n"/>
      <c r="BJ100" s="253" t="n"/>
      <c r="BK100" s="253" t="n"/>
      <c r="BL100" s="253" t="n"/>
      <c r="BM100" s="255" t="n"/>
      <c r="BN100" s="171" t="n"/>
      <c r="BO100" s="171" t="n"/>
      <c r="BP100" s="171" t="n"/>
      <c r="BQ100" s="171" t="n"/>
      <c r="BR100" s="171" t="n"/>
      <c r="BS100" s="171" t="n"/>
      <c r="BT100" s="171" t="n"/>
      <c r="BU100" s="171" t="n"/>
      <c r="BV100" s="171" t="n"/>
      <c r="BW100" s="171" t="n"/>
      <c r="BX100" s="171" t="n"/>
      <c r="BY100" s="171" t="n"/>
      <c r="BZ100" s="171" t="n"/>
      <c r="CA100" s="171" t="n"/>
      <c r="CB100" s="171" t="n"/>
      <c r="CC100" s="171" t="n"/>
      <c r="CD100" s="171" t="n"/>
      <c r="CE100" s="171" t="n"/>
      <c r="CF100" s="171" t="n"/>
      <c r="CG100" s="171" t="n"/>
      <c r="CH100" s="171" t="n"/>
      <c r="CI100" s="171" t="n"/>
      <c r="CJ100" s="171" t="n"/>
      <c r="CK100" s="171" t="n"/>
      <c r="CL100" s="171" t="n"/>
    </row>
    <row r="101" ht="19.8" customHeight="1" s="22" thickBot="1">
      <c r="A101" s="171" t="n"/>
      <c r="B101" s="232" t="n">
        <v>46297</v>
      </c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233" t="inlineStr">
        <is>
          <t>(금)</t>
        </is>
      </c>
      <c r="N101" s="171" t="n"/>
      <c r="O101" s="232" t="n">
        <v>46304</v>
      </c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233" t="inlineStr">
        <is>
          <t>(금)</t>
        </is>
      </c>
      <c r="AA101" s="171" t="n"/>
      <c r="AB101" s="232" t="n">
        <v>46311</v>
      </c>
      <c r="AD101" s="171" t="n"/>
      <c r="AE101" s="171" t="n"/>
      <c r="AF101" s="171" t="n"/>
      <c r="AG101" s="171" t="n"/>
      <c r="AH101" s="171" t="n"/>
      <c r="AI101" s="171" t="n"/>
      <c r="AJ101" s="171" t="n"/>
      <c r="AK101" s="171" t="n"/>
      <c r="AL101" s="171" t="n"/>
      <c r="AM101" s="233" t="inlineStr">
        <is>
          <t>(금)</t>
        </is>
      </c>
      <c r="AN101" s="171" t="n"/>
      <c r="AO101" s="232" t="n">
        <v>46318</v>
      </c>
      <c r="AQ101" s="171" t="n"/>
      <c r="AR101" s="171" t="n"/>
      <c r="AS101" s="171" t="n"/>
      <c r="AT101" s="171" t="n"/>
      <c r="AU101" s="171" t="n"/>
      <c r="AV101" s="171" t="n"/>
      <c r="AW101" s="171" t="n"/>
      <c r="AX101" s="171" t="n"/>
      <c r="AY101" s="171" t="n"/>
      <c r="AZ101" s="233" t="inlineStr">
        <is>
          <t>(금)</t>
        </is>
      </c>
      <c r="BA101" s="171" t="n"/>
      <c r="BB101" s="232" t="n">
        <v>46325</v>
      </c>
      <c r="BD101" s="171" t="n"/>
      <c r="BE101" s="171" t="n"/>
      <c r="BF101" s="171" t="n"/>
      <c r="BG101" s="171" t="n"/>
      <c r="BH101" s="171" t="n"/>
      <c r="BI101" s="171" t="n"/>
      <c r="BJ101" s="171" t="n"/>
      <c r="BK101" s="171" t="n"/>
      <c r="BL101" s="171" t="n"/>
      <c r="BM101" s="233" t="inlineStr">
        <is>
          <t>(금)</t>
        </is>
      </c>
      <c r="BN101" s="171" t="n"/>
      <c r="BO101" s="171" t="n"/>
      <c r="BP101" s="171" t="n"/>
      <c r="BQ101" s="171" t="n"/>
      <c r="BR101" s="171" t="n"/>
      <c r="BS101" s="171" t="n"/>
      <c r="BT101" s="171" t="n"/>
      <c r="BU101" s="171" t="n"/>
      <c r="BV101" s="171" t="n"/>
      <c r="BW101" s="171" t="n"/>
      <c r="BX101" s="171" t="n"/>
      <c r="BY101" s="171" t="n"/>
      <c r="BZ101" s="171" t="n"/>
      <c r="CA101" s="171" t="n"/>
      <c r="CB101" s="171" t="n"/>
      <c r="CC101" s="171" t="n"/>
      <c r="CD101" s="171" t="n"/>
      <c r="CE101" s="171" t="n"/>
      <c r="CF101" s="171" t="n"/>
      <c r="CG101" s="171" t="n"/>
      <c r="CH101" s="171" t="n"/>
      <c r="CI101" s="171" t="n"/>
      <c r="CJ101" s="171" t="n"/>
      <c r="CK101" s="171" t="n"/>
      <c r="CL101" s="171" t="n"/>
    </row>
    <row r="102">
      <c r="A102" s="171" t="n"/>
      <c r="B102" s="234" t="inlineStr">
        <is>
          <t>정기검사</t>
        </is>
      </c>
      <c r="C102" s="235" t="n"/>
      <c r="D102" s="235" t="n"/>
      <c r="E102" s="235" t="n"/>
      <c r="F102" s="235" t="n"/>
      <c r="G102" s="235" t="n"/>
      <c r="H102" s="235" t="n"/>
      <c r="I102" s="236" t="inlineStr">
        <is>
          <t>사용전검사</t>
        </is>
      </c>
      <c r="J102" s="237" t="n"/>
      <c r="K102" s="237" t="n"/>
      <c r="L102" s="237" t="n"/>
      <c r="M102" s="238" t="n"/>
      <c r="N102" s="171" t="n"/>
      <c r="O102" s="234" t="inlineStr">
        <is>
          <t>정기검사</t>
        </is>
      </c>
      <c r="P102" s="235" t="n"/>
      <c r="Q102" s="235" t="n"/>
      <c r="R102" s="235" t="n"/>
      <c r="S102" s="235" t="n"/>
      <c r="T102" s="235" t="n"/>
      <c r="U102" s="235" t="n"/>
      <c r="V102" s="236" t="inlineStr">
        <is>
          <t>사용전검사</t>
        </is>
      </c>
      <c r="W102" s="237" t="n"/>
      <c r="X102" s="237" t="n"/>
      <c r="Y102" s="237" t="n"/>
      <c r="Z102" s="238" t="n"/>
      <c r="AA102" s="171" t="n"/>
      <c r="AB102" s="234" t="inlineStr">
        <is>
          <t>정기검사</t>
        </is>
      </c>
      <c r="AC102" s="235" t="n"/>
      <c r="AD102" s="235" t="n"/>
      <c r="AE102" s="235" t="n"/>
      <c r="AF102" s="235" t="n"/>
      <c r="AG102" s="235" t="n"/>
      <c r="AH102" s="235" t="n"/>
      <c r="AI102" s="236" t="inlineStr">
        <is>
          <t>사용전검사</t>
        </is>
      </c>
      <c r="AJ102" s="237" t="n"/>
      <c r="AK102" s="237" t="n"/>
      <c r="AL102" s="237" t="n"/>
      <c r="AM102" s="238" t="n"/>
      <c r="AN102" s="171" t="n"/>
      <c r="AO102" s="234" t="inlineStr">
        <is>
          <t>정기검사</t>
        </is>
      </c>
      <c r="AP102" s="235" t="n"/>
      <c r="AQ102" s="235" t="n"/>
      <c r="AR102" s="235" t="n"/>
      <c r="AS102" s="235" t="n"/>
      <c r="AT102" s="235" t="n"/>
      <c r="AU102" s="235" t="n"/>
      <c r="AV102" s="236" t="inlineStr">
        <is>
          <t>사용전검사</t>
        </is>
      </c>
      <c r="AW102" s="237" t="n"/>
      <c r="AX102" s="237" t="n"/>
      <c r="AY102" s="237" t="n"/>
      <c r="AZ102" s="238" t="n"/>
      <c r="BA102" s="171" t="n"/>
      <c r="BB102" s="234" t="inlineStr">
        <is>
          <t>정기검사</t>
        </is>
      </c>
      <c r="BC102" s="235" t="n"/>
      <c r="BD102" s="235" t="n"/>
      <c r="BE102" s="235" t="n"/>
      <c r="BF102" s="235" t="n"/>
      <c r="BG102" s="235" t="n"/>
      <c r="BH102" s="235" t="n"/>
      <c r="BI102" s="236" t="inlineStr">
        <is>
          <t>사용전검사</t>
        </is>
      </c>
      <c r="BJ102" s="237" t="n"/>
      <c r="BK102" s="237" t="n"/>
      <c r="BL102" s="237" t="n"/>
      <c r="BM102" s="238" t="n"/>
      <c r="BN102" s="171" t="n"/>
      <c r="BO102" s="171" t="n"/>
      <c r="BP102" s="171" t="n"/>
      <c r="BQ102" s="171" t="n"/>
      <c r="BR102" s="171" t="n"/>
      <c r="BS102" s="171" t="n"/>
      <c r="BT102" s="171" t="n"/>
      <c r="BU102" s="171" t="n"/>
      <c r="BV102" s="171" t="n"/>
      <c r="BW102" s="171" t="n"/>
      <c r="BX102" s="171" t="n"/>
      <c r="BY102" s="171" t="n"/>
      <c r="BZ102" s="171" t="n"/>
      <c r="CA102" s="171" t="n"/>
      <c r="CB102" s="171" t="n"/>
      <c r="CC102" s="171" t="n"/>
      <c r="CD102" s="171" t="n"/>
      <c r="CE102" s="171" t="n"/>
      <c r="CF102" s="171" t="n"/>
      <c r="CG102" s="171" t="n"/>
      <c r="CH102" s="171" t="n"/>
      <c r="CI102" s="171" t="n"/>
      <c r="CJ102" s="171" t="n"/>
      <c r="CK102" s="171" t="n"/>
      <c r="CL102" s="171" t="n"/>
    </row>
    <row r="103">
      <c r="A103" s="171" t="n"/>
      <c r="B103" s="239" t="inlineStr">
        <is>
          <t>구분</t>
        </is>
      </c>
      <c r="C103" s="240" t="inlineStr">
        <is>
          <t>상호</t>
        </is>
      </c>
      <c r="D103" s="240" t="inlineStr">
        <is>
          <t>용량</t>
        </is>
      </c>
      <c r="E103" s="240" t="inlineStr">
        <is>
          <t>지역</t>
        </is>
      </c>
      <c r="F103" s="240" t="inlineStr">
        <is>
          <t>시간</t>
        </is>
      </c>
      <c r="G103" s="240" t="inlineStr">
        <is>
          <t>수수료</t>
        </is>
      </c>
      <c r="H103" s="240" t="inlineStr">
        <is>
          <t>검사자</t>
        </is>
      </c>
      <c r="I103" s="239" t="inlineStr">
        <is>
          <t>상호</t>
        </is>
      </c>
      <c r="J103" s="240" t="inlineStr">
        <is>
          <t>용량</t>
        </is>
      </c>
      <c r="K103" s="240" t="inlineStr">
        <is>
          <t>지역</t>
        </is>
      </c>
      <c r="L103" s="240" t="inlineStr">
        <is>
          <t>시간</t>
        </is>
      </c>
      <c r="M103" s="241" t="inlineStr">
        <is>
          <t>검사자</t>
        </is>
      </c>
      <c r="N103" s="171" t="n"/>
      <c r="O103" s="239" t="inlineStr">
        <is>
          <t>구분</t>
        </is>
      </c>
      <c r="P103" s="240" t="inlineStr">
        <is>
          <t>상호</t>
        </is>
      </c>
      <c r="Q103" s="240" t="inlineStr">
        <is>
          <t>용량</t>
        </is>
      </c>
      <c r="R103" s="240" t="inlineStr">
        <is>
          <t>지역</t>
        </is>
      </c>
      <c r="S103" s="240" t="inlineStr">
        <is>
          <t>시간</t>
        </is>
      </c>
      <c r="T103" s="240" t="inlineStr">
        <is>
          <t>수수료</t>
        </is>
      </c>
      <c r="U103" s="240" t="inlineStr">
        <is>
          <t>검사자</t>
        </is>
      </c>
      <c r="V103" s="239" t="inlineStr">
        <is>
          <t>상호</t>
        </is>
      </c>
      <c r="W103" s="240" t="inlineStr">
        <is>
          <t>용량</t>
        </is>
      </c>
      <c r="X103" s="240" t="inlineStr">
        <is>
          <t>지역</t>
        </is>
      </c>
      <c r="Y103" s="240" t="inlineStr">
        <is>
          <t>시간</t>
        </is>
      </c>
      <c r="Z103" s="241" t="inlineStr">
        <is>
          <t>검사자</t>
        </is>
      </c>
      <c r="AA103" s="171" t="n"/>
      <c r="AB103" s="239" t="inlineStr">
        <is>
          <t>구분</t>
        </is>
      </c>
      <c r="AC103" s="240" t="inlineStr">
        <is>
          <t>상호</t>
        </is>
      </c>
      <c r="AD103" s="240" t="inlineStr">
        <is>
          <t>용량</t>
        </is>
      </c>
      <c r="AE103" s="240" t="inlineStr">
        <is>
          <t>지역</t>
        </is>
      </c>
      <c r="AF103" s="240" t="inlineStr">
        <is>
          <t>시간</t>
        </is>
      </c>
      <c r="AG103" s="240" t="inlineStr">
        <is>
          <t>수수료</t>
        </is>
      </c>
      <c r="AH103" s="240" t="inlineStr">
        <is>
          <t>검사자</t>
        </is>
      </c>
      <c r="AI103" s="239" t="inlineStr">
        <is>
          <t>상호</t>
        </is>
      </c>
      <c r="AJ103" s="240" t="inlineStr">
        <is>
          <t>용량</t>
        </is>
      </c>
      <c r="AK103" s="240" t="inlineStr">
        <is>
          <t>지역</t>
        </is>
      </c>
      <c r="AL103" s="240" t="inlineStr">
        <is>
          <t>시간</t>
        </is>
      </c>
      <c r="AM103" s="241" t="inlineStr">
        <is>
          <t>검사자</t>
        </is>
      </c>
      <c r="AN103" s="171" t="n"/>
      <c r="AO103" s="239" t="inlineStr">
        <is>
          <t>구분</t>
        </is>
      </c>
      <c r="AP103" s="240" t="inlineStr">
        <is>
          <t>상호</t>
        </is>
      </c>
      <c r="AQ103" s="240" t="inlineStr">
        <is>
          <t>용량</t>
        </is>
      </c>
      <c r="AR103" s="240" t="inlineStr">
        <is>
          <t>지역</t>
        </is>
      </c>
      <c r="AS103" s="240" t="inlineStr">
        <is>
          <t>시간</t>
        </is>
      </c>
      <c r="AT103" s="240" t="inlineStr">
        <is>
          <t>수수료</t>
        </is>
      </c>
      <c r="AU103" s="240" t="inlineStr">
        <is>
          <t>검사자</t>
        </is>
      </c>
      <c r="AV103" s="239" t="inlineStr">
        <is>
          <t>상호</t>
        </is>
      </c>
      <c r="AW103" s="240" t="inlineStr">
        <is>
          <t>용량</t>
        </is>
      </c>
      <c r="AX103" s="240" t="inlineStr">
        <is>
          <t>지역</t>
        </is>
      </c>
      <c r="AY103" s="240" t="inlineStr">
        <is>
          <t>시간</t>
        </is>
      </c>
      <c r="AZ103" s="241" t="inlineStr">
        <is>
          <t>검사자</t>
        </is>
      </c>
      <c r="BA103" s="171" t="n"/>
      <c r="BB103" s="239" t="inlineStr">
        <is>
          <t>구분</t>
        </is>
      </c>
      <c r="BC103" s="240" t="inlineStr">
        <is>
          <t>상호</t>
        </is>
      </c>
      <c r="BD103" s="240" t="inlineStr">
        <is>
          <t>용량</t>
        </is>
      </c>
      <c r="BE103" s="240" t="inlineStr">
        <is>
          <t>지역</t>
        </is>
      </c>
      <c r="BF103" s="240" t="inlineStr">
        <is>
          <t>시간</t>
        </is>
      </c>
      <c r="BG103" s="240" t="inlineStr">
        <is>
          <t>수수료</t>
        </is>
      </c>
      <c r="BH103" s="240" t="inlineStr">
        <is>
          <t>검사자</t>
        </is>
      </c>
      <c r="BI103" s="239" t="inlineStr">
        <is>
          <t>상호</t>
        </is>
      </c>
      <c r="BJ103" s="240" t="inlineStr">
        <is>
          <t>용량</t>
        </is>
      </c>
      <c r="BK103" s="240" t="inlineStr">
        <is>
          <t>지역</t>
        </is>
      </c>
      <c r="BL103" s="240" t="inlineStr">
        <is>
          <t>시간</t>
        </is>
      </c>
      <c r="BM103" s="241" t="inlineStr">
        <is>
          <t>검사자</t>
        </is>
      </c>
      <c r="BN103" s="171" t="n"/>
      <c r="BO103" s="171" t="n"/>
      <c r="BP103" s="171" t="n"/>
      <c r="BQ103" s="171" t="n"/>
      <c r="BR103" s="171" t="n"/>
      <c r="BS103" s="171" t="n"/>
      <c r="BT103" s="171" t="n"/>
      <c r="BU103" s="171" t="n"/>
      <c r="BV103" s="171" t="n"/>
      <c r="BW103" s="171" t="n"/>
      <c r="BX103" s="171" t="n"/>
      <c r="BY103" s="171" t="n"/>
      <c r="BZ103" s="171" t="n"/>
      <c r="CA103" s="171" t="n"/>
      <c r="CB103" s="171" t="n"/>
      <c r="CC103" s="171" t="n"/>
      <c r="CD103" s="171" t="n"/>
      <c r="CE103" s="171" t="n"/>
      <c r="CF103" s="171" t="n"/>
      <c r="CG103" s="171" t="n"/>
      <c r="CH103" s="171" t="n"/>
      <c r="CI103" s="171" t="n"/>
      <c r="CJ103" s="171" t="n"/>
      <c r="CK103" s="171" t="n"/>
      <c r="CL103" s="171" t="n"/>
    </row>
    <row r="104">
      <c r="A104" s="171" t="n"/>
      <c r="B104" s="242" t="inlineStr">
        <is>
          <t>부천지역</t>
        </is>
      </c>
      <c r="C104" s="243" t="inlineStr">
        <is>
          <t>서진프라자</t>
        </is>
      </c>
      <c r="D104" s="243" t="n">
        <v>500</v>
      </c>
      <c r="E104" s="204" t="inlineStr">
        <is>
          <t>상동</t>
        </is>
      </c>
      <c r="F104" s="205" t="n">
        <v>0.3958333333333333</v>
      </c>
      <c r="G104" s="244" t="n">
        <v>737000</v>
      </c>
      <c r="H104" s="204" t="inlineStr">
        <is>
          <t>한태희</t>
        </is>
      </c>
      <c r="I104" s="207" t="inlineStr">
        <is>
          <t>부천종합운동장</t>
        </is>
      </c>
      <c r="J104" s="245" t="n">
        <v>500</v>
      </c>
      <c r="K104" s="209" t="inlineStr">
        <is>
          <t>춘의동</t>
        </is>
      </c>
      <c r="L104" s="210" t="n"/>
      <c r="M104" s="246" t="inlineStr">
        <is>
          <t>이종석</t>
        </is>
      </c>
      <c r="N104" s="171" t="n"/>
      <c r="O104" s="242" t="inlineStr">
        <is>
          <t>부천지역</t>
        </is>
      </c>
      <c r="P104" s="243" t="n"/>
      <c r="Q104" s="243" t="n"/>
      <c r="R104" s="204" t="n"/>
      <c r="S104" s="205" t="n"/>
      <c r="T104" s="244" t="n"/>
      <c r="U104" s="204" t="n"/>
      <c r="V104" s="207" t="inlineStr">
        <is>
          <t>이덕기휴가</t>
        </is>
      </c>
      <c r="W104" s="245" t="n"/>
      <c r="X104" s="209" t="n"/>
      <c r="Y104" s="210" t="n"/>
      <c r="Z104" s="246" t="n"/>
      <c r="AA104" s="171" t="n"/>
      <c r="AB104" s="242" t="inlineStr">
        <is>
          <t>부천지역</t>
        </is>
      </c>
      <c r="AC104" s="243" t="inlineStr">
        <is>
          <t>MSW코리아</t>
        </is>
      </c>
      <c r="AD104" s="243" t="n">
        <v>290</v>
      </c>
      <c r="AE104" s="204" t="inlineStr">
        <is>
          <t>원미동</t>
        </is>
      </c>
      <c r="AF104" s="205" t="n">
        <v>0.5208333333333334</v>
      </c>
      <c r="AG104" s="244" t="n">
        <v>515130</v>
      </c>
      <c r="AH104" s="204" t="inlineStr">
        <is>
          <t>한태희</t>
        </is>
      </c>
      <c r="AI104" s="207" t="inlineStr">
        <is>
          <t>허창수휴가</t>
        </is>
      </c>
      <c r="AJ104" s="245" t="inlineStr">
        <is>
          <t>송낙명-이덕기</t>
        </is>
      </c>
      <c r="AK104" s="209" t="inlineStr">
        <is>
          <t>이덕기</t>
        </is>
      </c>
      <c r="AL104" s="210" t="n"/>
      <c r="AM104" s="246" t="n"/>
      <c r="AN104" s="171" t="n"/>
      <c r="AO104" s="242" t="inlineStr">
        <is>
          <t>부천지역</t>
        </is>
      </c>
      <c r="AP104" s="243" t="inlineStr">
        <is>
          <t>덕신비닐공업</t>
        </is>
      </c>
      <c r="AQ104" s="243" t="n">
        <v>250</v>
      </c>
      <c r="AR104" s="204" t="inlineStr">
        <is>
          <t>삼정동</t>
        </is>
      </c>
      <c r="AS104" s="205" t="n">
        <v>0.4791666666666667</v>
      </c>
      <c r="AT104" s="244" t="n">
        <v>489170</v>
      </c>
      <c r="AU104" s="204" t="n"/>
      <c r="AV104" s="207" t="inlineStr">
        <is>
          <t>변종국교육</t>
        </is>
      </c>
      <c r="AW104" s="245" t="n"/>
      <c r="AX104" s="209" t="n"/>
      <c r="AY104" s="210" t="n"/>
      <c r="AZ104" s="246" t="n"/>
      <c r="BA104" s="171" t="n"/>
      <c r="BB104" s="242" t="inlineStr">
        <is>
          <t>부천지역</t>
        </is>
      </c>
      <c r="BC104" s="243" t="inlineStr">
        <is>
          <t>크리스탈빌딩</t>
        </is>
      </c>
      <c r="BD104" s="243" t="inlineStr">
        <is>
          <t>500/170</t>
        </is>
      </c>
      <c r="BE104" s="204" t="inlineStr">
        <is>
          <t>중동</t>
        </is>
      </c>
      <c r="BF104" s="205" t="n">
        <v>0.2708333333333333</v>
      </c>
      <c r="BG104" s="244" t="n">
        <v>1201090</v>
      </c>
      <c r="BH104" s="204" t="n"/>
      <c r="BI104" s="207" t="inlineStr">
        <is>
          <t>변종국휴가</t>
        </is>
      </c>
      <c r="BJ104" s="245" t="n"/>
      <c r="BK104" s="209" t="n"/>
      <c r="BL104" s="210" t="n"/>
      <c r="BM104" s="246" t="n"/>
      <c r="BN104" s="171" t="n"/>
      <c r="BO104" s="171" t="n"/>
      <c r="BP104" s="171" t="n"/>
      <c r="BQ104" s="171" t="n"/>
      <c r="BR104" s="171" t="n"/>
      <c r="BS104" s="171" t="n"/>
      <c r="BT104" s="171" t="n"/>
      <c r="BU104" s="171" t="n"/>
      <c r="BV104" s="171" t="n"/>
      <c r="BW104" s="171" t="n"/>
      <c r="BX104" s="171" t="n"/>
      <c r="BY104" s="171" t="n"/>
      <c r="BZ104" s="171" t="n"/>
      <c r="CA104" s="171" t="n"/>
      <c r="CB104" s="171" t="n"/>
      <c r="CC104" s="171" t="n"/>
      <c r="CD104" s="171" t="n"/>
      <c r="CE104" s="171" t="n"/>
      <c r="CF104" s="171" t="n"/>
      <c r="CG104" s="171" t="n"/>
      <c r="CH104" s="171" t="n"/>
      <c r="CI104" s="171" t="n"/>
      <c r="CJ104" s="171" t="n"/>
      <c r="CK104" s="171" t="n"/>
      <c r="CL104" s="171" t="n"/>
    </row>
    <row r="105">
      <c r="A105" s="171" t="n"/>
      <c r="B105" s="242" t="n"/>
      <c r="C105" s="243" t="inlineStr">
        <is>
          <t>상아모터스</t>
        </is>
      </c>
      <c r="D105" s="243" t="n">
        <v>400</v>
      </c>
      <c r="E105" s="204" t="inlineStr">
        <is>
          <t>도당동</t>
        </is>
      </c>
      <c r="F105" s="205" t="n">
        <v>0.4791666666666667</v>
      </c>
      <c r="G105" s="244" t="n">
        <v>703120</v>
      </c>
      <c r="H105" s="204" t="inlineStr">
        <is>
          <t>송낙명</t>
        </is>
      </c>
      <c r="I105" s="207" t="n"/>
      <c r="J105" s="245" t="n"/>
      <c r="K105" s="209" t="n"/>
      <c r="L105" s="210" t="n"/>
      <c r="M105" s="246" t="n"/>
      <c r="N105" s="171" t="n"/>
      <c r="O105" s="242" t="n"/>
      <c r="P105" s="243" t="n"/>
      <c r="Q105" s="243" t="n"/>
      <c r="R105" s="204" t="n"/>
      <c r="S105" s="205" t="n"/>
      <c r="T105" s="244" t="n"/>
      <c r="U105" s="204" t="n"/>
      <c r="V105" s="207" t="inlineStr">
        <is>
          <t>정성관 휴가</t>
        </is>
      </c>
      <c r="W105" s="245" t="n"/>
      <c r="X105" s="209" t="n"/>
      <c r="Y105" s="210" t="n"/>
      <c r="Z105" s="246" t="n"/>
      <c r="AA105" s="171" t="n"/>
      <c r="AB105" s="242" t="n"/>
      <c r="AC105" s="243" t="inlineStr">
        <is>
          <t>제온정밀</t>
        </is>
      </c>
      <c r="AD105" s="243" t="n">
        <v>250</v>
      </c>
      <c r="AE105" s="204" t="inlineStr">
        <is>
          <t>내동</t>
        </is>
      </c>
      <c r="AF105" s="205" t="n">
        <v>0.4791666666666667</v>
      </c>
      <c r="AG105" s="244" t="n">
        <v>489170</v>
      </c>
      <c r="AH105" s="204" t="inlineStr">
        <is>
          <t>한태희</t>
        </is>
      </c>
      <c r="AI105" s="207" t="inlineStr">
        <is>
          <t>서수형휴가</t>
        </is>
      </c>
      <c r="AJ105" s="245" t="n"/>
      <c r="AK105" s="209" t="n"/>
      <c r="AL105" s="210" t="n"/>
      <c r="AM105" s="246" t="n"/>
      <c r="AN105" s="171" t="n"/>
      <c r="AO105" s="242" t="n"/>
      <c r="AP105" s="243" t="inlineStr">
        <is>
          <t>보성공업사</t>
        </is>
      </c>
      <c r="AQ105" s="243" t="n">
        <v>250</v>
      </c>
      <c r="AR105" s="204" t="inlineStr">
        <is>
          <t>삼정동</t>
        </is>
      </c>
      <c r="AS105" s="205" t="n">
        <v>0.5625</v>
      </c>
      <c r="AT105" s="244" t="n">
        <v>489170</v>
      </c>
      <c r="AU105" s="204" t="n"/>
      <c r="AV105" s="207" t="n"/>
      <c r="AW105" s="245" t="n"/>
      <c r="AX105" s="209" t="n"/>
      <c r="AY105" s="210" t="n"/>
      <c r="AZ105" s="246" t="n"/>
      <c r="BA105" s="171" t="n"/>
      <c r="BB105" s="242" t="n"/>
      <c r="BC105" s="243" t="inlineStr">
        <is>
          <t>창전사</t>
        </is>
      </c>
      <c r="BD105" s="243" t="n">
        <v>800</v>
      </c>
      <c r="BE105" s="204" t="inlineStr">
        <is>
          <t>원미동</t>
        </is>
      </c>
      <c r="BF105" s="205" t="n">
        <v>0.5</v>
      </c>
      <c r="BG105" s="244" t="n">
        <v>838640</v>
      </c>
      <c r="BH105" s="204" t="n"/>
      <c r="BI105" s="207" t="n"/>
      <c r="BJ105" s="245" t="n"/>
      <c r="BK105" s="209" t="n"/>
      <c r="BL105" s="210" t="n"/>
      <c r="BM105" s="246" t="n"/>
      <c r="BN105" s="171" t="n"/>
      <c r="BO105" s="171" t="n"/>
      <c r="BP105" s="171" t="n"/>
      <c r="BQ105" s="171" t="n"/>
      <c r="BR105" s="171" t="n"/>
      <c r="BS105" s="171" t="n"/>
      <c r="BT105" s="171" t="n"/>
      <c r="BU105" s="171" t="n"/>
      <c r="BV105" s="171" t="n"/>
      <c r="BW105" s="171" t="n"/>
      <c r="BX105" s="171" t="n"/>
      <c r="BY105" s="171" t="n"/>
      <c r="BZ105" s="171" t="n"/>
      <c r="CA105" s="171" t="n"/>
      <c r="CB105" s="171" t="n"/>
      <c r="CC105" s="171" t="n"/>
      <c r="CD105" s="171" t="n"/>
      <c r="CE105" s="171" t="n"/>
      <c r="CF105" s="171" t="n"/>
      <c r="CG105" s="171" t="n"/>
      <c r="CH105" s="171" t="n"/>
      <c r="CI105" s="171" t="n"/>
      <c r="CJ105" s="171" t="n"/>
      <c r="CK105" s="171" t="n"/>
      <c r="CL105" s="171" t="n"/>
    </row>
    <row r="106">
      <c r="A106" s="171" t="n"/>
      <c r="B106" s="242" t="n"/>
      <c r="C106" s="243" t="inlineStr">
        <is>
          <t>부천종합운동장</t>
        </is>
      </c>
      <c r="D106" s="243" t="n">
        <v>150</v>
      </c>
      <c r="E106" s="204" t="inlineStr">
        <is>
          <t>춘의동</t>
        </is>
      </c>
      <c r="F106" s="205" t="n">
        <v>0.5625</v>
      </c>
      <c r="G106" s="244" t="n">
        <v>399300</v>
      </c>
      <c r="H106" s="204" t="inlineStr">
        <is>
          <t>이종석</t>
        </is>
      </c>
      <c r="I106" s="207" t="n"/>
      <c r="J106" s="245" t="n"/>
      <c r="K106" s="209" t="n"/>
      <c r="L106" s="210" t="n"/>
      <c r="M106" s="246" t="n"/>
      <c r="N106" s="171" t="n"/>
      <c r="O106" s="242" t="n"/>
      <c r="P106" s="243" t="n"/>
      <c r="Q106" s="243" t="n"/>
      <c r="R106" s="204" t="n"/>
      <c r="S106" s="205" t="n"/>
      <c r="T106" s="244" t="n"/>
      <c r="U106" s="204" t="n"/>
      <c r="V106" s="207" t="n"/>
      <c r="W106" s="245" t="n"/>
      <c r="X106" s="209" t="n"/>
      <c r="Y106" s="210" t="n"/>
      <c r="Z106" s="246" t="n"/>
      <c r="AA106" s="171" t="n"/>
      <c r="AB106" s="242" t="n"/>
      <c r="AC106" s="243" t="inlineStr">
        <is>
          <t>신한테크</t>
        </is>
      </c>
      <c r="AD106" s="243" t="n">
        <v>300</v>
      </c>
      <c r="AE106" s="204" t="inlineStr">
        <is>
          <t>내동</t>
        </is>
      </c>
      <c r="AF106" s="205" t="n">
        <v>0.4583333333333333</v>
      </c>
      <c r="AG106" s="244" t="n">
        <v>521730</v>
      </c>
      <c r="AH106" s="204" t="inlineStr">
        <is>
          <t>허록종</t>
        </is>
      </c>
      <c r="AI106" s="207" t="inlineStr">
        <is>
          <t>당효진휴가</t>
        </is>
      </c>
      <c r="AJ106" s="245" t="inlineStr">
        <is>
          <t>변종국</t>
        </is>
      </c>
      <c r="AK106" s="209" t="n"/>
      <c r="AL106" s="210" t="n"/>
      <c r="AM106" s="246" t="n"/>
      <c r="AN106" s="171" t="n"/>
      <c r="AO106" s="242" t="n"/>
      <c r="AP106" s="243" t="inlineStr">
        <is>
          <t>대하종합식품</t>
        </is>
      </c>
      <c r="AQ106" s="243" t="n">
        <v>900</v>
      </c>
      <c r="AR106" s="204" t="inlineStr">
        <is>
          <t>오정동</t>
        </is>
      </c>
      <c r="AS106" s="205" t="n">
        <v>0.6041666666666666</v>
      </c>
      <c r="AT106" s="244" t="n">
        <v>872520</v>
      </c>
      <c r="AU106" s="204" t="n"/>
      <c r="AV106" s="207" t="n"/>
      <c r="AW106" s="245" t="n"/>
      <c r="AX106" s="209" t="n"/>
      <c r="AY106" s="210" t="n"/>
      <c r="AZ106" s="246" t="n"/>
      <c r="BA106" s="171" t="n"/>
      <c r="BB106" s="242" t="n"/>
      <c r="BC106" s="243" t="inlineStr">
        <is>
          <t>제일프라자</t>
        </is>
      </c>
      <c r="BD106" s="243" t="inlineStr">
        <is>
          <t>600/105</t>
        </is>
      </c>
      <c r="BE106" s="204" t="inlineStr">
        <is>
          <t>중동</t>
        </is>
      </c>
      <c r="BF106" s="205" t="n">
        <v>0.25</v>
      </c>
      <c r="BG106" s="244" t="n">
        <v>1220120</v>
      </c>
      <c r="BH106" s="204" t="n"/>
      <c r="BI106" s="207" t="n"/>
      <c r="BJ106" s="245" t="n"/>
      <c r="BK106" s="209" t="n"/>
      <c r="BL106" s="210" t="n"/>
      <c r="BM106" s="246" t="n"/>
      <c r="BN106" s="171" t="n"/>
      <c r="BO106" s="171" t="n"/>
      <c r="BP106" s="171" t="n"/>
      <c r="BQ106" s="171" t="n"/>
      <c r="BR106" s="171" t="n"/>
      <c r="BS106" s="171" t="n"/>
      <c r="BT106" s="171" t="n"/>
      <c r="BU106" s="171" t="n"/>
      <c r="BV106" s="171" t="n"/>
      <c r="BW106" s="171" t="n"/>
      <c r="BX106" s="171" t="n"/>
      <c r="BY106" s="171" t="n"/>
      <c r="BZ106" s="171" t="n"/>
      <c r="CA106" s="171" t="n"/>
      <c r="CB106" s="171" t="n"/>
      <c r="CC106" s="171" t="n"/>
      <c r="CD106" s="171" t="n"/>
      <c r="CE106" s="171" t="n"/>
      <c r="CF106" s="171" t="n"/>
      <c r="CG106" s="171" t="n"/>
      <c r="CH106" s="171" t="n"/>
      <c r="CI106" s="171" t="n"/>
      <c r="CJ106" s="171" t="n"/>
      <c r="CK106" s="171" t="n"/>
      <c r="CL106" s="171" t="n"/>
    </row>
    <row r="107">
      <c r="A107" s="171" t="n"/>
      <c r="B107" s="242" t="n"/>
      <c r="C107" s="243" t="inlineStr">
        <is>
          <t>이테스</t>
        </is>
      </c>
      <c r="D107" s="243" t="inlineStr">
        <is>
          <t>전기차</t>
        </is>
      </c>
      <c r="E107" s="204" t="inlineStr">
        <is>
          <t>도당동</t>
        </is>
      </c>
      <c r="F107" s="205" t="n">
        <v>0.4791666666666667</v>
      </c>
      <c r="G107" s="244" t="n">
        <v>55770</v>
      </c>
      <c r="H107" s="204" t="inlineStr">
        <is>
          <t>변종국</t>
        </is>
      </c>
      <c r="I107" s="207" t="n"/>
      <c r="J107" s="245" t="n"/>
      <c r="K107" s="209" t="n"/>
      <c r="L107" s="210" t="n"/>
      <c r="M107" s="246" t="n"/>
      <c r="N107" s="171" t="n"/>
      <c r="O107" s="242" t="n"/>
      <c r="P107" s="243" t="n"/>
      <c r="Q107" s="243" t="n"/>
      <c r="R107" s="204" t="n"/>
      <c r="S107" s="205" t="n"/>
      <c r="T107" s="244" t="n"/>
      <c r="U107" s="204" t="n"/>
      <c r="V107" s="207" t="n"/>
      <c r="W107" s="245" t="n"/>
      <c r="X107" s="209" t="n"/>
      <c r="Y107" s="210" t="n"/>
      <c r="Z107" s="246" t="n"/>
      <c r="AA107" s="171" t="n"/>
      <c r="AB107" s="242" t="n"/>
      <c r="AC107" s="243" t="inlineStr">
        <is>
          <t>금영프라자</t>
        </is>
      </c>
      <c r="AD107" s="243" t="inlineStr">
        <is>
          <t>500/105</t>
        </is>
      </c>
      <c r="AE107" s="204" t="inlineStr">
        <is>
          <t>상동</t>
        </is>
      </c>
      <c r="AF107" s="205" t="n">
        <v>0.3125</v>
      </c>
      <c r="AG107" s="244" t="n">
        <v>1176010</v>
      </c>
      <c r="AH107" s="204" t="inlineStr">
        <is>
          <t>허록종</t>
        </is>
      </c>
      <c r="AI107" s="207" t="inlineStr">
        <is>
          <t>정신배휴가</t>
        </is>
      </c>
      <c r="AJ107" s="245" t="inlineStr">
        <is>
          <t>정성관-이종석</t>
        </is>
      </c>
      <c r="AK107" s="209" t="n"/>
      <c r="AL107" s="210" t="n"/>
      <c r="AM107" s="246" t="n"/>
      <c r="AN107" s="171" t="n"/>
      <c r="AO107" s="242" t="n"/>
      <c r="AP107" s="243" t="inlineStr">
        <is>
          <t>심곡1주민</t>
        </is>
      </c>
      <c r="AQ107" s="243" t="inlineStr">
        <is>
          <t>전기차</t>
        </is>
      </c>
      <c r="AR107" s="204" t="inlineStr">
        <is>
          <t>심곡동</t>
        </is>
      </c>
      <c r="AS107" s="205" t="n">
        <v>0.4166666666666667</v>
      </c>
      <c r="AT107" s="244" t="n">
        <v>55770</v>
      </c>
      <c r="AU107" s="204" t="n"/>
      <c r="AV107" s="207" t="n"/>
      <c r="AW107" s="245" t="n"/>
      <c r="AX107" s="209" t="n"/>
      <c r="AY107" s="210" t="n"/>
      <c r="AZ107" s="246" t="n"/>
      <c r="BA107" s="171" t="n"/>
      <c r="BB107" s="242" t="n"/>
      <c r="BC107" s="243" t="inlineStr">
        <is>
          <t>한유에너지</t>
        </is>
      </c>
      <c r="BD107" s="243" t="n">
        <v>36</v>
      </c>
      <c r="BE107" s="204" t="inlineStr">
        <is>
          <t>역곡</t>
        </is>
      </c>
      <c r="BF107" s="205" t="n">
        <v>0.625</v>
      </c>
      <c r="BG107" s="244" t="n">
        <v>147180</v>
      </c>
      <c r="BH107" s="204" t="n"/>
      <c r="BI107" s="207" t="n"/>
      <c r="BJ107" s="245" t="n"/>
      <c r="BK107" s="209" t="n"/>
      <c r="BL107" s="210" t="n"/>
      <c r="BM107" s="246" t="n"/>
      <c r="BN107" s="171" t="n"/>
      <c r="BO107" s="171" t="n"/>
      <c r="BP107" s="171" t="n"/>
      <c r="BQ107" s="171" t="n"/>
      <c r="BR107" s="171" t="n"/>
      <c r="BS107" s="171" t="n"/>
      <c r="BT107" s="171" t="n"/>
      <c r="BU107" s="171" t="n"/>
      <c r="BV107" s="171" t="n"/>
      <c r="BW107" s="171" t="n"/>
      <c r="BX107" s="171" t="n"/>
      <c r="BY107" s="171" t="n"/>
      <c r="BZ107" s="171" t="n"/>
      <c r="CA107" s="171" t="n"/>
      <c r="CB107" s="171" t="n"/>
      <c r="CC107" s="171" t="n"/>
      <c r="CD107" s="171" t="n"/>
      <c r="CE107" s="171" t="n"/>
      <c r="CF107" s="171" t="n"/>
      <c r="CG107" s="171" t="n"/>
      <c r="CH107" s="171" t="n"/>
      <c r="CI107" s="171" t="n"/>
      <c r="CJ107" s="171" t="n"/>
      <c r="CK107" s="171" t="n"/>
      <c r="CL107" s="171" t="n"/>
    </row>
    <row r="108">
      <c r="A108" s="171" t="n"/>
      <c r="B108" s="242" t="n"/>
      <c r="C108" s="243" t="n"/>
      <c r="D108" s="243" t="n"/>
      <c r="E108" s="204" t="n"/>
      <c r="F108" s="205" t="n"/>
      <c r="G108" s="244" t="n"/>
      <c r="H108" s="204" t="n"/>
      <c r="I108" s="207" t="n"/>
      <c r="J108" s="245" t="n"/>
      <c r="K108" s="209" t="n"/>
      <c r="L108" s="210" t="n"/>
      <c r="M108" s="246" t="n"/>
      <c r="N108" s="171" t="n"/>
      <c r="O108" s="242" t="n"/>
      <c r="P108" s="243" t="n"/>
      <c r="Q108" s="243" t="n"/>
      <c r="R108" s="204" t="n"/>
      <c r="S108" s="205" t="n"/>
      <c r="T108" s="244" t="n"/>
      <c r="U108" s="204" t="n"/>
      <c r="V108" s="207" t="n"/>
      <c r="W108" s="245" t="n"/>
      <c r="X108" s="209" t="n"/>
      <c r="Y108" s="210" t="n"/>
      <c r="Z108" s="246" t="n"/>
      <c r="AA108" s="171" t="n"/>
      <c r="AB108" s="242" t="n"/>
      <c r="AC108" s="243" t="n"/>
      <c r="AD108" s="243" t="n"/>
      <c r="AE108" s="204" t="n"/>
      <c r="AF108" s="205" t="n"/>
      <c r="AG108" s="244" t="n"/>
      <c r="AH108" s="204" t="n"/>
      <c r="AI108" s="207" t="inlineStr">
        <is>
          <t>민재홍휴가</t>
        </is>
      </c>
      <c r="AJ108" s="245" t="n"/>
      <c r="AK108" s="209" t="n"/>
      <c r="AL108" s="210" t="n"/>
      <c r="AM108" s="246" t="n"/>
      <c r="AN108" s="171" t="n"/>
      <c r="AO108" s="242" t="n"/>
      <c r="AP108" s="243" t="inlineStr">
        <is>
          <t>상일중</t>
        </is>
      </c>
      <c r="AQ108" s="243" t="n">
        <v>750</v>
      </c>
      <c r="AR108" s="204" t="inlineStr">
        <is>
          <t>상동</t>
        </is>
      </c>
      <c r="AS108" s="205" t="n">
        <v>0.6388888888888888</v>
      </c>
      <c r="AT108" s="244" t="n">
        <v>821700</v>
      </c>
      <c r="AU108" s="204" t="n"/>
      <c r="AV108" s="207" t="n"/>
      <c r="AW108" s="245" t="n"/>
      <c r="AX108" s="209" t="n"/>
      <c r="AY108" s="210" t="n"/>
      <c r="AZ108" s="246" t="n"/>
      <c r="BA108" s="171" t="n"/>
      <c r="BB108" s="242" t="n"/>
      <c r="BC108" s="243" t="inlineStr">
        <is>
          <t>부명중</t>
        </is>
      </c>
      <c r="BD108" s="243" t="n">
        <v>400</v>
      </c>
      <c r="BE108" s="204" t="inlineStr">
        <is>
          <t>중동</t>
        </is>
      </c>
      <c r="BF108" s="205" t="n">
        <v>0.6527777777777778</v>
      </c>
      <c r="BG108" s="244" t="n">
        <v>703120</v>
      </c>
      <c r="BH108" s="204" t="n"/>
      <c r="BI108" s="207" t="n"/>
      <c r="BJ108" s="245" t="n"/>
      <c r="BK108" s="209" t="n"/>
      <c r="BL108" s="210" t="n"/>
      <c r="BM108" s="246" t="n"/>
      <c r="BN108" s="171" t="n"/>
      <c r="BO108" s="171" t="n"/>
      <c r="BP108" s="171" t="n"/>
      <c r="BQ108" s="171" t="n"/>
      <c r="BR108" s="171" t="n"/>
      <c r="BS108" s="171" t="n"/>
      <c r="BT108" s="171" t="n"/>
      <c r="BU108" s="171" t="n"/>
      <c r="BV108" s="171" t="n"/>
      <c r="BW108" s="171" t="n"/>
      <c r="BX108" s="171" t="n"/>
      <c r="BY108" s="171" t="n"/>
      <c r="BZ108" s="171" t="n"/>
      <c r="CA108" s="171" t="n"/>
      <c r="CB108" s="171" t="n"/>
      <c r="CC108" s="171" t="n"/>
      <c r="CD108" s="171" t="n"/>
      <c r="CE108" s="171" t="n"/>
      <c r="CF108" s="171" t="n"/>
      <c r="CG108" s="171" t="n"/>
      <c r="CH108" s="171" t="n"/>
      <c r="CI108" s="171" t="n"/>
      <c r="CJ108" s="171" t="n"/>
      <c r="CK108" s="171" t="n"/>
      <c r="CL108" s="171" t="n"/>
    </row>
    <row r="109">
      <c r="A109" s="171" t="n"/>
      <c r="B109" s="242" t="n"/>
      <c r="C109" s="243" t="n"/>
      <c r="D109" s="243" t="n"/>
      <c r="E109" s="204" t="n"/>
      <c r="F109" s="205" t="n"/>
      <c r="G109" s="244" t="n"/>
      <c r="H109" s="204" t="n"/>
      <c r="I109" s="207" t="n"/>
      <c r="J109" s="245" t="n"/>
      <c r="K109" s="209" t="n"/>
      <c r="L109" s="210" t="n"/>
      <c r="M109" s="246" t="n"/>
      <c r="N109" s="171" t="n"/>
      <c r="O109" s="242" t="n"/>
      <c r="P109" s="243" t="n"/>
      <c r="Q109" s="243" t="n"/>
      <c r="R109" s="204" t="n"/>
      <c r="S109" s="205" t="n"/>
      <c r="T109" s="244" t="n"/>
      <c r="U109" s="204" t="n"/>
      <c r="V109" s="207" t="n"/>
      <c r="W109" s="245" t="n"/>
      <c r="X109" s="209" t="n"/>
      <c r="Y109" s="210" t="n"/>
      <c r="Z109" s="246" t="n"/>
      <c r="AA109" s="171" t="n"/>
      <c r="AB109" s="242" t="n"/>
      <c r="AC109" s="243" t="n"/>
      <c r="AD109" s="243" t="n"/>
      <c r="AE109" s="204" t="n"/>
      <c r="AF109" s="205" t="n"/>
      <c r="AG109" s="244" t="n"/>
      <c r="AH109" s="204" t="n"/>
      <c r="AI109" s="207" t="n"/>
      <c r="AJ109" s="245" t="n"/>
      <c r="AK109" s="209" t="n"/>
      <c r="AL109" s="210" t="n"/>
      <c r="AM109" s="246" t="n"/>
      <c r="AN109" s="171" t="n"/>
      <c r="AO109" s="242" t="n"/>
      <c r="AP109" s="243" t="inlineStr">
        <is>
          <t>로써앙</t>
        </is>
      </c>
      <c r="AQ109" s="243" t="n">
        <v>300</v>
      </c>
      <c r="AR109" s="204" t="inlineStr">
        <is>
          <t>오정동</t>
        </is>
      </c>
      <c r="AS109" s="205" t="n">
        <v>0.3958333333333333</v>
      </c>
      <c r="AT109" s="244" t="n">
        <v>521730</v>
      </c>
      <c r="AU109" s="204" t="n"/>
      <c r="AV109" s="207" t="n"/>
      <c r="AW109" s="245" t="n"/>
      <c r="AX109" s="209" t="n"/>
      <c r="AY109" s="210" t="n"/>
      <c r="AZ109" s="246" t="n"/>
      <c r="BA109" s="171" t="n"/>
      <c r="BB109" s="242" t="n"/>
      <c r="BC109" s="243" t="n"/>
      <c r="BD109" s="243" t="n"/>
      <c r="BE109" s="204" t="n"/>
      <c r="BF109" s="205" t="n"/>
      <c r="BG109" s="244" t="n"/>
      <c r="BH109" s="204" t="n"/>
      <c r="BI109" s="207" t="n"/>
      <c r="BJ109" s="245" t="n"/>
      <c r="BK109" s="209" t="n"/>
      <c r="BL109" s="210" t="n"/>
      <c r="BM109" s="246" t="n"/>
      <c r="BN109" s="171" t="n"/>
      <c r="BO109" s="171" t="n"/>
      <c r="BP109" s="171" t="n"/>
      <c r="BQ109" s="171" t="n"/>
      <c r="BR109" s="171" t="n"/>
      <c r="BS109" s="171" t="n"/>
      <c r="BT109" s="171" t="n"/>
      <c r="BU109" s="171" t="n"/>
      <c r="BV109" s="171" t="n"/>
      <c r="BW109" s="171" t="n"/>
      <c r="BX109" s="171" t="n"/>
      <c r="BY109" s="171" t="n"/>
      <c r="BZ109" s="171" t="n"/>
      <c r="CA109" s="171" t="n"/>
      <c r="CB109" s="171" t="n"/>
      <c r="CC109" s="171" t="n"/>
      <c r="CD109" s="171" t="n"/>
      <c r="CE109" s="171" t="n"/>
      <c r="CF109" s="171" t="n"/>
      <c r="CG109" s="171" t="n"/>
      <c r="CH109" s="171" t="n"/>
      <c r="CI109" s="171" t="n"/>
      <c r="CJ109" s="171" t="n"/>
      <c r="CK109" s="171" t="n"/>
      <c r="CL109" s="171" t="n"/>
    </row>
    <row r="110">
      <c r="A110" s="171" t="n"/>
      <c r="B110" s="242" t="n"/>
      <c r="C110" s="243" t="n"/>
      <c r="D110" s="243" t="n"/>
      <c r="E110" s="204" t="n"/>
      <c r="F110" s="205" t="n"/>
      <c r="G110" s="244" t="n"/>
      <c r="H110" s="204" t="n"/>
      <c r="I110" s="207" t="n"/>
      <c r="J110" s="245" t="n"/>
      <c r="K110" s="209" t="n"/>
      <c r="L110" s="210" t="n"/>
      <c r="M110" s="246" t="n"/>
      <c r="N110" s="171" t="n"/>
      <c r="O110" s="242" t="n"/>
      <c r="P110" s="243" t="n"/>
      <c r="Q110" s="243" t="n"/>
      <c r="R110" s="204" t="n"/>
      <c r="S110" s="205" t="n"/>
      <c r="T110" s="244" t="n"/>
      <c r="U110" s="204" t="n"/>
      <c r="V110" s="207" t="n"/>
      <c r="W110" s="245" t="n"/>
      <c r="X110" s="209" t="n"/>
      <c r="Y110" s="210" t="n"/>
      <c r="Z110" s="246" t="n"/>
      <c r="AA110" s="171" t="n"/>
      <c r="AB110" s="242" t="n"/>
      <c r="AC110" s="243" t="n"/>
      <c r="AD110" s="243" t="n"/>
      <c r="AE110" s="204" t="n"/>
      <c r="AF110" s="205" t="n"/>
      <c r="AG110" s="244" t="n"/>
      <c r="AH110" s="204" t="n"/>
      <c r="AI110" s="207" t="n"/>
      <c r="AJ110" s="245" t="n"/>
      <c r="AK110" s="209" t="n"/>
      <c r="AL110" s="210" t="n"/>
      <c r="AM110" s="246" t="n"/>
      <c r="AN110" s="171" t="n"/>
      <c r="AO110" s="242" t="n"/>
      <c r="AP110" s="243" t="n"/>
      <c r="AQ110" s="243" t="n"/>
      <c r="AR110" s="204" t="n"/>
      <c r="AS110" s="205" t="n"/>
      <c r="AT110" s="244" t="n"/>
      <c r="AU110" s="204" t="n"/>
      <c r="AV110" s="207" t="n"/>
      <c r="AW110" s="245" t="n"/>
      <c r="AX110" s="209" t="n"/>
      <c r="AY110" s="210" t="n"/>
      <c r="AZ110" s="246" t="n"/>
      <c r="BA110" s="171" t="n"/>
      <c r="BB110" s="242" t="n"/>
      <c r="BC110" s="243" t="n"/>
      <c r="BD110" s="243" t="n"/>
      <c r="BE110" s="204" t="n"/>
      <c r="BF110" s="205" t="n"/>
      <c r="BG110" s="244" t="n"/>
      <c r="BH110" s="204" t="n"/>
      <c r="BI110" s="207" t="n"/>
      <c r="BJ110" s="245" t="n"/>
      <c r="BK110" s="209" t="n"/>
      <c r="BL110" s="210" t="n"/>
      <c r="BM110" s="246" t="n"/>
      <c r="BN110" s="171" t="n"/>
      <c r="BO110" s="171" t="n"/>
      <c r="BP110" s="171" t="n"/>
      <c r="BQ110" s="171" t="n"/>
      <c r="BR110" s="171" t="n"/>
      <c r="BS110" s="171" t="n"/>
      <c r="BT110" s="171" t="n"/>
      <c r="BU110" s="171" t="n"/>
      <c r="BV110" s="171" t="n"/>
      <c r="BW110" s="171" t="n"/>
      <c r="BX110" s="171" t="n"/>
      <c r="BY110" s="171" t="n"/>
      <c r="BZ110" s="171" t="n"/>
      <c r="CA110" s="171" t="n"/>
      <c r="CB110" s="171" t="n"/>
      <c r="CC110" s="171" t="n"/>
      <c r="CD110" s="171" t="n"/>
      <c r="CE110" s="171" t="n"/>
      <c r="CF110" s="171" t="n"/>
      <c r="CG110" s="171" t="n"/>
      <c r="CH110" s="171" t="n"/>
      <c r="CI110" s="171" t="n"/>
      <c r="CJ110" s="171" t="n"/>
      <c r="CK110" s="171" t="n"/>
      <c r="CL110" s="171" t="n"/>
    </row>
    <row r="111">
      <c r="A111" s="171" t="n"/>
      <c r="B111" s="242" t="n"/>
      <c r="C111" s="243" t="n"/>
      <c r="D111" s="243" t="n"/>
      <c r="E111" s="204" t="n"/>
      <c r="F111" s="205" t="n"/>
      <c r="G111" s="244" t="n"/>
      <c r="H111" s="204" t="n"/>
      <c r="I111" s="207" t="n"/>
      <c r="J111" s="245" t="n"/>
      <c r="K111" s="209" t="n"/>
      <c r="L111" s="210" t="n"/>
      <c r="M111" s="246" t="n"/>
      <c r="N111" s="171" t="n"/>
      <c r="O111" s="242" t="n"/>
      <c r="P111" s="243" t="n"/>
      <c r="Q111" s="243" t="n"/>
      <c r="R111" s="204" t="n"/>
      <c r="S111" s="205" t="n"/>
      <c r="T111" s="244" t="n"/>
      <c r="U111" s="204" t="n"/>
      <c r="V111" s="207" t="n"/>
      <c r="W111" s="245" t="n"/>
      <c r="X111" s="209" t="n"/>
      <c r="Y111" s="210" t="n"/>
      <c r="Z111" s="246" t="n"/>
      <c r="AA111" s="171" t="n"/>
      <c r="AB111" s="242" t="n"/>
      <c r="AC111" s="243" t="n"/>
      <c r="AD111" s="243" t="n"/>
      <c r="AE111" s="204" t="n"/>
      <c r="AF111" s="205" t="n"/>
      <c r="AG111" s="244" t="n"/>
      <c r="AH111" s="204" t="n"/>
      <c r="AI111" s="207" t="n"/>
      <c r="AJ111" s="245" t="n"/>
      <c r="AK111" s="209" t="n"/>
      <c r="AL111" s="210" t="n"/>
      <c r="AM111" s="246" t="n"/>
      <c r="AN111" s="171" t="n"/>
      <c r="AO111" s="242" t="n"/>
      <c r="AP111" s="243" t="n"/>
      <c r="AQ111" s="243" t="n"/>
      <c r="AR111" s="204" t="n"/>
      <c r="AS111" s="205" t="n"/>
      <c r="AT111" s="244" t="n"/>
      <c r="AU111" s="204" t="n"/>
      <c r="AV111" s="207" t="n"/>
      <c r="AW111" s="245" t="n"/>
      <c r="AX111" s="209" t="n"/>
      <c r="AY111" s="210" t="n"/>
      <c r="AZ111" s="246" t="n"/>
      <c r="BA111" s="171" t="n"/>
      <c r="BB111" s="242" t="n"/>
      <c r="BC111" s="243" t="n"/>
      <c r="BD111" s="243" t="n"/>
      <c r="BE111" s="204" t="n"/>
      <c r="BF111" s="205" t="n"/>
      <c r="BG111" s="244" t="n"/>
      <c r="BH111" s="204" t="n"/>
      <c r="BI111" s="207" t="n"/>
      <c r="BJ111" s="245" t="n"/>
      <c r="BK111" s="209" t="n"/>
      <c r="BL111" s="210" t="n"/>
      <c r="BM111" s="246" t="n"/>
      <c r="BN111" s="171" t="n"/>
      <c r="BO111" s="171" t="n"/>
      <c r="BP111" s="171" t="n"/>
      <c r="BQ111" s="171" t="n"/>
      <c r="BR111" s="171" t="n"/>
      <c r="BS111" s="171" t="n"/>
      <c r="BT111" s="171" t="n"/>
      <c r="BU111" s="171" t="n"/>
      <c r="BV111" s="171" t="n"/>
      <c r="BW111" s="171" t="n"/>
      <c r="BX111" s="171" t="n"/>
      <c r="BY111" s="171" t="n"/>
      <c r="BZ111" s="171" t="n"/>
      <c r="CA111" s="171" t="n"/>
      <c r="CB111" s="171" t="n"/>
      <c r="CC111" s="171" t="n"/>
      <c r="CD111" s="171" t="n"/>
      <c r="CE111" s="171" t="n"/>
      <c r="CF111" s="171" t="n"/>
      <c r="CG111" s="171" t="n"/>
      <c r="CH111" s="171" t="n"/>
      <c r="CI111" s="171" t="n"/>
      <c r="CJ111" s="171" t="n"/>
      <c r="CK111" s="171" t="n"/>
      <c r="CL111" s="171" t="n"/>
    </row>
    <row r="112">
      <c r="A112" s="171" t="n"/>
      <c r="B112" s="242" t="n"/>
      <c r="C112" s="243" t="n"/>
      <c r="D112" s="243" t="n"/>
      <c r="E112" s="204" t="n"/>
      <c r="F112" s="205" t="n"/>
      <c r="G112" s="244" t="n"/>
      <c r="H112" s="204" t="n"/>
      <c r="I112" s="207" t="n"/>
      <c r="J112" s="245" t="n"/>
      <c r="K112" s="209" t="n"/>
      <c r="L112" s="210" t="n"/>
      <c r="M112" s="246" t="n"/>
      <c r="N112" s="171" t="n"/>
      <c r="O112" s="242" t="n"/>
      <c r="P112" s="243" t="n"/>
      <c r="Q112" s="243" t="n"/>
      <c r="R112" s="204" t="n"/>
      <c r="S112" s="205" t="n"/>
      <c r="T112" s="244" t="n"/>
      <c r="U112" s="204" t="n"/>
      <c r="V112" s="207" t="n"/>
      <c r="W112" s="245" t="n"/>
      <c r="X112" s="209" t="n"/>
      <c r="Y112" s="210" t="n"/>
      <c r="Z112" s="246" t="n"/>
      <c r="AA112" s="171" t="n"/>
      <c r="AB112" s="242" t="n"/>
      <c r="AC112" s="243" t="n"/>
      <c r="AD112" s="243" t="n"/>
      <c r="AE112" s="204" t="n"/>
      <c r="AF112" s="205" t="n"/>
      <c r="AG112" s="244" t="n"/>
      <c r="AH112" s="204" t="n"/>
      <c r="AI112" s="207" t="n"/>
      <c r="AJ112" s="245" t="n"/>
      <c r="AK112" s="209" t="n"/>
      <c r="AL112" s="210" t="n"/>
      <c r="AM112" s="246" t="n"/>
      <c r="AN112" s="171" t="n"/>
      <c r="AO112" s="242" t="n"/>
      <c r="AP112" s="243" t="n"/>
      <c r="AQ112" s="243" t="n"/>
      <c r="AR112" s="204" t="n"/>
      <c r="AS112" s="205" t="n"/>
      <c r="AT112" s="244" t="n"/>
      <c r="AU112" s="204" t="n"/>
      <c r="AV112" s="207" t="n"/>
      <c r="AW112" s="245" t="n"/>
      <c r="AX112" s="209" t="n"/>
      <c r="AY112" s="210" t="n"/>
      <c r="AZ112" s="246" t="n"/>
      <c r="BA112" s="171" t="n"/>
      <c r="BB112" s="242" t="n"/>
      <c r="BC112" s="243" t="n"/>
      <c r="BD112" s="243" t="n"/>
      <c r="BE112" s="204" t="n"/>
      <c r="BF112" s="205" t="n"/>
      <c r="BG112" s="244" t="n"/>
      <c r="BH112" s="204" t="n"/>
      <c r="BI112" s="207" t="n"/>
      <c r="BJ112" s="245" t="n"/>
      <c r="BK112" s="209" t="n"/>
      <c r="BL112" s="210" t="n"/>
      <c r="BM112" s="246" t="n"/>
      <c r="BN112" s="171" t="n"/>
      <c r="BO112" s="171" t="n"/>
      <c r="BP112" s="171" t="n"/>
      <c r="BQ112" s="171" t="n"/>
      <c r="BR112" s="171" t="n"/>
      <c r="BS112" s="171" t="n"/>
      <c r="BT112" s="171" t="n"/>
      <c r="BU112" s="171" t="n"/>
      <c r="BV112" s="171" t="n"/>
      <c r="BW112" s="171" t="n"/>
      <c r="BX112" s="171" t="n"/>
      <c r="BY112" s="171" t="n"/>
      <c r="BZ112" s="171" t="n"/>
      <c r="CA112" s="171" t="n"/>
      <c r="CB112" s="171" t="n"/>
      <c r="CC112" s="171" t="n"/>
      <c r="CD112" s="171" t="n"/>
      <c r="CE112" s="171" t="n"/>
      <c r="CF112" s="171" t="n"/>
      <c r="CG112" s="171" t="n"/>
      <c r="CH112" s="171" t="n"/>
      <c r="CI112" s="171" t="n"/>
      <c r="CJ112" s="171" t="n"/>
      <c r="CK112" s="171" t="n"/>
      <c r="CL112" s="171" t="n"/>
    </row>
    <row r="113" ht="18" customHeight="1" s="22" thickBot="1">
      <c r="A113" s="171" t="n"/>
      <c r="B113" s="242" t="n"/>
      <c r="C113" s="243" t="n"/>
      <c r="D113" s="243" t="n"/>
      <c r="E113" s="204" t="n"/>
      <c r="F113" s="205" t="n"/>
      <c r="G113" s="244" t="n"/>
      <c r="H113" s="204" t="n"/>
      <c r="I113" s="207" t="n"/>
      <c r="J113" s="245" t="n"/>
      <c r="K113" s="209" t="n"/>
      <c r="L113" s="210" t="n"/>
      <c r="M113" s="246" t="n"/>
      <c r="N113" s="171" t="n"/>
      <c r="O113" s="242" t="n"/>
      <c r="P113" s="243" t="n"/>
      <c r="Q113" s="243" t="n"/>
      <c r="R113" s="204" t="n"/>
      <c r="S113" s="205" t="n"/>
      <c r="T113" s="244" t="n"/>
      <c r="U113" s="204" t="n"/>
      <c r="V113" s="207" t="n"/>
      <c r="W113" s="245" t="n"/>
      <c r="X113" s="209" t="n"/>
      <c r="Y113" s="210" t="n"/>
      <c r="Z113" s="246" t="n"/>
      <c r="AA113" s="171" t="n"/>
      <c r="AB113" s="242" t="n"/>
      <c r="AC113" s="243" t="n"/>
      <c r="AD113" s="243" t="n"/>
      <c r="AE113" s="204" t="n"/>
      <c r="AF113" s="205" t="n"/>
      <c r="AG113" s="244" t="n"/>
      <c r="AH113" s="204" t="n"/>
      <c r="AI113" s="207" t="n"/>
      <c r="AJ113" s="245" t="n"/>
      <c r="AK113" s="209" t="n"/>
      <c r="AL113" s="210" t="n"/>
      <c r="AM113" s="246" t="n"/>
      <c r="AN113" s="171" t="n"/>
      <c r="AO113" s="242" t="n"/>
      <c r="AP113" s="243" t="n"/>
      <c r="AQ113" s="243" t="n"/>
      <c r="AR113" s="204" t="n"/>
      <c r="AS113" s="205" t="n"/>
      <c r="AT113" s="244" t="n"/>
      <c r="AU113" s="204" t="n"/>
      <c r="AV113" s="207" t="n"/>
      <c r="AW113" s="245" t="n"/>
      <c r="AX113" s="209" t="n"/>
      <c r="AY113" s="210" t="n"/>
      <c r="AZ113" s="246" t="n"/>
      <c r="BA113" s="171" t="n"/>
      <c r="BB113" s="242" t="n"/>
      <c r="BC113" s="243" t="n"/>
      <c r="BD113" s="243" t="n"/>
      <c r="BE113" s="204" t="n"/>
      <c r="BF113" s="205" t="n"/>
      <c r="BG113" s="244" t="n"/>
      <c r="BH113" s="204" t="n"/>
      <c r="BI113" s="207" t="n"/>
      <c r="BJ113" s="245" t="n"/>
      <c r="BK113" s="209" t="n"/>
      <c r="BL113" s="210" t="n"/>
      <c r="BM113" s="246" t="n"/>
      <c r="BN113" s="171" t="n"/>
      <c r="BO113" s="171" t="n"/>
      <c r="BP113" s="171" t="n"/>
      <c r="BQ113" s="171" t="n"/>
      <c r="BR113" s="171" t="n"/>
      <c r="BS113" s="171" t="n"/>
      <c r="BT113" s="171" t="n"/>
      <c r="BU113" s="171" t="n"/>
      <c r="BV113" s="171" t="n"/>
      <c r="BW113" s="171" t="n"/>
      <c r="BX113" s="171" t="n"/>
      <c r="BY113" s="171" t="n"/>
      <c r="BZ113" s="171" t="n"/>
      <c r="CA113" s="171" t="n"/>
      <c r="CB113" s="171" t="n"/>
      <c r="CC113" s="171" t="n"/>
      <c r="CD113" s="171" t="n"/>
      <c r="CE113" s="171" t="n"/>
      <c r="CF113" s="171" t="n"/>
      <c r="CG113" s="171" t="n"/>
      <c r="CH113" s="171" t="n"/>
      <c r="CI113" s="171" t="n"/>
      <c r="CJ113" s="171" t="n"/>
      <c r="CK113" s="171" t="n"/>
      <c r="CL113" s="171" t="n"/>
    </row>
    <row r="114">
      <c r="A114" s="171" t="n"/>
      <c r="B114" s="247" t="inlineStr">
        <is>
          <t>김포지역</t>
        </is>
      </c>
      <c r="C114" s="248" t="inlineStr">
        <is>
          <t>신도피앤지</t>
        </is>
      </c>
      <c r="D114" s="248" t="n">
        <v>500</v>
      </c>
      <c r="E114" s="191" t="inlineStr">
        <is>
          <t>풍무동</t>
        </is>
      </c>
      <c r="F114" s="192" t="n">
        <v>0.5416666666666666</v>
      </c>
      <c r="G114" s="249" t="n">
        <v>737000</v>
      </c>
      <c r="H114" s="191" t="inlineStr">
        <is>
          <t>이덕기</t>
        </is>
      </c>
      <c r="I114" s="194" t="inlineStr">
        <is>
          <t>케이원</t>
        </is>
      </c>
      <c r="J114" s="250" t="inlineStr">
        <is>
          <t>부분</t>
        </is>
      </c>
      <c r="K114" s="196" t="inlineStr">
        <is>
          <t>학운리</t>
        </is>
      </c>
      <c r="L114" s="197" t="n"/>
      <c r="M114" s="251" t="inlineStr">
        <is>
          <t>허록종</t>
        </is>
      </c>
      <c r="N114" s="171" t="n"/>
      <c r="O114" s="247" t="inlineStr">
        <is>
          <t>김포지역</t>
        </is>
      </c>
      <c r="P114" s="248" t="n"/>
      <c r="Q114" s="248" t="n"/>
      <c r="R114" s="191" t="n"/>
      <c r="S114" s="192" t="n"/>
      <c r="T114" s="249" t="n"/>
      <c r="U114" s="191" t="n"/>
      <c r="V114" s="194" t="n"/>
      <c r="W114" s="250" t="n"/>
      <c r="X114" s="196" t="n"/>
      <c r="Y114" s="197" t="n"/>
      <c r="Z114" s="251" t="n"/>
      <c r="AA114" s="171" t="n"/>
      <c r="AB114" s="247" t="inlineStr">
        <is>
          <t>김포지역</t>
        </is>
      </c>
      <c r="AC114" s="248" t="inlineStr">
        <is>
          <t>마송lh4</t>
        </is>
      </c>
      <c r="AD114" s="248" t="n">
        <v>99</v>
      </c>
      <c r="AE114" s="191" t="inlineStr">
        <is>
          <t>마송리</t>
        </is>
      </c>
      <c r="AF114" s="192" t="n">
        <v>0.4166666666666667</v>
      </c>
      <c r="AG114" s="249" t="n">
        <v>254760</v>
      </c>
      <c r="AH114" s="191" t="inlineStr">
        <is>
          <t>이종석</t>
        </is>
      </c>
      <c r="AI114" s="194" t="inlineStr">
        <is>
          <t>미래창조</t>
        </is>
      </c>
      <c r="AJ114" s="250" t="inlineStr">
        <is>
          <t>변변</t>
        </is>
      </c>
      <c r="AK114" s="196" t="inlineStr">
        <is>
          <t>쇄암리</t>
        </is>
      </c>
      <c r="AL114" s="197" t="n"/>
      <c r="AM114" s="251" t="inlineStr">
        <is>
          <t>변종국</t>
        </is>
      </c>
      <c r="AN114" s="171" t="n"/>
      <c r="AO114" s="247" t="inlineStr">
        <is>
          <t>김포지역</t>
        </is>
      </c>
      <c r="AP114" s="248" t="inlineStr">
        <is>
          <t>유린전자</t>
        </is>
      </c>
      <c r="AQ114" s="248" t="n">
        <v>290</v>
      </c>
      <c r="AR114" s="191" t="inlineStr">
        <is>
          <t>귀전리</t>
        </is>
      </c>
      <c r="AS114" s="192" t="n">
        <v>0.5</v>
      </c>
      <c r="AT114" s="249" t="n">
        <v>515130</v>
      </c>
      <c r="AU114" s="191" t="n"/>
      <c r="AV114" s="194" t="inlineStr">
        <is>
          <t>산호아파트</t>
        </is>
      </c>
      <c r="AW114" s="250" t="inlineStr">
        <is>
          <t>1850/</t>
        </is>
      </c>
      <c r="AX114" s="196" t="inlineStr">
        <is>
          <t>북변동</t>
        </is>
      </c>
      <c r="AY114" s="197" t="n"/>
      <c r="AZ114" s="251" t="n"/>
      <c r="BA114" s="171" t="n"/>
      <c r="BB114" s="247" t="inlineStr">
        <is>
          <t>김포지역</t>
        </is>
      </c>
      <c r="BC114" s="248" t="inlineStr">
        <is>
          <t>남영저눅</t>
        </is>
      </c>
      <c r="BD114" s="248" t="n">
        <v>950</v>
      </c>
      <c r="BE114" s="191" t="inlineStr">
        <is>
          <t>풍무동</t>
        </is>
      </c>
      <c r="BF114" s="192" t="n">
        <v>0.3958333333333333</v>
      </c>
      <c r="BG114" s="249" t="n">
        <v>889460</v>
      </c>
      <c r="BH114" s="191" t="n"/>
      <c r="BI114" s="194" t="n"/>
      <c r="BJ114" s="250" t="n"/>
      <c r="BK114" s="196" t="n"/>
      <c r="BL114" s="197" t="n"/>
      <c r="BM114" s="251" t="n"/>
      <c r="BN114" s="171" t="n"/>
      <c r="BO114" s="171" t="n"/>
      <c r="BP114" s="171" t="n"/>
      <c r="BQ114" s="171" t="n"/>
      <c r="BR114" s="171" t="n"/>
      <c r="BS114" s="171" t="n"/>
      <c r="BT114" s="171" t="n"/>
      <c r="BU114" s="171" t="n"/>
      <c r="BV114" s="171" t="n"/>
      <c r="BW114" s="171" t="n"/>
      <c r="BX114" s="171" t="n"/>
      <c r="BY114" s="171" t="n"/>
      <c r="BZ114" s="171" t="n"/>
      <c r="CA114" s="171" t="n"/>
      <c r="CB114" s="171" t="n"/>
      <c r="CC114" s="171" t="n"/>
      <c r="CD114" s="171" t="n"/>
      <c r="CE114" s="171" t="n"/>
      <c r="CF114" s="171" t="n"/>
      <c r="CG114" s="171" t="n"/>
      <c r="CH114" s="171" t="n"/>
      <c r="CI114" s="171" t="n"/>
      <c r="CJ114" s="171" t="n"/>
      <c r="CK114" s="171" t="n"/>
      <c r="CL114" s="171" t="n"/>
    </row>
    <row r="115">
      <c r="A115" s="171" t="n"/>
      <c r="B115" s="242" t="n"/>
      <c r="C115" s="243" t="inlineStr">
        <is>
          <t>삼미레이져</t>
        </is>
      </c>
      <c r="D115" s="243" t="n">
        <v>227</v>
      </c>
      <c r="E115" s="204" t="inlineStr">
        <is>
          <t>구래동</t>
        </is>
      </c>
      <c r="F115" s="205" t="n">
        <v>0.5833333333333334</v>
      </c>
      <c r="G115" s="244" t="n">
        <v>389180</v>
      </c>
      <c r="H115" s="204" t="inlineStr">
        <is>
          <t>당효진</t>
        </is>
      </c>
      <c r="I115" s="207" t="inlineStr">
        <is>
          <t>동현</t>
        </is>
      </c>
      <c r="J115" s="245" t="n">
        <v>86</v>
      </c>
      <c r="K115" s="209" t="inlineStr">
        <is>
          <t>석탄리</t>
        </is>
      </c>
      <c r="L115" s="210" t="n"/>
      <c r="M115" s="246" t="inlineStr">
        <is>
          <t>허창수</t>
        </is>
      </c>
      <c r="N115" s="171" t="n"/>
      <c r="O115" s="242" t="n"/>
      <c r="P115" s="243" t="n"/>
      <c r="Q115" s="243" t="n"/>
      <c r="R115" s="204" t="n"/>
      <c r="S115" s="205" t="n"/>
      <c r="T115" s="244" t="n"/>
      <c r="U115" s="204" t="n"/>
      <c r="V115" s="207" t="n"/>
      <c r="W115" s="245" t="n"/>
      <c r="X115" s="209" t="n"/>
      <c r="Y115" s="210" t="n"/>
      <c r="Z115" s="246" t="n"/>
      <c r="AA115" s="171" t="n"/>
      <c r="AB115" s="242" t="n"/>
      <c r="AC115" s="243" t="inlineStr">
        <is>
          <t>고아보화학</t>
        </is>
      </c>
      <c r="AD115" s="243" t="n">
        <v>980</v>
      </c>
      <c r="AE115" s="204" t="inlineStr">
        <is>
          <t>옹정리</t>
        </is>
      </c>
      <c r="AF115" s="205" t="n">
        <v>0.4791666666666667</v>
      </c>
      <c r="AG115" s="244" t="n">
        <v>899580</v>
      </c>
      <c r="AH115" s="204" t="inlineStr">
        <is>
          <t>옹승완</t>
        </is>
      </c>
      <c r="AI115" s="207" t="n"/>
      <c r="AJ115" s="245" t="n"/>
      <c r="AK115" s="209" t="n"/>
      <c r="AL115" s="210" t="n"/>
      <c r="AM115" s="246" t="n"/>
      <c r="AN115" s="171" t="n"/>
      <c r="AO115" s="242" t="n"/>
      <c r="AP115" s="243" t="inlineStr">
        <is>
          <t>대신화학</t>
        </is>
      </c>
      <c r="AQ115" s="243" t="n">
        <v>500</v>
      </c>
      <c r="AR115" s="204" t="inlineStr">
        <is>
          <t>원산리</t>
        </is>
      </c>
      <c r="AS115" s="205" t="n">
        <v>0.5208333333333334</v>
      </c>
      <c r="AT115" s="244" t="n">
        <v>737000</v>
      </c>
      <c r="AU115" s="204" t="n"/>
      <c r="AV115" s="207" t="n"/>
      <c r="AW115" s="245" t="n"/>
      <c r="AX115" s="209" t="n"/>
      <c r="AY115" s="210" t="n"/>
      <c r="AZ115" s="246" t="n"/>
      <c r="BA115" s="171" t="n"/>
      <c r="BB115" s="242" t="n"/>
      <c r="BC115" s="243" t="inlineStr">
        <is>
          <t>한성엠텍</t>
        </is>
      </c>
      <c r="BD115" s="243" t="n">
        <v>250</v>
      </c>
      <c r="BE115" s="204" t="inlineStr">
        <is>
          <t>학운리</t>
        </is>
      </c>
      <c r="BF115" s="205" t="n">
        <v>0.4791666666666667</v>
      </c>
      <c r="BG115" s="244" t="n">
        <v>489170</v>
      </c>
      <c r="BH115" s="204" t="n"/>
      <c r="BI115" s="207" t="n"/>
      <c r="BJ115" s="245" t="n"/>
      <c r="BK115" s="209" t="n"/>
      <c r="BL115" s="210" t="n"/>
      <c r="BM115" s="246" t="n"/>
      <c r="BN115" s="171" t="n"/>
      <c r="BO115" s="171" t="n"/>
      <c r="BP115" s="171" t="n"/>
      <c r="BQ115" s="171" t="n"/>
      <c r="BR115" s="171" t="n"/>
      <c r="BS115" s="171" t="n"/>
      <c r="BT115" s="171" t="n"/>
      <c r="BU115" s="171" t="n"/>
      <c r="BV115" s="171" t="n"/>
      <c r="BW115" s="171" t="n"/>
      <c r="BX115" s="171" t="n"/>
      <c r="BY115" s="171" t="n"/>
      <c r="BZ115" s="171" t="n"/>
      <c r="CA115" s="171" t="n"/>
      <c r="CB115" s="171" t="n"/>
      <c r="CC115" s="171" t="n"/>
      <c r="CD115" s="171" t="n"/>
      <c r="CE115" s="171" t="n"/>
      <c r="CF115" s="171" t="n"/>
      <c r="CG115" s="171" t="n"/>
      <c r="CH115" s="171" t="n"/>
      <c r="CI115" s="171" t="n"/>
      <c r="CJ115" s="171" t="n"/>
      <c r="CK115" s="171" t="n"/>
      <c r="CL115" s="171" t="n"/>
    </row>
    <row r="116">
      <c r="A116" s="171" t="n"/>
      <c r="B116" s="242" t="n"/>
      <c r="C116" s="243" t="inlineStr">
        <is>
          <t>달미랑</t>
        </is>
      </c>
      <c r="D116" s="243" t="n">
        <v>290</v>
      </c>
      <c r="E116" s="204" t="inlineStr">
        <is>
          <t>구래동</t>
        </is>
      </c>
      <c r="F116" s="205" t="n">
        <v>0.5625</v>
      </c>
      <c r="G116" s="244" t="n">
        <v>515130</v>
      </c>
      <c r="H116" s="204" t="inlineStr">
        <is>
          <t>정신배</t>
        </is>
      </c>
      <c r="I116" s="207" t="inlineStr">
        <is>
          <t>미래태양광</t>
        </is>
      </c>
      <c r="J116" s="245" t="n">
        <v>44</v>
      </c>
      <c r="K116" s="209" t="inlineStr">
        <is>
          <t>학운리</t>
        </is>
      </c>
      <c r="L116" s="210" t="n"/>
      <c r="M116" s="246" t="inlineStr">
        <is>
          <t>허록종</t>
        </is>
      </c>
      <c r="N116" s="171" t="n"/>
      <c r="O116" s="242" t="n"/>
      <c r="P116" s="243" t="n"/>
      <c r="Q116" s="243" t="n"/>
      <c r="R116" s="204" t="n"/>
      <c r="S116" s="205" t="n"/>
      <c r="T116" s="244" t="n"/>
      <c r="U116" s="204" t="n"/>
      <c r="V116" s="207" t="n"/>
      <c r="W116" s="245" t="n"/>
      <c r="X116" s="209" t="n"/>
      <c r="Y116" s="210" t="n"/>
      <c r="Z116" s="246" t="n"/>
      <c r="AA116" s="171" t="n"/>
      <c r="AB116" s="242" t="n"/>
      <c r="AC116" s="243" t="inlineStr">
        <is>
          <t>반도유보라</t>
        </is>
      </c>
      <c r="AD116" s="243" t="n">
        <v>60</v>
      </c>
      <c r="AE116" s="204" t="inlineStr">
        <is>
          <t>운양동</t>
        </is>
      </c>
      <c r="AF116" s="205" t="n">
        <v>0.4375</v>
      </c>
      <c r="AG116" s="244" t="n">
        <v>213730</v>
      </c>
      <c r="AH116" s="204" t="inlineStr">
        <is>
          <t>이덕기</t>
        </is>
      </c>
      <c r="AI116" s="207" t="n"/>
      <c r="AJ116" s="245" t="n"/>
      <c r="AK116" s="209" t="n"/>
      <c r="AL116" s="210" t="n"/>
      <c r="AM116" s="246" t="n"/>
      <c r="AN116" s="171" t="n"/>
      <c r="AO116" s="242" t="n"/>
      <c r="AP116" s="243" t="inlineStr">
        <is>
          <t>미래전자</t>
        </is>
      </c>
      <c r="AQ116" s="243" t="n">
        <v>800</v>
      </c>
      <c r="AR116" s="204" t="inlineStr">
        <is>
          <t>고양리</t>
        </is>
      </c>
      <c r="AS116" s="205" t="n">
        <v>0.5625</v>
      </c>
      <c r="AT116" s="244" t="n">
        <v>838640</v>
      </c>
      <c r="AU116" s="204" t="n"/>
      <c r="AV116" s="207" t="n"/>
      <c r="AW116" s="245" t="n"/>
      <c r="AX116" s="209" t="n"/>
      <c r="AY116" s="210" t="n"/>
      <c r="AZ116" s="246" t="n"/>
      <c r="BA116" s="171" t="n"/>
      <c r="BB116" s="242" t="n"/>
      <c r="BC116" s="243" t="inlineStr">
        <is>
          <t>코리아바큠테크</t>
        </is>
      </c>
      <c r="BD116" s="243" t="n">
        <v>200</v>
      </c>
      <c r="BE116" s="204" t="inlineStr">
        <is>
          <t>고양리</t>
        </is>
      </c>
      <c r="BF116" s="205" t="n">
        <v>0.4791666666666667</v>
      </c>
      <c r="BG116" s="244" t="n">
        <v>456720</v>
      </c>
      <c r="BH116" s="204" t="n"/>
      <c r="BI116" s="207" t="n"/>
      <c r="BJ116" s="245" t="n"/>
      <c r="BK116" s="209" t="n"/>
      <c r="BL116" s="210" t="n"/>
      <c r="BM116" s="246" t="n"/>
      <c r="BN116" s="171" t="n"/>
      <c r="BO116" s="171" t="n"/>
      <c r="BP116" s="171" t="n"/>
      <c r="BQ116" s="171" t="n"/>
      <c r="BR116" s="171" t="n"/>
      <c r="BS116" s="171" t="n"/>
      <c r="BT116" s="171" t="n"/>
      <c r="BU116" s="171" t="n"/>
      <c r="BV116" s="171" t="n"/>
      <c r="BW116" s="171" t="n"/>
      <c r="BX116" s="171" t="n"/>
      <c r="BY116" s="171" t="n"/>
      <c r="BZ116" s="171" t="n"/>
      <c r="CA116" s="171" t="n"/>
      <c r="CB116" s="171" t="n"/>
      <c r="CC116" s="171" t="n"/>
      <c r="CD116" s="171" t="n"/>
      <c r="CE116" s="171" t="n"/>
      <c r="CF116" s="171" t="n"/>
      <c r="CG116" s="171" t="n"/>
      <c r="CH116" s="171" t="n"/>
      <c r="CI116" s="171" t="n"/>
      <c r="CJ116" s="171" t="n"/>
      <c r="CK116" s="171" t="n"/>
      <c r="CL116" s="171" t="n"/>
    </row>
    <row r="117">
      <c r="A117" s="171" t="n"/>
      <c r="B117" s="242" t="n"/>
      <c r="C117" s="243" t="inlineStr">
        <is>
          <t>엘지유플러스</t>
        </is>
      </c>
      <c r="D117" s="243" t="inlineStr">
        <is>
          <t>전기차</t>
        </is>
      </c>
      <c r="E117" s="204" t="inlineStr">
        <is>
          <t>구래동</t>
        </is>
      </c>
      <c r="F117" s="205" t="n">
        <v>0.4791666666666667</v>
      </c>
      <c r="G117" s="244" t="n">
        <v>81180</v>
      </c>
      <c r="H117" s="204" t="inlineStr">
        <is>
          <t>정성관</t>
        </is>
      </c>
      <c r="I117" s="207" t="n"/>
      <c r="J117" s="245" t="n"/>
      <c r="K117" s="209" t="n"/>
      <c r="L117" s="210" t="n"/>
      <c r="M117" s="246" t="n"/>
      <c r="N117" s="171" t="n"/>
      <c r="O117" s="242" t="n"/>
      <c r="P117" s="243" t="n"/>
      <c r="Q117" s="243" t="n"/>
      <c r="R117" s="204" t="n"/>
      <c r="S117" s="205" t="n"/>
      <c r="T117" s="244" t="n"/>
      <c r="U117" s="204" t="n"/>
      <c r="V117" s="207" t="n"/>
      <c r="W117" s="245" t="n"/>
      <c r="X117" s="209" t="n"/>
      <c r="Y117" s="210" t="n"/>
      <c r="Z117" s="246" t="n"/>
      <c r="AA117" s="171" t="n"/>
      <c r="AB117" s="242" t="n"/>
      <c r="AC117" s="243" t="inlineStr">
        <is>
          <t>골드라인6개소</t>
        </is>
      </c>
      <c r="AD117" s="243" t="n"/>
      <c r="AE117" s="204" t="n"/>
      <c r="AF117" s="205" t="n"/>
      <c r="AG117" s="244" t="n">
        <v>465320</v>
      </c>
      <c r="AH117" s="204" t="inlineStr">
        <is>
          <t>변종국</t>
        </is>
      </c>
      <c r="AI117" s="207" t="n"/>
      <c r="AJ117" s="245" t="n"/>
      <c r="AK117" s="209" t="n"/>
      <c r="AL117" s="210" t="n"/>
      <c r="AM117" s="246" t="n"/>
      <c r="AN117" s="171" t="n"/>
      <c r="AO117" s="242" t="n"/>
      <c r="AP117" s="243" t="inlineStr">
        <is>
          <t>김포제조융합혁신</t>
        </is>
      </c>
      <c r="AQ117" s="243" t="inlineStr">
        <is>
          <t>950/227</t>
        </is>
      </c>
      <c r="AR117" s="204" t="inlineStr">
        <is>
          <t>학운리</t>
        </is>
      </c>
      <c r="AS117" s="205" t="n">
        <v>0.5833333333333334</v>
      </c>
      <c r="AT117" s="244" t="n">
        <v>1093180</v>
      </c>
      <c r="AU117" s="204" t="n"/>
      <c r="AV117" s="207" t="n"/>
      <c r="AW117" s="245" t="n"/>
      <c r="AX117" s="209" t="n"/>
      <c r="AY117" s="210" t="n"/>
      <c r="AZ117" s="246" t="n"/>
      <c r="BA117" s="171" t="n"/>
      <c r="BB117" s="242" t="n"/>
      <c r="BC117" s="243" t="inlineStr">
        <is>
          <t>마송lh5단지</t>
        </is>
      </c>
      <c r="BD117" s="243" t="inlineStr">
        <is>
          <t>전기차</t>
        </is>
      </c>
      <c r="BE117" s="204" t="inlineStr">
        <is>
          <t>마송리</t>
        </is>
      </c>
      <c r="BF117" s="205" t="n">
        <v>0.5833333333333334</v>
      </c>
      <c r="BG117" s="244" t="n">
        <v>64240</v>
      </c>
      <c r="BH117" s="204" t="n"/>
      <c r="BI117" s="207" t="n"/>
      <c r="BJ117" s="245" t="n"/>
      <c r="BK117" s="209" t="n"/>
      <c r="BL117" s="210" t="n"/>
      <c r="BM117" s="246" t="n"/>
      <c r="BN117" s="171" t="n"/>
      <c r="BO117" s="171" t="n"/>
      <c r="BP117" s="171" t="n"/>
      <c r="BQ117" s="171" t="n"/>
      <c r="BR117" s="171" t="n"/>
      <c r="BS117" s="171" t="n"/>
      <c r="BT117" s="171" t="n"/>
      <c r="BU117" s="171" t="n"/>
      <c r="BV117" s="171" t="n"/>
      <c r="BW117" s="171" t="n"/>
      <c r="BX117" s="171" t="n"/>
      <c r="BY117" s="171" t="n"/>
      <c r="BZ117" s="171" t="n"/>
      <c r="CA117" s="171" t="n"/>
      <c r="CB117" s="171" t="n"/>
      <c r="CC117" s="171" t="n"/>
      <c r="CD117" s="171" t="n"/>
      <c r="CE117" s="171" t="n"/>
      <c r="CF117" s="171" t="n"/>
      <c r="CG117" s="171" t="n"/>
      <c r="CH117" s="171" t="n"/>
      <c r="CI117" s="171" t="n"/>
      <c r="CJ117" s="171" t="n"/>
      <c r="CK117" s="171" t="n"/>
      <c r="CL117" s="171" t="n"/>
    </row>
    <row r="118">
      <c r="A118" s="171" t="n"/>
      <c r="B118" s="242" t="n"/>
      <c r="C118" s="243" t="inlineStr">
        <is>
          <t>케이이파워</t>
        </is>
      </c>
      <c r="D118" s="243" t="n">
        <v>150</v>
      </c>
      <c r="E118" s="204" t="inlineStr">
        <is>
          <t>송마리</t>
        </is>
      </c>
      <c r="F118" s="205" t="n">
        <v>0.4791666666666667</v>
      </c>
      <c r="G118" s="244" t="n">
        <v>424160</v>
      </c>
      <c r="H118" s="204" t="inlineStr">
        <is>
          <t>김영권</t>
        </is>
      </c>
      <c r="I118" s="207" t="n"/>
      <c r="J118" s="245" t="n"/>
      <c r="K118" s="209" t="n"/>
      <c r="L118" s="210" t="n"/>
      <c r="M118" s="246" t="n"/>
      <c r="N118" s="171" t="n"/>
      <c r="O118" s="242" t="n"/>
      <c r="P118" s="243" t="n"/>
      <c r="Q118" s="243" t="n"/>
      <c r="R118" s="204" t="n"/>
      <c r="S118" s="205" t="n"/>
      <c r="T118" s="244" t="n"/>
      <c r="U118" s="204" t="n"/>
      <c r="V118" s="207" t="n"/>
      <c r="W118" s="245" t="n"/>
      <c r="X118" s="209" t="n"/>
      <c r="Y118" s="210" t="n"/>
      <c r="Z118" s="246" t="n"/>
      <c r="AA118" s="171" t="n"/>
      <c r="AB118" s="242" t="n"/>
      <c r="AC118" s="243" t="inlineStr">
        <is>
          <t>동일몰딩</t>
        </is>
      </c>
      <c r="AD118" s="243" t="n">
        <v>200</v>
      </c>
      <c r="AE118" s="204" t="inlineStr">
        <is>
          <t>쇄암리</t>
        </is>
      </c>
      <c r="AF118" s="205" t="n">
        <v>0.625</v>
      </c>
      <c r="AG118" s="244" t="n">
        <v>456720</v>
      </c>
      <c r="AH118" s="204" t="inlineStr">
        <is>
          <t>김영권</t>
        </is>
      </c>
      <c r="AI118" s="207" t="n"/>
      <c r="AJ118" s="245" t="n"/>
      <c r="AK118" s="209" t="n"/>
      <c r="AL118" s="210" t="n"/>
      <c r="AM118" s="246" t="n"/>
      <c r="AN118" s="171" t="n"/>
      <c r="AO118" s="242" t="n"/>
      <c r="AP118" s="243" t="inlineStr">
        <is>
          <t>북변산호아파트</t>
        </is>
      </c>
      <c r="AQ118" s="243" t="n">
        <v>360</v>
      </c>
      <c r="AR118" s="204" t="inlineStr">
        <is>
          <t>북변동</t>
        </is>
      </c>
      <c r="AS118" s="205" t="n">
        <v>0.5416666666666666</v>
      </c>
      <c r="AT118" s="244" t="n">
        <v>227150</v>
      </c>
      <c r="AU118" s="204" t="n"/>
      <c r="AV118" s="207" t="n"/>
      <c r="AW118" s="245" t="n"/>
      <c r="AX118" s="209" t="n"/>
      <c r="AY118" s="210" t="n"/>
      <c r="AZ118" s="246" t="n"/>
      <c r="BA118" s="171" t="n"/>
      <c r="BB118" s="242" t="n"/>
      <c r="BC118" s="243" t="inlineStr">
        <is>
          <t>정현메디피마</t>
        </is>
      </c>
      <c r="BD118" s="243" t="inlineStr">
        <is>
          <t>900/290</t>
        </is>
      </c>
      <c r="BE118" s="204" t="inlineStr">
        <is>
          <t>장기동</t>
        </is>
      </c>
      <c r="BF118" s="205" t="n">
        <v>0.2916666666666667</v>
      </c>
      <c r="BG118" s="244" t="n">
        <v>1423400</v>
      </c>
      <c r="BH118" s="204" t="n"/>
      <c r="BI118" s="207" t="n"/>
      <c r="BJ118" s="245" t="n"/>
      <c r="BK118" s="209" t="n"/>
      <c r="BL118" s="210" t="n"/>
      <c r="BM118" s="246" t="n"/>
      <c r="BN118" s="171" t="n"/>
      <c r="BO118" s="171" t="n"/>
      <c r="BP118" s="171" t="n"/>
      <c r="BQ118" s="171" t="n"/>
      <c r="BR118" s="171" t="n"/>
      <c r="BS118" s="171" t="n"/>
      <c r="BT118" s="171" t="n"/>
      <c r="BU118" s="171" t="n"/>
      <c r="BV118" s="171" t="n"/>
      <c r="BW118" s="171" t="n"/>
      <c r="BX118" s="171" t="n"/>
      <c r="BY118" s="171" t="n"/>
      <c r="BZ118" s="171" t="n"/>
      <c r="CA118" s="171" t="n"/>
      <c r="CB118" s="171" t="n"/>
      <c r="CC118" s="171" t="n"/>
      <c r="CD118" s="171" t="n"/>
      <c r="CE118" s="171" t="n"/>
      <c r="CF118" s="171" t="n"/>
      <c r="CG118" s="171" t="n"/>
      <c r="CH118" s="171" t="n"/>
      <c r="CI118" s="171" t="n"/>
      <c r="CJ118" s="171" t="n"/>
      <c r="CK118" s="171" t="n"/>
      <c r="CL118" s="171" t="n"/>
    </row>
    <row r="119">
      <c r="A119" s="171" t="n"/>
      <c r="B119" s="242" t="n"/>
      <c r="C119" s="243" t="inlineStr">
        <is>
          <t>풍무역플라자</t>
        </is>
      </c>
      <c r="D119" s="243" t="inlineStr">
        <is>
          <t>1500/509</t>
        </is>
      </c>
      <c r="E119" s="204" t="inlineStr">
        <is>
          <t>풍무동</t>
        </is>
      </c>
      <c r="F119" s="205" t="n">
        <v>0.2708333333333333</v>
      </c>
      <c r="G119" s="244" t="n">
        <v>1622940</v>
      </c>
      <c r="H119" s="204" t="inlineStr">
        <is>
          <t>이덕기</t>
        </is>
      </c>
      <c r="I119" s="207" t="n"/>
      <c r="J119" s="245" t="n"/>
      <c r="K119" s="209" t="n"/>
      <c r="L119" s="210" t="n"/>
      <c r="M119" s="246" t="n"/>
      <c r="N119" s="171" t="n"/>
      <c r="O119" s="242" t="n"/>
      <c r="P119" s="243" t="n"/>
      <c r="Q119" s="243" t="n"/>
      <c r="R119" s="204" t="n"/>
      <c r="S119" s="205" t="n"/>
      <c r="T119" s="244" t="n"/>
      <c r="U119" s="204" t="n"/>
      <c r="V119" s="207" t="n"/>
      <c r="W119" s="245" t="n"/>
      <c r="X119" s="209" t="n"/>
      <c r="Y119" s="210" t="n"/>
      <c r="Z119" s="246" t="n"/>
      <c r="AA119" s="171" t="n"/>
      <c r="AB119" s="242" t="n"/>
      <c r="AC119" s="243" t="inlineStr">
        <is>
          <t>제이에이치코퍼레이션</t>
        </is>
      </c>
      <c r="AD119" s="243" t="n">
        <v>290</v>
      </c>
      <c r="AE119" s="204" t="inlineStr">
        <is>
          <t>양택리</t>
        </is>
      </c>
      <c r="AF119" s="205" t="n">
        <v>0.3958333333333333</v>
      </c>
      <c r="AG119" s="244" t="n">
        <v>515130</v>
      </c>
      <c r="AH119" s="204" t="inlineStr">
        <is>
          <t>정성관</t>
        </is>
      </c>
      <c r="AI119" s="207" t="n"/>
      <c r="AJ119" s="245" t="n"/>
      <c r="AK119" s="209" t="n"/>
      <c r="AL119" s="210" t="n"/>
      <c r="AM119" s="246" t="n"/>
      <c r="AN119" s="171" t="n"/>
      <c r="AO119" s="242" t="n"/>
      <c r="AP119" s="243" t="inlineStr">
        <is>
          <t>김포크리스탈</t>
        </is>
      </c>
      <c r="AQ119" s="243" t="n">
        <v>800</v>
      </c>
      <c r="AR119" s="204" t="inlineStr">
        <is>
          <t>송마리</t>
        </is>
      </c>
      <c r="AS119" s="205" t="n">
        <v>0.4791666666666667</v>
      </c>
      <c r="AT119" s="244" t="n">
        <v>838640</v>
      </c>
      <c r="AU119" s="204" t="n"/>
      <c r="AV119" s="207" t="n"/>
      <c r="AW119" s="245" t="n"/>
      <c r="AX119" s="209" t="n"/>
      <c r="AY119" s="210" t="n"/>
      <c r="AZ119" s="246" t="n"/>
      <c r="BA119" s="171" t="n"/>
      <c r="BB119" s="242" t="n"/>
      <c r="BC119" s="243" t="n"/>
      <c r="BD119" s="243" t="n"/>
      <c r="BE119" s="204" t="n"/>
      <c r="BF119" s="205" t="n"/>
      <c r="BG119" s="244" t="n"/>
      <c r="BH119" s="204" t="n"/>
      <c r="BI119" s="207" t="n"/>
      <c r="BJ119" s="245" t="n"/>
      <c r="BK119" s="209" t="n"/>
      <c r="BL119" s="210" t="n"/>
      <c r="BM119" s="246" t="n"/>
      <c r="BN119" s="171" t="n"/>
      <c r="BO119" s="171" t="n"/>
      <c r="BP119" s="171" t="n"/>
      <c r="BQ119" s="171" t="n"/>
      <c r="BR119" s="171" t="n"/>
      <c r="BS119" s="171" t="n"/>
      <c r="BT119" s="171" t="n"/>
      <c r="BU119" s="171" t="n"/>
      <c r="BV119" s="171" t="n"/>
      <c r="BW119" s="171" t="n"/>
      <c r="BX119" s="171" t="n"/>
      <c r="BY119" s="171" t="n"/>
      <c r="BZ119" s="171" t="n"/>
      <c r="CA119" s="171" t="n"/>
      <c r="CB119" s="171" t="n"/>
      <c r="CC119" s="171" t="n"/>
      <c r="CD119" s="171" t="n"/>
      <c r="CE119" s="171" t="n"/>
      <c r="CF119" s="171" t="n"/>
      <c r="CG119" s="171" t="n"/>
      <c r="CH119" s="171" t="n"/>
      <c r="CI119" s="171" t="n"/>
      <c r="CJ119" s="171" t="n"/>
      <c r="CK119" s="171" t="n"/>
      <c r="CL119" s="171" t="n"/>
    </row>
    <row r="120">
      <c r="A120" s="171" t="n"/>
      <c r="B120" s="242" t="n"/>
      <c r="C120" s="243" t="inlineStr">
        <is>
          <t>풍무역플라자</t>
        </is>
      </c>
      <c r="D120" s="243" t="n">
        <v>750</v>
      </c>
      <c r="E120" s="204" t="inlineStr">
        <is>
          <t>풍무동</t>
        </is>
      </c>
      <c r="F120" s="205" t="n">
        <v>0.2708333333333333</v>
      </c>
      <c r="G120" s="244" t="n">
        <v>1068210</v>
      </c>
      <c r="H120" s="204" t="inlineStr">
        <is>
          <t>이덕기</t>
        </is>
      </c>
      <c r="I120" s="207" t="n"/>
      <c r="J120" s="245" t="n"/>
      <c r="K120" s="209" t="n"/>
      <c r="L120" s="210" t="n"/>
      <c r="M120" s="246" t="n"/>
      <c r="N120" s="171" t="n"/>
      <c r="O120" s="242" t="n"/>
      <c r="P120" s="243" t="n"/>
      <c r="Q120" s="243" t="n"/>
      <c r="R120" s="204" t="n"/>
      <c r="S120" s="205" t="n"/>
      <c r="T120" s="244" t="n"/>
      <c r="U120" s="204" t="n"/>
      <c r="V120" s="207" t="n"/>
      <c r="W120" s="245" t="n"/>
      <c r="X120" s="209" t="n"/>
      <c r="Y120" s="210" t="n"/>
      <c r="Z120" s="246" t="n"/>
      <c r="AA120" s="171" t="n"/>
      <c r="AB120" s="242" t="n"/>
      <c r="AC120" s="243" t="inlineStr">
        <is>
          <t>미일화학</t>
        </is>
      </c>
      <c r="AD120" s="243" t="n">
        <v>400</v>
      </c>
      <c r="AE120" s="204" t="inlineStr">
        <is>
          <t>대능리</t>
        </is>
      </c>
      <c r="AF120" s="205" t="n">
        <v>0.4166666666666667</v>
      </c>
      <c r="AG120" s="244" t="n">
        <v>703120</v>
      </c>
      <c r="AH120" s="204" t="inlineStr">
        <is>
          <t>이덕기</t>
        </is>
      </c>
      <c r="AI120" s="207" t="n"/>
      <c r="AJ120" s="245" t="n"/>
      <c r="AK120" s="209" t="n"/>
      <c r="AL120" s="210" t="n"/>
      <c r="AM120" s="246" t="n"/>
      <c r="AN120" s="171" t="n"/>
      <c r="AO120" s="242" t="n"/>
      <c r="AP120" s="243" t="inlineStr">
        <is>
          <t>대광단조</t>
        </is>
      </c>
      <c r="AQ120" s="243" t="n">
        <v>290</v>
      </c>
      <c r="AR120" s="204" t="inlineStr">
        <is>
          <t>학운리</t>
        </is>
      </c>
      <c r="AS120" s="205" t="n">
        <v>0.4166666666666667</v>
      </c>
      <c r="AT120" s="244" t="n">
        <v>515130</v>
      </c>
      <c r="AU120" s="204" t="n"/>
      <c r="AV120" s="207" t="n"/>
      <c r="AW120" s="245" t="n"/>
      <c r="AX120" s="209" t="n"/>
      <c r="AY120" s="210" t="n"/>
      <c r="AZ120" s="246" t="n"/>
      <c r="BA120" s="171" t="n"/>
      <c r="BB120" s="242" t="n"/>
      <c r="BC120" s="243" t="n"/>
      <c r="BD120" s="243" t="n"/>
      <c r="BE120" s="204" t="n"/>
      <c r="BF120" s="205" t="n"/>
      <c r="BG120" s="244" t="n"/>
      <c r="BH120" s="204" t="n"/>
      <c r="BI120" s="207" t="n"/>
      <c r="BJ120" s="245" t="n"/>
      <c r="BK120" s="209" t="n"/>
      <c r="BL120" s="210" t="n"/>
      <c r="BM120" s="246" t="n"/>
      <c r="BN120" s="171" t="n"/>
      <c r="BO120" s="171" t="n"/>
      <c r="BP120" s="171" t="n"/>
      <c r="BQ120" s="171" t="n"/>
      <c r="BR120" s="171" t="n"/>
      <c r="BS120" s="171" t="n"/>
      <c r="BT120" s="171" t="n"/>
      <c r="BU120" s="171" t="n"/>
      <c r="BV120" s="171" t="n"/>
      <c r="BW120" s="171" t="n"/>
      <c r="BX120" s="171" t="n"/>
      <c r="BY120" s="171" t="n"/>
      <c r="BZ120" s="171" t="n"/>
      <c r="CA120" s="171" t="n"/>
      <c r="CB120" s="171" t="n"/>
      <c r="CC120" s="171" t="n"/>
      <c r="CD120" s="171" t="n"/>
      <c r="CE120" s="171" t="n"/>
      <c r="CF120" s="171" t="n"/>
      <c r="CG120" s="171" t="n"/>
      <c r="CH120" s="171" t="n"/>
      <c r="CI120" s="171" t="n"/>
      <c r="CJ120" s="171" t="n"/>
      <c r="CK120" s="171" t="n"/>
      <c r="CL120" s="171" t="n"/>
    </row>
    <row r="121">
      <c r="A121" s="171" t="n"/>
      <c r="B121" s="242" t="n"/>
      <c r="C121" s="243" t="inlineStr">
        <is>
          <t>기산프라스틱</t>
        </is>
      </c>
      <c r="D121" s="243" t="n">
        <v>200</v>
      </c>
      <c r="E121" s="204" t="inlineStr">
        <is>
          <t>옹정리</t>
        </is>
      </c>
      <c r="F121" s="205" t="n">
        <v>0.4791666666666667</v>
      </c>
      <c r="G121" s="244" t="n">
        <v>456720</v>
      </c>
      <c r="H121" s="204" t="inlineStr">
        <is>
          <t>이덕기</t>
        </is>
      </c>
      <c r="I121" s="207" t="n"/>
      <c r="J121" s="245" t="n"/>
      <c r="K121" s="209" t="n"/>
      <c r="L121" s="210" t="n"/>
      <c r="M121" s="246" t="n"/>
      <c r="N121" s="171" t="n"/>
      <c r="O121" s="242" t="n"/>
      <c r="P121" s="243" t="n"/>
      <c r="Q121" s="243" t="n"/>
      <c r="R121" s="204" t="n"/>
      <c r="S121" s="205" t="n"/>
      <c r="T121" s="244" t="n"/>
      <c r="U121" s="204" t="n"/>
      <c r="V121" s="207" t="n"/>
      <c r="W121" s="245" t="n"/>
      <c r="X121" s="209" t="n"/>
      <c r="Y121" s="210" t="n"/>
      <c r="Z121" s="246" t="n"/>
      <c r="AA121" s="171" t="n"/>
      <c r="AB121" s="242" t="n"/>
      <c r="AC121" s="243" t="inlineStr">
        <is>
          <t>영남산업</t>
        </is>
      </c>
      <c r="AD121" s="243" t="n">
        <v>200</v>
      </c>
      <c r="AE121" s="204" t="inlineStr">
        <is>
          <t>대명리</t>
        </is>
      </c>
      <c r="AF121" s="205" t="n">
        <v>0.4583333333333333</v>
      </c>
      <c r="AG121" s="244" t="n">
        <v>456720</v>
      </c>
      <c r="AH121" s="204" t="inlineStr">
        <is>
          <t>송낙명</t>
        </is>
      </c>
      <c r="AI121" s="207" t="n"/>
      <c r="AJ121" s="245" t="n"/>
      <c r="AK121" s="209" t="n"/>
      <c r="AL121" s="210" t="n"/>
      <c r="AM121" s="246" t="n"/>
      <c r="AN121" s="171" t="n"/>
      <c r="AO121" s="242" t="n"/>
      <c r="AP121" s="243" t="n"/>
      <c r="AQ121" s="243" t="n"/>
      <c r="AR121" s="204" t="n"/>
      <c r="AS121" s="205" t="n"/>
      <c r="AT121" s="244" t="n"/>
      <c r="AU121" s="204" t="n"/>
      <c r="AV121" s="207" t="n"/>
      <c r="AW121" s="245" t="n"/>
      <c r="AX121" s="209" t="n"/>
      <c r="AY121" s="210" t="n"/>
      <c r="AZ121" s="246" t="n"/>
      <c r="BA121" s="171" t="n"/>
      <c r="BB121" s="242" t="n"/>
      <c r="BC121" s="243" t="n"/>
      <c r="BD121" s="243" t="n"/>
      <c r="BE121" s="204" t="n"/>
      <c r="BF121" s="205" t="n"/>
      <c r="BG121" s="244" t="n"/>
      <c r="BH121" s="204" t="n"/>
      <c r="BI121" s="207" t="n"/>
      <c r="BJ121" s="245" t="n"/>
      <c r="BK121" s="209" t="n"/>
      <c r="BL121" s="210" t="n"/>
      <c r="BM121" s="246" t="n"/>
      <c r="BN121" s="171" t="n"/>
      <c r="BO121" s="171" t="n"/>
      <c r="BP121" s="171" t="n"/>
      <c r="BQ121" s="171" t="n"/>
      <c r="BR121" s="171" t="n"/>
      <c r="BS121" s="171" t="n"/>
      <c r="BT121" s="171" t="n"/>
      <c r="BU121" s="171" t="n"/>
      <c r="BV121" s="171" t="n"/>
      <c r="BW121" s="171" t="n"/>
      <c r="BX121" s="171" t="n"/>
      <c r="BY121" s="171" t="n"/>
      <c r="BZ121" s="171" t="n"/>
      <c r="CA121" s="171" t="n"/>
      <c r="CB121" s="171" t="n"/>
      <c r="CC121" s="171" t="n"/>
      <c r="CD121" s="171" t="n"/>
      <c r="CE121" s="171" t="n"/>
      <c r="CF121" s="171" t="n"/>
      <c r="CG121" s="171" t="n"/>
      <c r="CH121" s="171" t="n"/>
      <c r="CI121" s="171" t="n"/>
      <c r="CJ121" s="171" t="n"/>
      <c r="CK121" s="171" t="n"/>
      <c r="CL121" s="171" t="n"/>
    </row>
    <row r="122">
      <c r="A122" s="171" t="n"/>
      <c r="B122" s="242" t="n"/>
      <c r="C122" s="243" t="n"/>
      <c r="D122" s="243" t="n"/>
      <c r="E122" s="204" t="n"/>
      <c r="F122" s="205" t="n"/>
      <c r="G122" s="244" t="n"/>
      <c r="H122" s="204" t="n"/>
      <c r="I122" s="207" t="n"/>
      <c r="J122" s="245" t="n"/>
      <c r="K122" s="209" t="n"/>
      <c r="L122" s="210" t="n"/>
      <c r="M122" s="246" t="n"/>
      <c r="N122" s="171" t="n"/>
      <c r="O122" s="242" t="n"/>
      <c r="P122" s="243" t="n"/>
      <c r="Q122" s="243" t="n"/>
      <c r="R122" s="204" t="n"/>
      <c r="S122" s="205" t="n"/>
      <c r="T122" s="244" t="n"/>
      <c r="U122" s="204" t="n"/>
      <c r="V122" s="207" t="n"/>
      <c r="W122" s="245" t="n"/>
      <c r="X122" s="209" t="n"/>
      <c r="Y122" s="210" t="n"/>
      <c r="Z122" s="246" t="n"/>
      <c r="AA122" s="171" t="n"/>
      <c r="AB122" s="242" t="n"/>
      <c r="AC122" s="243" t="n"/>
      <c r="AD122" s="243" t="n"/>
      <c r="AE122" s="204" t="n"/>
      <c r="AF122" s="205" t="n"/>
      <c r="AG122" s="244" t="n"/>
      <c r="AH122" s="204" t="n"/>
      <c r="AI122" s="207" t="n"/>
      <c r="AJ122" s="245" t="n"/>
      <c r="AK122" s="209" t="n"/>
      <c r="AL122" s="210" t="n"/>
      <c r="AM122" s="246" t="n"/>
      <c r="AN122" s="171" t="n"/>
      <c r="AO122" s="242" t="n"/>
      <c r="AP122" s="243" t="n"/>
      <c r="AQ122" s="243" t="n"/>
      <c r="AR122" s="204" t="n"/>
      <c r="AS122" s="205" t="n"/>
      <c r="AT122" s="244" t="n"/>
      <c r="AU122" s="204" t="n"/>
      <c r="AV122" s="207" t="n"/>
      <c r="AW122" s="245" t="n"/>
      <c r="AX122" s="209" t="n"/>
      <c r="AY122" s="210" t="n"/>
      <c r="AZ122" s="246" t="n"/>
      <c r="BA122" s="171" t="n"/>
      <c r="BB122" s="242" t="n"/>
      <c r="BC122" s="243" t="n"/>
      <c r="BD122" s="243" t="n"/>
      <c r="BE122" s="204" t="n"/>
      <c r="BF122" s="205" t="n"/>
      <c r="BG122" s="244" t="n"/>
      <c r="BH122" s="204" t="n"/>
      <c r="BI122" s="207" t="n"/>
      <c r="BJ122" s="245" t="n"/>
      <c r="BK122" s="209" t="n"/>
      <c r="BL122" s="210" t="n"/>
      <c r="BM122" s="246" t="n"/>
      <c r="BN122" s="171" t="n"/>
      <c r="BO122" s="171" t="n"/>
      <c r="BP122" s="171" t="n"/>
      <c r="BQ122" s="171" t="n"/>
      <c r="BR122" s="171" t="n"/>
      <c r="BS122" s="171" t="n"/>
      <c r="BT122" s="171" t="n"/>
      <c r="BU122" s="171" t="n"/>
      <c r="BV122" s="171" t="n"/>
      <c r="BW122" s="171" t="n"/>
      <c r="BX122" s="171" t="n"/>
      <c r="BY122" s="171" t="n"/>
      <c r="BZ122" s="171" t="n"/>
      <c r="CA122" s="171" t="n"/>
      <c r="CB122" s="171" t="n"/>
      <c r="CC122" s="171" t="n"/>
      <c r="CD122" s="171" t="n"/>
      <c r="CE122" s="171" t="n"/>
      <c r="CF122" s="171" t="n"/>
      <c r="CG122" s="171" t="n"/>
      <c r="CH122" s="171" t="n"/>
      <c r="CI122" s="171" t="n"/>
      <c r="CJ122" s="171" t="n"/>
      <c r="CK122" s="171" t="n"/>
      <c r="CL122" s="171" t="n"/>
    </row>
    <row r="123">
      <c r="A123" s="171" t="n"/>
      <c r="B123" s="242" t="n"/>
      <c r="C123" s="243" t="n"/>
      <c r="D123" s="243" t="n"/>
      <c r="E123" s="204" t="n"/>
      <c r="F123" s="205" t="n"/>
      <c r="G123" s="244" t="n"/>
      <c r="H123" s="204" t="n"/>
      <c r="I123" s="207" t="n"/>
      <c r="J123" s="245" t="n"/>
      <c r="K123" s="209" t="n"/>
      <c r="L123" s="210" t="n"/>
      <c r="M123" s="246" t="n"/>
      <c r="N123" s="171" t="n"/>
      <c r="O123" s="242" t="n"/>
      <c r="P123" s="243" t="n"/>
      <c r="Q123" s="243" t="n"/>
      <c r="R123" s="204" t="n"/>
      <c r="S123" s="205" t="n"/>
      <c r="T123" s="244" t="n"/>
      <c r="U123" s="204" t="n"/>
      <c r="V123" s="207" t="n"/>
      <c r="W123" s="245" t="n"/>
      <c r="X123" s="209" t="n"/>
      <c r="Y123" s="210" t="n"/>
      <c r="Z123" s="246" t="n"/>
      <c r="AA123" s="171" t="n"/>
      <c r="AB123" s="242" t="n"/>
      <c r="AC123" s="243" t="n"/>
      <c r="AD123" s="243" t="n"/>
      <c r="AE123" s="204" t="n"/>
      <c r="AF123" s="205" t="n"/>
      <c r="AG123" s="244" t="n"/>
      <c r="AH123" s="204" t="n"/>
      <c r="AI123" s="207" t="n"/>
      <c r="AJ123" s="245" t="n"/>
      <c r="AK123" s="209" t="n"/>
      <c r="AL123" s="210" t="n"/>
      <c r="AM123" s="246" t="n"/>
      <c r="AN123" s="171" t="n"/>
      <c r="AO123" s="242" t="n"/>
      <c r="AP123" s="243" t="n"/>
      <c r="AQ123" s="243" t="n"/>
      <c r="AR123" s="204" t="n"/>
      <c r="AS123" s="205" t="n"/>
      <c r="AT123" s="244" t="n"/>
      <c r="AU123" s="204" t="n"/>
      <c r="AV123" s="207" t="n"/>
      <c r="AW123" s="245" t="n"/>
      <c r="AX123" s="209" t="n"/>
      <c r="AY123" s="210" t="n"/>
      <c r="AZ123" s="246" t="n"/>
      <c r="BA123" s="171" t="n"/>
      <c r="BB123" s="242" t="n"/>
      <c r="BC123" s="243" t="n"/>
      <c r="BD123" s="243" t="n"/>
      <c r="BE123" s="204" t="n"/>
      <c r="BF123" s="205" t="n"/>
      <c r="BG123" s="244" t="n"/>
      <c r="BH123" s="204" t="n"/>
      <c r="BI123" s="207" t="n"/>
      <c r="BJ123" s="245" t="n"/>
      <c r="BK123" s="209" t="n"/>
      <c r="BL123" s="210" t="n"/>
      <c r="BM123" s="246" t="n"/>
      <c r="BN123" s="171" t="n"/>
      <c r="BO123" s="171" t="n"/>
      <c r="BP123" s="171" t="n"/>
      <c r="BQ123" s="171" t="n"/>
      <c r="BR123" s="171" t="n"/>
      <c r="BS123" s="171" t="n"/>
      <c r="BT123" s="171" t="n"/>
      <c r="BU123" s="171" t="n"/>
      <c r="BV123" s="171" t="n"/>
      <c r="BW123" s="171" t="n"/>
      <c r="BX123" s="171" t="n"/>
      <c r="BY123" s="171" t="n"/>
      <c r="BZ123" s="171" t="n"/>
      <c r="CA123" s="171" t="n"/>
      <c r="CB123" s="171" t="n"/>
      <c r="CC123" s="171" t="n"/>
      <c r="CD123" s="171" t="n"/>
      <c r="CE123" s="171" t="n"/>
      <c r="CF123" s="171" t="n"/>
      <c r="CG123" s="171" t="n"/>
      <c r="CH123" s="171" t="n"/>
      <c r="CI123" s="171" t="n"/>
      <c r="CJ123" s="171" t="n"/>
      <c r="CK123" s="171" t="n"/>
      <c r="CL123" s="171" t="n"/>
    </row>
    <row r="124" ht="18" customHeight="1" s="22" thickBot="1">
      <c r="A124" s="171" t="n"/>
      <c r="B124" s="252" t="inlineStr">
        <is>
          <t>비고</t>
        </is>
      </c>
      <c r="C124" s="253" t="n"/>
      <c r="D124" s="253" t="n"/>
      <c r="E124" s="253" t="n"/>
      <c r="F124" s="253" t="n"/>
      <c r="G124" s="253" t="n"/>
      <c r="H124" s="253" t="n"/>
      <c r="I124" s="254" t="n"/>
      <c r="J124" s="253" t="n"/>
      <c r="K124" s="253" t="n"/>
      <c r="L124" s="253" t="n"/>
      <c r="M124" s="255" t="n"/>
      <c r="N124" s="171" t="n"/>
      <c r="O124" s="252" t="inlineStr">
        <is>
          <t>비고</t>
        </is>
      </c>
      <c r="P124" s="253" t="n"/>
      <c r="Q124" s="253" t="n"/>
      <c r="R124" s="253" t="n"/>
      <c r="S124" s="253" t="n"/>
      <c r="T124" s="253" t="n"/>
      <c r="U124" s="253" t="n"/>
      <c r="V124" s="254" t="n"/>
      <c r="W124" s="253" t="n"/>
      <c r="X124" s="253" t="n"/>
      <c r="Y124" s="253" t="n"/>
      <c r="Z124" s="255" t="n"/>
      <c r="AA124" s="171" t="n"/>
      <c r="AB124" s="252" t="inlineStr">
        <is>
          <t>비고</t>
        </is>
      </c>
      <c r="AC124" s="253" t="n"/>
      <c r="AD124" s="253" t="n"/>
      <c r="AE124" s="253" t="n"/>
      <c r="AF124" s="253" t="n"/>
      <c r="AG124" s="253" t="n"/>
      <c r="AH124" s="253" t="n"/>
      <c r="AI124" s="254" t="n"/>
      <c r="AJ124" s="253" t="n"/>
      <c r="AK124" s="253" t="n"/>
      <c r="AL124" s="253" t="n"/>
      <c r="AM124" s="255" t="n"/>
      <c r="AN124" s="171" t="n"/>
      <c r="AO124" s="252" t="inlineStr">
        <is>
          <t>비고</t>
        </is>
      </c>
      <c r="AP124" s="253" t="n"/>
      <c r="AQ124" s="253" t="n"/>
      <c r="AR124" s="253" t="n"/>
      <c r="AS124" s="253" t="n"/>
      <c r="AT124" s="253" t="n"/>
      <c r="AU124" s="253" t="n"/>
      <c r="AV124" s="254" t="n"/>
      <c r="AW124" s="253" t="n"/>
      <c r="AX124" s="253" t="n"/>
      <c r="AY124" s="253" t="n"/>
      <c r="AZ124" s="255" t="n"/>
      <c r="BA124" s="171" t="n"/>
      <c r="BB124" s="252" t="inlineStr">
        <is>
          <t>비고</t>
        </is>
      </c>
      <c r="BC124" s="253" t="n"/>
      <c r="BD124" s="253" t="n"/>
      <c r="BE124" s="253" t="n"/>
      <c r="BF124" s="253" t="n"/>
      <c r="BG124" s="253" t="n"/>
      <c r="BH124" s="253" t="n"/>
      <c r="BI124" s="254" t="n"/>
      <c r="BJ124" s="253" t="n"/>
      <c r="BK124" s="253" t="n"/>
      <c r="BL124" s="253" t="n"/>
      <c r="BM124" s="255" t="n"/>
      <c r="BN124" s="171" t="n"/>
      <c r="BO124" s="171" t="n"/>
      <c r="BP124" s="171" t="n"/>
      <c r="BQ124" s="171" t="n"/>
      <c r="BR124" s="171" t="n"/>
      <c r="BS124" s="171" t="n"/>
      <c r="BT124" s="171" t="n"/>
      <c r="BU124" s="171" t="n"/>
      <c r="BV124" s="171" t="n"/>
      <c r="BW124" s="171" t="n"/>
      <c r="BX124" s="171" t="n"/>
      <c r="BY124" s="171" t="n"/>
      <c r="BZ124" s="171" t="n"/>
      <c r="CA124" s="171" t="n"/>
      <c r="CB124" s="171" t="n"/>
      <c r="CC124" s="171" t="n"/>
      <c r="CD124" s="171" t="n"/>
      <c r="CE124" s="171" t="n"/>
      <c r="CF124" s="171" t="n"/>
      <c r="CG124" s="171" t="n"/>
      <c r="CH124" s="171" t="n"/>
      <c r="CI124" s="171" t="n"/>
      <c r="CJ124" s="171" t="n"/>
      <c r="CK124" s="171" t="n"/>
      <c r="CL124" s="171" t="n"/>
    </row>
    <row r="125" ht="19.8" customHeight="1" s="22" thickBot="1">
      <c r="A125" s="171" t="n"/>
      <c r="B125" s="232" t="n">
        <v>46298</v>
      </c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233" t="inlineStr">
        <is>
          <t>(토)</t>
        </is>
      </c>
      <c r="N125" s="171" t="n"/>
      <c r="O125" s="232" t="n">
        <v>46305</v>
      </c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233" t="inlineStr">
        <is>
          <t>(토)</t>
        </is>
      </c>
      <c r="AA125" s="171" t="n"/>
      <c r="AB125" s="232" t="n">
        <v>46312</v>
      </c>
      <c r="AD125" s="171" t="n"/>
      <c r="AE125" s="171" t="n"/>
      <c r="AF125" s="171" t="n"/>
      <c r="AG125" s="171" t="n"/>
      <c r="AH125" s="171" t="n"/>
      <c r="AI125" s="171" t="n"/>
      <c r="AJ125" s="171" t="n"/>
      <c r="AK125" s="171" t="n"/>
      <c r="AL125" s="171" t="n"/>
      <c r="AM125" s="233" t="inlineStr">
        <is>
          <t>(토)</t>
        </is>
      </c>
      <c r="AN125" s="171" t="n"/>
      <c r="AO125" s="232" t="n">
        <v>46319</v>
      </c>
      <c r="AQ125" s="171" t="n"/>
      <c r="AR125" s="171" t="n"/>
      <c r="AS125" s="171" t="n"/>
      <c r="AT125" s="171" t="n"/>
      <c r="AU125" s="171" t="n"/>
      <c r="AV125" s="171" t="n"/>
      <c r="AW125" s="171" t="n"/>
      <c r="AX125" s="171" t="n"/>
      <c r="AY125" s="171" t="n"/>
      <c r="AZ125" s="233" t="inlineStr">
        <is>
          <t>(토)</t>
        </is>
      </c>
      <c r="BA125" s="171" t="n"/>
      <c r="BB125" s="232" t="n">
        <v>46326</v>
      </c>
      <c r="BD125" s="171" t="n"/>
      <c r="BE125" s="171" t="n"/>
      <c r="BF125" s="171" t="n"/>
      <c r="BG125" s="171" t="n"/>
      <c r="BH125" s="171" t="n"/>
      <c r="BI125" s="171" t="n"/>
      <c r="BJ125" s="171" t="n"/>
      <c r="BK125" s="171" t="n"/>
      <c r="BL125" s="171" t="n"/>
      <c r="BM125" s="233" t="inlineStr">
        <is>
          <t>(토)</t>
        </is>
      </c>
      <c r="BN125" s="171" t="n"/>
      <c r="BO125" s="171" t="n"/>
      <c r="BP125" s="171" t="n"/>
      <c r="BQ125" s="171" t="n"/>
      <c r="BR125" s="171" t="n"/>
      <c r="BS125" s="171" t="n"/>
      <c r="BT125" s="171" t="n"/>
      <c r="BU125" s="171" t="n"/>
      <c r="BV125" s="171" t="n"/>
      <c r="BW125" s="171" t="n"/>
      <c r="BX125" s="171" t="n"/>
      <c r="BY125" s="171" t="n"/>
      <c r="BZ125" s="171" t="n"/>
      <c r="CA125" s="171" t="n"/>
      <c r="CB125" s="171" t="n"/>
      <c r="CC125" s="171" t="n"/>
      <c r="CD125" s="171" t="n"/>
      <c r="CE125" s="171" t="n"/>
      <c r="CF125" s="171" t="n"/>
      <c r="CG125" s="171" t="n"/>
      <c r="CH125" s="171" t="n"/>
      <c r="CI125" s="171" t="n"/>
      <c r="CJ125" s="171" t="n"/>
      <c r="CK125" s="171" t="n"/>
      <c r="CL125" s="171" t="n"/>
    </row>
    <row r="126">
      <c r="A126" s="171" t="n"/>
      <c r="B126" s="234" t="inlineStr">
        <is>
          <t>정기검사</t>
        </is>
      </c>
      <c r="C126" s="235" t="n"/>
      <c r="D126" s="235" t="n"/>
      <c r="E126" s="235" t="n"/>
      <c r="F126" s="235" t="n"/>
      <c r="G126" s="235" t="n"/>
      <c r="H126" s="235" t="n"/>
      <c r="I126" s="236" t="inlineStr">
        <is>
          <t>사용전검사</t>
        </is>
      </c>
      <c r="J126" s="237" t="n"/>
      <c r="K126" s="237" t="n"/>
      <c r="L126" s="237" t="n"/>
      <c r="M126" s="238" t="n"/>
      <c r="N126" s="171" t="n"/>
      <c r="O126" s="234" t="inlineStr">
        <is>
          <t>정기검사</t>
        </is>
      </c>
      <c r="P126" s="235" t="n"/>
      <c r="Q126" s="235" t="n"/>
      <c r="R126" s="235" t="n"/>
      <c r="S126" s="235" t="n"/>
      <c r="T126" s="235" t="n"/>
      <c r="U126" s="235" t="n"/>
      <c r="V126" s="236" t="inlineStr">
        <is>
          <t>사용전검사</t>
        </is>
      </c>
      <c r="W126" s="237" t="n"/>
      <c r="X126" s="237" t="n"/>
      <c r="Y126" s="237" t="n"/>
      <c r="Z126" s="238" t="n"/>
      <c r="AA126" s="171" t="n"/>
      <c r="AB126" s="234" t="inlineStr">
        <is>
          <t>정기검사</t>
        </is>
      </c>
      <c r="AC126" s="235" t="n"/>
      <c r="AD126" s="235" t="n"/>
      <c r="AE126" s="235" t="n"/>
      <c r="AF126" s="235" t="n"/>
      <c r="AG126" s="235" t="n"/>
      <c r="AH126" s="235" t="n"/>
      <c r="AI126" s="236" t="inlineStr">
        <is>
          <t>사용전검사</t>
        </is>
      </c>
      <c r="AJ126" s="237" t="n"/>
      <c r="AK126" s="237" t="n"/>
      <c r="AL126" s="237" t="n"/>
      <c r="AM126" s="238" t="n"/>
      <c r="AN126" s="171" t="n"/>
      <c r="AO126" s="234" t="inlineStr">
        <is>
          <t>정기검사</t>
        </is>
      </c>
      <c r="AP126" s="235" t="n"/>
      <c r="AQ126" s="235" t="n"/>
      <c r="AR126" s="235" t="n"/>
      <c r="AS126" s="235" t="n"/>
      <c r="AT126" s="235" t="n"/>
      <c r="AU126" s="235" t="n"/>
      <c r="AV126" s="236" t="inlineStr">
        <is>
          <t>사용전검사</t>
        </is>
      </c>
      <c r="AW126" s="237" t="n"/>
      <c r="AX126" s="237" t="n"/>
      <c r="AY126" s="237" t="n"/>
      <c r="AZ126" s="238" t="n"/>
      <c r="BA126" s="171" t="n"/>
      <c r="BB126" s="234" t="inlineStr">
        <is>
          <t>정기검사</t>
        </is>
      </c>
      <c r="BC126" s="235" t="n"/>
      <c r="BD126" s="235" t="n"/>
      <c r="BE126" s="235" t="n"/>
      <c r="BF126" s="235" t="n"/>
      <c r="BG126" s="235" t="n"/>
      <c r="BH126" s="235" t="n"/>
      <c r="BI126" s="236" t="inlineStr">
        <is>
          <t>사용전검사</t>
        </is>
      </c>
      <c r="BJ126" s="237" t="n"/>
      <c r="BK126" s="237" t="n"/>
      <c r="BL126" s="237" t="n"/>
      <c r="BM126" s="238" t="n"/>
      <c r="BN126" s="171" t="n"/>
      <c r="BO126" s="171" t="n"/>
      <c r="BP126" s="171" t="n"/>
      <c r="BQ126" s="171" t="n"/>
      <c r="BR126" s="171" t="n"/>
      <c r="BS126" s="171" t="n"/>
      <c r="BT126" s="171" t="n"/>
      <c r="BU126" s="171" t="n"/>
      <c r="BV126" s="171" t="n"/>
      <c r="BW126" s="171" t="n"/>
      <c r="BX126" s="171" t="n"/>
      <c r="BY126" s="171" t="n"/>
      <c r="BZ126" s="171" t="n"/>
      <c r="CA126" s="171" t="n"/>
      <c r="CB126" s="171" t="n"/>
      <c r="CC126" s="171" t="n"/>
      <c r="CD126" s="171" t="n"/>
      <c r="CE126" s="171" t="n"/>
      <c r="CF126" s="171" t="n"/>
      <c r="CG126" s="171" t="n"/>
      <c r="CH126" s="171" t="n"/>
      <c r="CI126" s="171" t="n"/>
      <c r="CJ126" s="171" t="n"/>
      <c r="CK126" s="171" t="n"/>
      <c r="CL126" s="171" t="n"/>
    </row>
    <row r="127">
      <c r="A127" s="171" t="n"/>
      <c r="B127" s="239" t="inlineStr">
        <is>
          <t>구분</t>
        </is>
      </c>
      <c r="C127" s="240" t="inlineStr">
        <is>
          <t>상호</t>
        </is>
      </c>
      <c r="D127" s="240" t="inlineStr">
        <is>
          <t>용량</t>
        </is>
      </c>
      <c r="E127" s="240" t="inlineStr">
        <is>
          <t>지역</t>
        </is>
      </c>
      <c r="F127" s="240" t="inlineStr">
        <is>
          <t>시간</t>
        </is>
      </c>
      <c r="G127" s="240" t="inlineStr">
        <is>
          <t>수수료</t>
        </is>
      </c>
      <c r="H127" s="240" t="inlineStr">
        <is>
          <t>검사자</t>
        </is>
      </c>
      <c r="I127" s="239" t="inlineStr">
        <is>
          <t>상호</t>
        </is>
      </c>
      <c r="J127" s="240" t="inlineStr">
        <is>
          <t>용량</t>
        </is>
      </c>
      <c r="K127" s="240" t="inlineStr">
        <is>
          <t>지역</t>
        </is>
      </c>
      <c r="L127" s="240" t="inlineStr">
        <is>
          <t>시간</t>
        </is>
      </c>
      <c r="M127" s="241" t="inlineStr">
        <is>
          <t>검사자</t>
        </is>
      </c>
      <c r="N127" s="171" t="n"/>
      <c r="O127" s="239" t="inlineStr">
        <is>
          <t>구분</t>
        </is>
      </c>
      <c r="P127" s="240" t="inlineStr">
        <is>
          <t>상호</t>
        </is>
      </c>
      <c r="Q127" s="240" t="inlineStr">
        <is>
          <t>용량</t>
        </is>
      </c>
      <c r="R127" s="240" t="inlineStr">
        <is>
          <t>지역</t>
        </is>
      </c>
      <c r="S127" s="240" t="inlineStr">
        <is>
          <t>시간</t>
        </is>
      </c>
      <c r="T127" s="240" t="inlineStr">
        <is>
          <t>수수료</t>
        </is>
      </c>
      <c r="U127" s="240" t="inlineStr">
        <is>
          <t>검사자</t>
        </is>
      </c>
      <c r="V127" s="239" t="inlineStr">
        <is>
          <t>상호</t>
        </is>
      </c>
      <c r="W127" s="240" t="inlineStr">
        <is>
          <t>용량</t>
        </is>
      </c>
      <c r="X127" s="240" t="inlineStr">
        <is>
          <t>지역</t>
        </is>
      </c>
      <c r="Y127" s="240" t="inlineStr">
        <is>
          <t>시간</t>
        </is>
      </c>
      <c r="Z127" s="241" t="inlineStr">
        <is>
          <t>검사자</t>
        </is>
      </c>
      <c r="AA127" s="171" t="n"/>
      <c r="AB127" s="239" t="inlineStr">
        <is>
          <t>구분</t>
        </is>
      </c>
      <c r="AC127" s="240" t="inlineStr">
        <is>
          <t>상호</t>
        </is>
      </c>
      <c r="AD127" s="240" t="inlineStr">
        <is>
          <t>용량</t>
        </is>
      </c>
      <c r="AE127" s="240" t="inlineStr">
        <is>
          <t>지역</t>
        </is>
      </c>
      <c r="AF127" s="240" t="inlineStr">
        <is>
          <t>시간</t>
        </is>
      </c>
      <c r="AG127" s="240" t="inlineStr">
        <is>
          <t>수수료</t>
        </is>
      </c>
      <c r="AH127" s="240" t="inlineStr">
        <is>
          <t>검사자</t>
        </is>
      </c>
      <c r="AI127" s="239" t="inlineStr">
        <is>
          <t>상호</t>
        </is>
      </c>
      <c r="AJ127" s="240" t="inlineStr">
        <is>
          <t>용량</t>
        </is>
      </c>
      <c r="AK127" s="240" t="inlineStr">
        <is>
          <t>지역</t>
        </is>
      </c>
      <c r="AL127" s="240" t="inlineStr">
        <is>
          <t>시간</t>
        </is>
      </c>
      <c r="AM127" s="241" t="inlineStr">
        <is>
          <t>검사자</t>
        </is>
      </c>
      <c r="AN127" s="171" t="n"/>
      <c r="AO127" s="239" t="inlineStr">
        <is>
          <t>구분</t>
        </is>
      </c>
      <c r="AP127" s="240" t="inlineStr">
        <is>
          <t>상호</t>
        </is>
      </c>
      <c r="AQ127" s="240" t="inlineStr">
        <is>
          <t>용량</t>
        </is>
      </c>
      <c r="AR127" s="240" t="inlineStr">
        <is>
          <t>지역</t>
        </is>
      </c>
      <c r="AS127" s="240" t="inlineStr">
        <is>
          <t>시간</t>
        </is>
      </c>
      <c r="AT127" s="240" t="inlineStr">
        <is>
          <t>수수료</t>
        </is>
      </c>
      <c r="AU127" s="240" t="inlineStr">
        <is>
          <t>검사자</t>
        </is>
      </c>
      <c r="AV127" s="239" t="inlineStr">
        <is>
          <t>상호</t>
        </is>
      </c>
      <c r="AW127" s="240" t="inlineStr">
        <is>
          <t>용량</t>
        </is>
      </c>
      <c r="AX127" s="240" t="inlineStr">
        <is>
          <t>지역</t>
        </is>
      </c>
      <c r="AY127" s="240" t="inlineStr">
        <is>
          <t>시간</t>
        </is>
      </c>
      <c r="AZ127" s="241" t="inlineStr">
        <is>
          <t>검사자</t>
        </is>
      </c>
      <c r="BA127" s="171" t="n"/>
      <c r="BB127" s="239" t="inlineStr">
        <is>
          <t>구분</t>
        </is>
      </c>
      <c r="BC127" s="240" t="inlineStr">
        <is>
          <t>상호</t>
        </is>
      </c>
      <c r="BD127" s="240" t="inlineStr">
        <is>
          <t>용량</t>
        </is>
      </c>
      <c r="BE127" s="240" t="inlineStr">
        <is>
          <t>지역</t>
        </is>
      </c>
      <c r="BF127" s="240" t="inlineStr">
        <is>
          <t>시간</t>
        </is>
      </c>
      <c r="BG127" s="240" t="inlineStr">
        <is>
          <t>수수료</t>
        </is>
      </c>
      <c r="BH127" s="240" t="inlineStr">
        <is>
          <t>검사자</t>
        </is>
      </c>
      <c r="BI127" s="239" t="inlineStr">
        <is>
          <t>상호</t>
        </is>
      </c>
      <c r="BJ127" s="240" t="inlineStr">
        <is>
          <t>용량</t>
        </is>
      </c>
      <c r="BK127" s="240" t="inlineStr">
        <is>
          <t>지역</t>
        </is>
      </c>
      <c r="BL127" s="240" t="inlineStr">
        <is>
          <t>시간</t>
        </is>
      </c>
      <c r="BM127" s="241" t="inlineStr">
        <is>
          <t>검사자</t>
        </is>
      </c>
      <c r="BN127" s="171" t="n"/>
      <c r="BO127" s="171" t="n"/>
      <c r="BP127" s="171" t="n"/>
      <c r="BQ127" s="171" t="n"/>
      <c r="BR127" s="171" t="n"/>
      <c r="BS127" s="171" t="n"/>
      <c r="BT127" s="171" t="n"/>
      <c r="BU127" s="171" t="n"/>
      <c r="BV127" s="171" t="n"/>
      <c r="BW127" s="171" t="n"/>
      <c r="BX127" s="171" t="n"/>
      <c r="BY127" s="171" t="n"/>
      <c r="BZ127" s="171" t="n"/>
      <c r="CA127" s="171" t="n"/>
      <c r="CB127" s="171" t="n"/>
      <c r="CC127" s="171" t="n"/>
      <c r="CD127" s="171" t="n"/>
      <c r="CE127" s="171" t="n"/>
      <c r="CF127" s="171" t="n"/>
      <c r="CG127" s="171" t="n"/>
      <c r="CH127" s="171" t="n"/>
      <c r="CI127" s="171" t="n"/>
      <c r="CJ127" s="171" t="n"/>
      <c r="CK127" s="171" t="n"/>
      <c r="CL127" s="171" t="n"/>
    </row>
    <row r="128">
      <c r="A128" s="171" t="n"/>
      <c r="B128" s="242" t="inlineStr">
        <is>
          <t>부천지역</t>
        </is>
      </c>
      <c r="C128" s="243" t="inlineStr">
        <is>
          <t>아이피디</t>
        </is>
      </c>
      <c r="D128" s="243" t="n">
        <v>2750</v>
      </c>
      <c r="E128" s="204" t="inlineStr">
        <is>
          <t>도당동</t>
        </is>
      </c>
      <c r="F128" s="205" t="n">
        <v>0.4166666666666667</v>
      </c>
      <c r="G128" s="244" t="n">
        <v>1511070</v>
      </c>
      <c r="H128" s="204" t="n"/>
      <c r="I128" s="207" t="inlineStr">
        <is>
          <t>서수형휴가</t>
        </is>
      </c>
      <c r="J128" s="245" t="n"/>
      <c r="K128" s="209" t="n"/>
      <c r="L128" s="210" t="n"/>
      <c r="M128" s="246" t="n"/>
      <c r="N128" s="171" t="n"/>
      <c r="O128" s="242" t="inlineStr">
        <is>
          <t>부천지역</t>
        </is>
      </c>
      <c r="P128" s="243" t="n"/>
      <c r="Q128" s="243" t="n"/>
      <c r="R128" s="204" t="n"/>
      <c r="S128" s="205" t="n"/>
      <c r="T128" s="244" t="n"/>
      <c r="U128" s="204" t="n"/>
      <c r="V128" s="207" t="inlineStr">
        <is>
          <t>민재홍 휴가</t>
        </is>
      </c>
      <c r="W128" s="245" t="n"/>
      <c r="X128" s="209" t="n"/>
      <c r="Y128" s="210" t="n"/>
      <c r="Z128" s="246" t="n"/>
      <c r="AA128" s="171" t="n"/>
      <c r="AB128" s="242" t="inlineStr">
        <is>
          <t>부천지역</t>
        </is>
      </c>
      <c r="AC128" s="243" t="inlineStr">
        <is>
          <t>성우</t>
        </is>
      </c>
      <c r="AD128" s="243" t="n">
        <v>697</v>
      </c>
      <c r="AE128" s="204" t="inlineStr">
        <is>
          <t>도당동</t>
        </is>
      </c>
      <c r="AF128" s="205" t="n">
        <v>0.5416666666666666</v>
      </c>
      <c r="AG128" s="244" t="n">
        <v>1114190</v>
      </c>
      <c r="AH128" s="204" t="n"/>
      <c r="AI128" s="207" t="inlineStr">
        <is>
          <t>케이랜드</t>
        </is>
      </c>
      <c r="AJ128" s="245" t="inlineStr">
        <is>
          <t>변변</t>
        </is>
      </c>
      <c r="AK128" s="209" t="n"/>
      <c r="AL128" s="210" t="n"/>
      <c r="AM128" s="246" t="n"/>
      <c r="AN128" s="171" t="n"/>
      <c r="AO128" s="242" t="inlineStr">
        <is>
          <t>부천지역</t>
        </is>
      </c>
      <c r="AP128" s="243" t="inlineStr">
        <is>
          <t>화신오피스텔</t>
        </is>
      </c>
      <c r="AQ128" s="243" t="inlineStr">
        <is>
          <t>950/400</t>
        </is>
      </c>
      <c r="AR128" s="204" t="inlineStr">
        <is>
          <t>중동</t>
        </is>
      </c>
      <c r="AS128" s="205" t="n">
        <v>0.625</v>
      </c>
      <c r="AT128" s="244" t="n">
        <v>1462670</v>
      </c>
      <c r="AU128" s="204" t="n"/>
      <c r="AV128" s="207" t="inlineStr">
        <is>
          <t>변종국휴가</t>
        </is>
      </c>
      <c r="AW128" s="245" t="n"/>
      <c r="AX128" s="209" t="n"/>
      <c r="AY128" s="210" t="n"/>
      <c r="AZ128" s="246" t="n"/>
      <c r="BA128" s="171" t="n"/>
      <c r="BB128" s="242" t="inlineStr">
        <is>
          <t>부천지역</t>
        </is>
      </c>
      <c r="BC128" s="243" t="inlineStr">
        <is>
          <t>대인의료재단</t>
        </is>
      </c>
      <c r="BD128" s="243" t="inlineStr">
        <is>
          <t>907/360</t>
        </is>
      </c>
      <c r="BE128" s="204" t="inlineStr">
        <is>
          <t>중동</t>
        </is>
      </c>
      <c r="BF128" s="205" t="n">
        <v>0.5833333333333334</v>
      </c>
      <c r="BG128" s="244" t="n">
        <v>1513050</v>
      </c>
      <c r="BH128" s="204" t="n"/>
      <c r="BI128" s="207" t="inlineStr">
        <is>
          <t>경진실업</t>
        </is>
      </c>
      <c r="BJ128" s="245" t="inlineStr">
        <is>
          <t>변변</t>
        </is>
      </c>
      <c r="BK128" s="209" t="inlineStr">
        <is>
          <t>원미동</t>
        </is>
      </c>
      <c r="BL128" s="210" t="n"/>
      <c r="BM128" s="246" t="n"/>
      <c r="BN128" s="171" t="n"/>
      <c r="BO128" s="171" t="n"/>
      <c r="BP128" s="171" t="n"/>
      <c r="BQ128" s="171" t="n"/>
      <c r="BR128" s="171" t="n"/>
      <c r="BS128" s="171" t="n"/>
      <c r="BT128" s="171" t="n"/>
      <c r="BU128" s="171" t="n"/>
      <c r="BV128" s="171" t="n"/>
      <c r="BW128" s="171" t="n"/>
      <c r="BX128" s="171" t="n"/>
      <c r="BY128" s="171" t="n"/>
      <c r="BZ128" s="171" t="n"/>
      <c r="CA128" s="171" t="n"/>
      <c r="CB128" s="171" t="n"/>
      <c r="CC128" s="171" t="n"/>
      <c r="CD128" s="171" t="n"/>
      <c r="CE128" s="171" t="n"/>
      <c r="CF128" s="171" t="n"/>
      <c r="CG128" s="171" t="n"/>
      <c r="CH128" s="171" t="n"/>
      <c r="CI128" s="171" t="n"/>
      <c r="CJ128" s="171" t="n"/>
      <c r="CK128" s="171" t="n"/>
      <c r="CL128" s="171" t="n"/>
    </row>
    <row r="129">
      <c r="A129" s="171" t="n"/>
      <c r="B129" s="242" t="n"/>
      <c r="C129" s="243" t="inlineStr">
        <is>
          <t>대일소재</t>
        </is>
      </c>
      <c r="D129" s="243" t="n">
        <v>950</v>
      </c>
      <c r="E129" s="204" t="inlineStr">
        <is>
          <t>내동</t>
        </is>
      </c>
      <c r="F129" s="205" t="n">
        <v>0.5833333333333334</v>
      </c>
      <c r="G129" s="244" t="n">
        <v>1156210</v>
      </c>
      <c r="H129" s="204" t="inlineStr">
        <is>
          <t>이종석</t>
        </is>
      </c>
      <c r="I129" s="207" t="inlineStr">
        <is>
          <t>한태희휴가</t>
        </is>
      </c>
      <c r="J129" s="245" t="n"/>
      <c r="K129" s="209" t="n"/>
      <c r="L129" s="210" t="n"/>
      <c r="M129" s="246" t="n"/>
      <c r="N129" s="171" t="n"/>
      <c r="O129" s="242" t="n"/>
      <c r="P129" s="243" t="n"/>
      <c r="Q129" s="243" t="n"/>
      <c r="R129" s="204" t="n"/>
      <c r="S129" s="205" t="n"/>
      <c r="T129" s="244" t="n"/>
      <c r="U129" s="204" t="n"/>
      <c r="V129" s="207" t="inlineStr">
        <is>
          <t>이덕기휴가</t>
        </is>
      </c>
      <c r="W129" s="245" t="n"/>
      <c r="X129" s="209" t="n"/>
      <c r="Y129" s="210" t="n"/>
      <c r="Z129" s="246" t="n"/>
      <c r="AA129" s="171" t="n"/>
      <c r="AB129" s="242" t="n"/>
      <c r="AC129" s="243" t="inlineStr">
        <is>
          <t>우리티산업</t>
        </is>
      </c>
      <c r="AD129" s="243" t="n">
        <v>650</v>
      </c>
      <c r="AE129" s="204" t="inlineStr">
        <is>
          <t>도당동</t>
        </is>
      </c>
      <c r="AF129" s="205" t="n">
        <v>0.4166666666666667</v>
      </c>
      <c r="AG129" s="244" t="n">
        <v>1037300</v>
      </c>
      <c r="AH129" s="204" t="n"/>
      <c r="AI129" s="207" t="inlineStr">
        <is>
          <t>서수형휴가</t>
        </is>
      </c>
      <c r="AJ129" s="245" t="n"/>
      <c r="AK129" s="209" t="n"/>
      <c r="AL129" s="210" t="n"/>
      <c r="AM129" s="246" t="n"/>
      <c r="AN129" s="171" t="n"/>
      <c r="AO129" s="242" t="n"/>
      <c r="AP129" s="243" t="inlineStr">
        <is>
          <t>부천세무서</t>
        </is>
      </c>
      <c r="AQ129" s="243" t="inlineStr">
        <is>
          <t>500/145</t>
        </is>
      </c>
      <c r="AR129" s="204" t="inlineStr">
        <is>
          <t>중동</t>
        </is>
      </c>
      <c r="AS129" s="205" t="n">
        <v>0.3958333333333333</v>
      </c>
      <c r="AT129" s="244" t="n">
        <v>1191410</v>
      </c>
      <c r="AU129" s="204" t="n"/>
      <c r="AV129" s="207" t="inlineStr">
        <is>
          <t>옹승완휴가</t>
        </is>
      </c>
      <c r="AW129" s="245" t="n"/>
      <c r="AX129" s="209" t="n"/>
      <c r="AY129" s="210" t="n"/>
      <c r="AZ129" s="246" t="n"/>
      <c r="BA129" s="171" t="n"/>
      <c r="BB129" s="242" t="n"/>
      <c r="BC129" s="243" t="inlineStr">
        <is>
          <t>민성정밀</t>
        </is>
      </c>
      <c r="BD129" s="243" t="n">
        <v>900</v>
      </c>
      <c r="BE129" s="204" t="inlineStr">
        <is>
          <t>오정동</t>
        </is>
      </c>
      <c r="BF129" s="205" t="n">
        <v>0.4375</v>
      </c>
      <c r="BG129" s="244" t="n">
        <v>1134210</v>
      </c>
      <c r="BH129" s="204" t="n"/>
      <c r="BI129" s="207" t="inlineStr">
        <is>
          <t>이덕기휴가</t>
        </is>
      </c>
      <c r="BJ129" s="245" t="n"/>
      <c r="BK129" s="209" t="n"/>
      <c r="BL129" s="210" t="n"/>
      <c r="BM129" s="246" t="n"/>
      <c r="BN129" s="171" t="n"/>
      <c r="BO129" s="171" t="n"/>
      <c r="BP129" s="171" t="n"/>
      <c r="BQ129" s="171" t="n"/>
      <c r="BR129" s="171" t="n"/>
      <c r="BS129" s="171" t="n"/>
      <c r="BT129" s="171" t="n"/>
      <c r="BU129" s="171" t="n"/>
      <c r="BV129" s="171" t="n"/>
      <c r="BW129" s="171" t="n"/>
      <c r="BX129" s="171" t="n"/>
      <c r="BY129" s="171" t="n"/>
      <c r="BZ129" s="171" t="n"/>
      <c r="CA129" s="171" t="n"/>
      <c r="CB129" s="171" t="n"/>
      <c r="CC129" s="171" t="n"/>
      <c r="CD129" s="171" t="n"/>
      <c r="CE129" s="171" t="n"/>
      <c r="CF129" s="171" t="n"/>
      <c r="CG129" s="171" t="n"/>
      <c r="CH129" s="171" t="n"/>
      <c r="CI129" s="171" t="n"/>
      <c r="CJ129" s="171" t="n"/>
      <c r="CK129" s="171" t="n"/>
      <c r="CL129" s="171" t="n"/>
    </row>
    <row r="130">
      <c r="A130" s="171" t="n"/>
      <c r="B130" s="242" t="n"/>
      <c r="C130" s="243" t="n"/>
      <c r="D130" s="243" t="n"/>
      <c r="E130" s="204" t="n"/>
      <c r="F130" s="205" t="n"/>
      <c r="G130" s="244" t="n"/>
      <c r="H130" s="204" t="n"/>
      <c r="I130" s="207" t="inlineStr">
        <is>
          <t>옹승완</t>
        </is>
      </c>
      <c r="J130" s="245" t="n"/>
      <c r="K130" s="209" t="n"/>
      <c r="L130" s="210" t="n"/>
      <c r="M130" s="246" t="n"/>
      <c r="N130" s="171" t="n"/>
      <c r="O130" s="242" t="n"/>
      <c r="P130" s="243" t="n"/>
      <c r="Q130" s="243" t="n"/>
      <c r="R130" s="204" t="n"/>
      <c r="S130" s="205" t="n"/>
      <c r="T130" s="244" t="n"/>
      <c r="U130" s="204" t="n"/>
      <c r="V130" s="207" t="inlineStr">
        <is>
          <t>변종국휴가</t>
        </is>
      </c>
      <c r="W130" s="245" t="n"/>
      <c r="X130" s="209" t="n"/>
      <c r="Y130" s="210" t="n"/>
      <c r="Z130" s="246" t="n"/>
      <c r="AA130" s="171" t="n"/>
      <c r="AB130" s="242" t="n"/>
      <c r="AC130" s="243" t="inlineStr">
        <is>
          <t>씨티오피스빌딩</t>
        </is>
      </c>
      <c r="AD130" s="243" t="inlineStr">
        <is>
          <t>900/200</t>
        </is>
      </c>
      <c r="AE130" s="204" t="inlineStr">
        <is>
          <t>중동</t>
        </is>
      </c>
      <c r="AF130" s="205" t="n">
        <v>0.2708333333333333</v>
      </c>
      <c r="AG130" s="244" t="n">
        <v>1388750</v>
      </c>
      <c r="AH130" s="204" t="inlineStr">
        <is>
          <t>정신배</t>
        </is>
      </c>
      <c r="AI130" s="207" t="inlineStr">
        <is>
          <t>이종석휴가</t>
        </is>
      </c>
      <c r="AJ130" s="245" t="n"/>
      <c r="AK130" s="209" t="n"/>
      <c r="AL130" s="210" t="n"/>
      <c r="AM130" s="246" t="n"/>
      <c r="AN130" s="171" t="n"/>
      <c r="AO130" s="242" t="n"/>
      <c r="AP130" s="243" t="inlineStr">
        <is>
          <t>황금프라자</t>
        </is>
      </c>
      <c r="AQ130" s="243" t="inlineStr">
        <is>
          <t>550/104</t>
        </is>
      </c>
      <c r="AR130" s="204" t="inlineStr">
        <is>
          <t>중동</t>
        </is>
      </c>
      <c r="AS130" s="205" t="n">
        <v>0.3958333333333333</v>
      </c>
      <c r="AT130" s="244" t="n">
        <v>921250</v>
      </c>
      <c r="AU130" s="204" t="n"/>
      <c r="AV130" s="207" t="inlineStr">
        <is>
          <t>허창수휴가</t>
        </is>
      </c>
      <c r="AW130" s="245" t="n"/>
      <c r="AX130" s="209" t="n"/>
      <c r="AY130" s="210" t="n"/>
      <c r="AZ130" s="246" t="n"/>
      <c r="BA130" s="171" t="n"/>
      <c r="BB130" s="242" t="n"/>
      <c r="BC130" s="243" t="n"/>
      <c r="BD130" s="243" t="n"/>
      <c r="BE130" s="204" t="n"/>
      <c r="BF130" s="205" t="n"/>
      <c r="BG130" s="244" t="n"/>
      <c r="BH130" s="204" t="n"/>
      <c r="BI130" s="207" t="inlineStr">
        <is>
          <t>변종국휴가</t>
        </is>
      </c>
      <c r="BJ130" s="245" t="n"/>
      <c r="BK130" s="209" t="n"/>
      <c r="BL130" s="210" t="n"/>
      <c r="BM130" s="246" t="n"/>
      <c r="BN130" s="171" t="n"/>
      <c r="BO130" s="171" t="n"/>
      <c r="BP130" s="171" t="n"/>
      <c r="BQ130" s="171" t="n"/>
      <c r="BR130" s="171" t="n"/>
      <c r="BS130" s="171" t="n"/>
      <c r="BT130" s="171" t="n"/>
      <c r="BU130" s="171" t="n"/>
      <c r="BV130" s="171" t="n"/>
      <c r="BW130" s="171" t="n"/>
      <c r="BX130" s="171" t="n"/>
      <c r="BY130" s="171" t="n"/>
      <c r="BZ130" s="171" t="n"/>
      <c r="CA130" s="171" t="n"/>
      <c r="CB130" s="171" t="n"/>
      <c r="CC130" s="171" t="n"/>
      <c r="CD130" s="171" t="n"/>
      <c r="CE130" s="171" t="n"/>
      <c r="CF130" s="171" t="n"/>
      <c r="CG130" s="171" t="n"/>
      <c r="CH130" s="171" t="n"/>
      <c r="CI130" s="171" t="n"/>
      <c r="CJ130" s="171" t="n"/>
      <c r="CK130" s="171" t="n"/>
      <c r="CL130" s="171" t="n"/>
    </row>
    <row r="131">
      <c r="A131" s="171" t="n"/>
      <c r="B131" s="242" t="n"/>
      <c r="C131" s="243" t="n"/>
      <c r="D131" s="243" t="n"/>
      <c r="E131" s="204" t="n"/>
      <c r="F131" s="205" t="n"/>
      <c r="G131" s="244" t="n"/>
      <c r="H131" s="204" t="n"/>
      <c r="I131" s="207" t="inlineStr">
        <is>
          <t>허창수휴가</t>
        </is>
      </c>
      <c r="J131" s="245" t="n"/>
      <c r="K131" s="209" t="n"/>
      <c r="L131" s="210" t="n"/>
      <c r="M131" s="246" t="n"/>
      <c r="N131" s="171" t="n"/>
      <c r="O131" s="242" t="n"/>
      <c r="P131" s="243" t="n"/>
      <c r="Q131" s="243" t="n"/>
      <c r="R131" s="204" t="n"/>
      <c r="S131" s="205" t="n"/>
      <c r="T131" s="244" t="n"/>
      <c r="U131" s="204" t="n"/>
      <c r="V131" s="207" t="n"/>
      <c r="W131" s="245" t="n"/>
      <c r="X131" s="209" t="n"/>
      <c r="Y131" s="210" t="n"/>
      <c r="Z131" s="246" t="n"/>
      <c r="AA131" s="171" t="n"/>
      <c r="AB131" s="242" t="n"/>
      <c r="AC131" s="243" t="inlineStr">
        <is>
          <t>오정구청</t>
        </is>
      </c>
      <c r="AD131" s="243" t="n"/>
      <c r="AE131" s="204" t="inlineStr">
        <is>
          <t>오정동</t>
        </is>
      </c>
      <c r="AF131" s="205" t="n"/>
      <c r="AG131" s="244" t="n">
        <v>733700</v>
      </c>
      <c r="AH131" s="204" t="n"/>
      <c r="AI131" s="207" t="inlineStr">
        <is>
          <t>허창수휴가</t>
        </is>
      </c>
      <c r="AJ131" s="245" t="n"/>
      <c r="AK131" s="209" t="n"/>
      <c r="AL131" s="210" t="n"/>
      <c r="AM131" s="246" t="n"/>
      <c r="AN131" s="171" t="n"/>
      <c r="AO131" s="242" t="n"/>
      <c r="AP131" s="243" t="n"/>
      <c r="AQ131" s="243" t="n"/>
      <c r="AR131" s="204" t="n"/>
      <c r="AS131" s="205" t="n"/>
      <c r="AT131" s="244" t="n"/>
      <c r="AU131" s="204" t="n"/>
      <c r="AV131" s="207" t="n"/>
      <c r="AW131" s="245" t="n"/>
      <c r="AX131" s="209" t="n"/>
      <c r="AY131" s="210" t="n"/>
      <c r="AZ131" s="246" t="n"/>
      <c r="BA131" s="171" t="n"/>
      <c r="BB131" s="242" t="n"/>
      <c r="BC131" s="243" t="n"/>
      <c r="BD131" s="243" t="n"/>
      <c r="BE131" s="204" t="n"/>
      <c r="BF131" s="205" t="n"/>
      <c r="BG131" s="244" t="n"/>
      <c r="BH131" s="204" t="n"/>
      <c r="BI131" s="207" t="n"/>
      <c r="BJ131" s="245" t="n"/>
      <c r="BK131" s="209" t="n"/>
      <c r="BL131" s="210" t="n"/>
      <c r="BM131" s="246" t="n"/>
      <c r="BN131" s="171" t="n"/>
      <c r="BO131" s="171" t="n"/>
      <c r="BP131" s="171" t="n"/>
      <c r="BQ131" s="171" t="n"/>
      <c r="BR131" s="171" t="n"/>
      <c r="BS131" s="171" t="n"/>
      <c r="BT131" s="171" t="n"/>
      <c r="BU131" s="171" t="n"/>
      <c r="BV131" s="171" t="n"/>
      <c r="BW131" s="171" t="n"/>
      <c r="BX131" s="171" t="n"/>
      <c r="BY131" s="171" t="n"/>
      <c r="BZ131" s="171" t="n"/>
      <c r="CA131" s="171" t="n"/>
      <c r="CB131" s="171" t="n"/>
      <c r="CC131" s="171" t="n"/>
      <c r="CD131" s="171" t="n"/>
      <c r="CE131" s="171" t="n"/>
      <c r="CF131" s="171" t="n"/>
      <c r="CG131" s="171" t="n"/>
      <c r="CH131" s="171" t="n"/>
      <c r="CI131" s="171" t="n"/>
      <c r="CJ131" s="171" t="n"/>
      <c r="CK131" s="171" t="n"/>
      <c r="CL131" s="171" t="n"/>
    </row>
    <row r="132">
      <c r="A132" s="171" t="n"/>
      <c r="B132" s="242" t="n"/>
      <c r="C132" s="243" t="n"/>
      <c r="D132" s="243" t="n"/>
      <c r="E132" s="204" t="n"/>
      <c r="F132" s="205" t="n"/>
      <c r="G132" s="244" t="n"/>
      <c r="H132" s="204" t="n"/>
      <c r="I132" s="207" t="inlineStr">
        <is>
          <t>민재홍휴가</t>
        </is>
      </c>
      <c r="J132" s="245" t="n"/>
      <c r="K132" s="209" t="n"/>
      <c r="L132" s="210" t="n"/>
      <c r="M132" s="246" t="n"/>
      <c r="N132" s="171" t="n"/>
      <c r="O132" s="242" t="n"/>
      <c r="P132" s="243" t="n"/>
      <c r="Q132" s="243" t="n"/>
      <c r="R132" s="204" t="n"/>
      <c r="S132" s="205" t="n"/>
      <c r="T132" s="244" t="n"/>
      <c r="U132" s="204" t="n"/>
      <c r="V132" s="207" t="n"/>
      <c r="W132" s="245" t="n"/>
      <c r="X132" s="209" t="n"/>
      <c r="Y132" s="210" t="n"/>
      <c r="Z132" s="246" t="n"/>
      <c r="AA132" s="171" t="n"/>
      <c r="AB132" s="242" t="n"/>
      <c r="AC132" s="243" t="n"/>
      <c r="AD132" s="243" t="n"/>
      <c r="AE132" s="204" t="n"/>
      <c r="AF132" s="205" t="n"/>
      <c r="AG132" s="244" t="n"/>
      <c r="AH132" s="204" t="n"/>
      <c r="AI132" s="207" t="inlineStr">
        <is>
          <t>당효진휴가</t>
        </is>
      </c>
      <c r="AJ132" s="245" t="n"/>
      <c r="AK132" s="209" t="n"/>
      <c r="AL132" s="210" t="n"/>
      <c r="AM132" s="246" t="n"/>
      <c r="AN132" s="171" t="n"/>
      <c r="AO132" s="242" t="n"/>
      <c r="AP132" s="243" t="n"/>
      <c r="AQ132" s="243" t="n"/>
      <c r="AR132" s="204" t="n"/>
      <c r="AS132" s="205" t="n"/>
      <c r="AT132" s="244" t="n"/>
      <c r="AU132" s="204" t="n"/>
      <c r="AV132" s="207" t="n"/>
      <c r="AW132" s="245" t="n"/>
      <c r="AX132" s="209" t="n"/>
      <c r="AY132" s="210" t="n"/>
      <c r="AZ132" s="246" t="n"/>
      <c r="BA132" s="171" t="n"/>
      <c r="BB132" s="242" t="n"/>
      <c r="BC132" s="243" t="n"/>
      <c r="BD132" s="243" t="n"/>
      <c r="BE132" s="204" t="n"/>
      <c r="BF132" s="205" t="n"/>
      <c r="BG132" s="244" t="n"/>
      <c r="BH132" s="204" t="n"/>
      <c r="BI132" s="207" t="n"/>
      <c r="BJ132" s="245" t="n"/>
      <c r="BK132" s="209" t="n"/>
      <c r="BL132" s="210" t="n"/>
      <c r="BM132" s="246" t="n"/>
      <c r="BN132" s="171" t="n"/>
      <c r="BO132" s="171" t="n"/>
      <c r="BP132" s="171" t="n"/>
      <c r="BQ132" s="171" t="n"/>
      <c r="BR132" s="171" t="n"/>
      <c r="BS132" s="171" t="n"/>
      <c r="BT132" s="171" t="n"/>
      <c r="BU132" s="171" t="n"/>
      <c r="BV132" s="171" t="n"/>
      <c r="BW132" s="171" t="n"/>
      <c r="BX132" s="171" t="n"/>
      <c r="BY132" s="171" t="n"/>
      <c r="BZ132" s="171" t="n"/>
      <c r="CA132" s="171" t="n"/>
      <c r="CB132" s="171" t="n"/>
      <c r="CC132" s="171" t="n"/>
      <c r="CD132" s="171" t="n"/>
      <c r="CE132" s="171" t="n"/>
      <c r="CF132" s="171" t="n"/>
      <c r="CG132" s="171" t="n"/>
      <c r="CH132" s="171" t="n"/>
      <c r="CI132" s="171" t="n"/>
      <c r="CJ132" s="171" t="n"/>
      <c r="CK132" s="171" t="n"/>
      <c r="CL132" s="171" t="n"/>
    </row>
    <row r="133">
      <c r="A133" s="171" t="n"/>
      <c r="B133" s="242" t="n"/>
      <c r="C133" s="243" t="n"/>
      <c r="D133" s="243" t="n"/>
      <c r="E133" s="204" t="n"/>
      <c r="F133" s="205" t="n"/>
      <c r="G133" s="244" t="n"/>
      <c r="H133" s="204" t="n"/>
      <c r="I133" s="207" t="n"/>
      <c r="J133" s="245" t="n"/>
      <c r="K133" s="209" t="n"/>
      <c r="L133" s="210" t="n"/>
      <c r="M133" s="246" t="n"/>
      <c r="N133" s="171" t="n"/>
      <c r="O133" s="242" t="n"/>
      <c r="P133" s="243" t="n"/>
      <c r="Q133" s="243" t="n"/>
      <c r="R133" s="204" t="n"/>
      <c r="S133" s="205" t="n"/>
      <c r="T133" s="244" t="n"/>
      <c r="U133" s="204" t="n"/>
      <c r="V133" s="207" t="n"/>
      <c r="W133" s="245" t="n"/>
      <c r="X133" s="209" t="n"/>
      <c r="Y133" s="210" t="n"/>
      <c r="Z133" s="246" t="n"/>
      <c r="AA133" s="171" t="n"/>
      <c r="AB133" s="242" t="n"/>
      <c r="AC133" s="243" t="n"/>
      <c r="AD133" s="243" t="n"/>
      <c r="AE133" s="204" t="n"/>
      <c r="AF133" s="205" t="n"/>
      <c r="AG133" s="244" t="n"/>
      <c r="AH133" s="204" t="n"/>
      <c r="AI133" s="207" t="inlineStr">
        <is>
          <t>민재홍휴가</t>
        </is>
      </c>
      <c r="AJ133" s="245" t="n"/>
      <c r="AK133" s="209" t="n"/>
      <c r="AL133" s="210" t="n"/>
      <c r="AM133" s="246" t="n"/>
      <c r="AN133" s="171" t="n"/>
      <c r="AO133" s="242" t="n"/>
      <c r="AP133" s="243" t="n"/>
      <c r="AQ133" s="243" t="n"/>
      <c r="AR133" s="204" t="n"/>
      <c r="AS133" s="205" t="n"/>
      <c r="AT133" s="244" t="n"/>
      <c r="AU133" s="204" t="n"/>
      <c r="AV133" s="207" t="n"/>
      <c r="AW133" s="245" t="n"/>
      <c r="AX133" s="209" t="n"/>
      <c r="AY133" s="210" t="n"/>
      <c r="AZ133" s="246" t="n"/>
      <c r="BA133" s="171" t="n"/>
      <c r="BB133" s="242" t="n"/>
      <c r="BC133" s="243" t="n"/>
      <c r="BD133" s="243" t="n"/>
      <c r="BE133" s="204" t="n"/>
      <c r="BF133" s="205" t="n"/>
      <c r="BG133" s="244" t="n"/>
      <c r="BH133" s="204" t="n"/>
      <c r="BI133" s="207" t="n"/>
      <c r="BJ133" s="245" t="n"/>
      <c r="BK133" s="209" t="n"/>
      <c r="BL133" s="210" t="n"/>
      <c r="BM133" s="246" t="n"/>
      <c r="BN133" s="171" t="n"/>
      <c r="BO133" s="171" t="n"/>
      <c r="BP133" s="171" t="n"/>
      <c r="BQ133" s="171" t="n"/>
      <c r="BR133" s="171" t="n"/>
      <c r="BS133" s="171" t="n"/>
      <c r="BT133" s="171" t="n"/>
      <c r="BU133" s="171" t="n"/>
      <c r="BV133" s="171" t="n"/>
      <c r="BW133" s="171" t="n"/>
      <c r="BX133" s="171" t="n"/>
      <c r="BY133" s="171" t="n"/>
      <c r="BZ133" s="171" t="n"/>
      <c r="CA133" s="171" t="n"/>
      <c r="CB133" s="171" t="n"/>
      <c r="CC133" s="171" t="n"/>
      <c r="CD133" s="171" t="n"/>
      <c r="CE133" s="171" t="n"/>
      <c r="CF133" s="171" t="n"/>
      <c r="CG133" s="171" t="n"/>
      <c r="CH133" s="171" t="n"/>
      <c r="CI133" s="171" t="n"/>
      <c r="CJ133" s="171" t="n"/>
      <c r="CK133" s="171" t="n"/>
      <c r="CL133" s="171" t="n"/>
    </row>
    <row r="134">
      <c r="A134" s="171" t="n"/>
      <c r="B134" s="242" t="n"/>
      <c r="C134" s="243" t="n"/>
      <c r="D134" s="243" t="n"/>
      <c r="E134" s="204" t="n"/>
      <c r="F134" s="205" t="n"/>
      <c r="G134" s="244" t="n"/>
      <c r="H134" s="204" t="n"/>
      <c r="I134" s="207" t="n"/>
      <c r="J134" s="245" t="n"/>
      <c r="K134" s="209" t="n"/>
      <c r="L134" s="210" t="n"/>
      <c r="M134" s="246" t="n"/>
      <c r="N134" s="171" t="n"/>
      <c r="O134" s="242" t="n"/>
      <c r="P134" s="243" t="n"/>
      <c r="Q134" s="243" t="n"/>
      <c r="R134" s="204" t="n"/>
      <c r="S134" s="205" t="n"/>
      <c r="T134" s="244" t="n"/>
      <c r="U134" s="204" t="n"/>
      <c r="V134" s="207" t="n"/>
      <c r="W134" s="245" t="n"/>
      <c r="X134" s="209" t="n"/>
      <c r="Y134" s="210" t="n"/>
      <c r="Z134" s="246" t="n"/>
      <c r="AA134" s="171" t="n"/>
      <c r="AB134" s="242" t="n"/>
      <c r="AC134" s="243" t="n"/>
      <c r="AD134" s="243" t="n"/>
      <c r="AE134" s="204" t="n"/>
      <c r="AF134" s="205" t="n"/>
      <c r="AG134" s="244" t="n"/>
      <c r="AH134" s="204" t="n"/>
      <c r="AI134" s="207" t="n"/>
      <c r="AJ134" s="245" t="n"/>
      <c r="AK134" s="209" t="n"/>
      <c r="AL134" s="210" t="n"/>
      <c r="AM134" s="246" t="n"/>
      <c r="AN134" s="171" t="n"/>
      <c r="AO134" s="242" t="n"/>
      <c r="AP134" s="243" t="n"/>
      <c r="AQ134" s="243" t="n"/>
      <c r="AR134" s="204" t="n"/>
      <c r="AS134" s="205" t="n"/>
      <c r="AT134" s="244" t="n"/>
      <c r="AU134" s="204" t="n"/>
      <c r="AV134" s="207" t="n"/>
      <c r="AW134" s="245" t="n"/>
      <c r="AX134" s="209" t="n"/>
      <c r="AY134" s="210" t="n"/>
      <c r="AZ134" s="246" t="n"/>
      <c r="BA134" s="171" t="n"/>
      <c r="BB134" s="242" t="n"/>
      <c r="BC134" s="243" t="n"/>
      <c r="BD134" s="243" t="n"/>
      <c r="BE134" s="204" t="n"/>
      <c r="BF134" s="205" t="n"/>
      <c r="BG134" s="244" t="n"/>
      <c r="BH134" s="204" t="n"/>
      <c r="BI134" s="207" t="n"/>
      <c r="BJ134" s="245" t="n"/>
      <c r="BK134" s="209" t="n"/>
      <c r="BL134" s="210" t="n"/>
      <c r="BM134" s="246" t="n"/>
      <c r="BN134" s="171" t="n"/>
      <c r="BO134" s="171" t="n"/>
      <c r="BP134" s="171" t="n"/>
      <c r="BQ134" s="171" t="n"/>
      <c r="BR134" s="171" t="n"/>
      <c r="BS134" s="171" t="n"/>
      <c r="BT134" s="171" t="n"/>
      <c r="BU134" s="171" t="n"/>
      <c r="BV134" s="171" t="n"/>
      <c r="BW134" s="171" t="n"/>
      <c r="BX134" s="171" t="n"/>
      <c r="BY134" s="171" t="n"/>
      <c r="BZ134" s="171" t="n"/>
      <c r="CA134" s="171" t="n"/>
      <c r="CB134" s="171" t="n"/>
      <c r="CC134" s="171" t="n"/>
      <c r="CD134" s="171" t="n"/>
      <c r="CE134" s="171" t="n"/>
      <c r="CF134" s="171" t="n"/>
      <c r="CG134" s="171" t="n"/>
      <c r="CH134" s="171" t="n"/>
      <c r="CI134" s="171" t="n"/>
      <c r="CJ134" s="171" t="n"/>
      <c r="CK134" s="171" t="n"/>
      <c r="CL134" s="171" t="n"/>
    </row>
    <row r="135">
      <c r="A135" s="171" t="n"/>
      <c r="B135" s="242" t="n"/>
      <c r="C135" s="243" t="n"/>
      <c r="D135" s="243" t="n"/>
      <c r="E135" s="204" t="n"/>
      <c r="F135" s="205" t="n"/>
      <c r="G135" s="244" t="n"/>
      <c r="H135" s="204" t="n"/>
      <c r="I135" s="207" t="n"/>
      <c r="J135" s="245" t="n"/>
      <c r="K135" s="209" t="n"/>
      <c r="L135" s="210" t="n"/>
      <c r="M135" s="246" t="n"/>
      <c r="N135" s="171" t="n"/>
      <c r="O135" s="242" t="n"/>
      <c r="P135" s="243" t="n"/>
      <c r="Q135" s="243" t="n"/>
      <c r="R135" s="204" t="n"/>
      <c r="S135" s="205" t="n"/>
      <c r="T135" s="244" t="n"/>
      <c r="U135" s="204" t="n"/>
      <c r="V135" s="207" t="n"/>
      <c r="W135" s="245" t="n"/>
      <c r="X135" s="209" t="n"/>
      <c r="Y135" s="210" t="n"/>
      <c r="Z135" s="246" t="n"/>
      <c r="AA135" s="171" t="n"/>
      <c r="AB135" s="242" t="n"/>
      <c r="AC135" s="243" t="n"/>
      <c r="AD135" s="243" t="n"/>
      <c r="AE135" s="204" t="n"/>
      <c r="AF135" s="205" t="n"/>
      <c r="AG135" s="244" t="n"/>
      <c r="AH135" s="204" t="n"/>
      <c r="AI135" s="207" t="n"/>
      <c r="AJ135" s="245" t="n"/>
      <c r="AK135" s="209" t="n"/>
      <c r="AL135" s="210" t="n"/>
      <c r="AM135" s="246" t="n"/>
      <c r="AN135" s="171" t="n"/>
      <c r="AO135" s="242" t="n"/>
      <c r="AP135" s="243" t="n"/>
      <c r="AQ135" s="243" t="n"/>
      <c r="AR135" s="204" t="n"/>
      <c r="AS135" s="205" t="n"/>
      <c r="AT135" s="244" t="n"/>
      <c r="AU135" s="204" t="n"/>
      <c r="AV135" s="207" t="n"/>
      <c r="AW135" s="245" t="n"/>
      <c r="AX135" s="209" t="n"/>
      <c r="AY135" s="210" t="n"/>
      <c r="AZ135" s="246" t="n"/>
      <c r="BA135" s="171" t="n"/>
      <c r="BB135" s="242" t="n"/>
      <c r="BC135" s="243" t="n"/>
      <c r="BD135" s="243" t="n"/>
      <c r="BE135" s="204" t="n"/>
      <c r="BF135" s="205" t="n"/>
      <c r="BG135" s="244" t="n"/>
      <c r="BH135" s="204" t="n"/>
      <c r="BI135" s="207" t="n"/>
      <c r="BJ135" s="245" t="n"/>
      <c r="BK135" s="209" t="n"/>
      <c r="BL135" s="210" t="n"/>
      <c r="BM135" s="246" t="n"/>
      <c r="BN135" s="171" t="n"/>
      <c r="BO135" s="171" t="n"/>
      <c r="BP135" s="171" t="n"/>
      <c r="BQ135" s="171" t="n"/>
      <c r="BR135" s="171" t="n"/>
      <c r="BS135" s="171" t="n"/>
      <c r="BT135" s="171" t="n"/>
      <c r="BU135" s="171" t="n"/>
      <c r="BV135" s="171" t="n"/>
      <c r="BW135" s="171" t="n"/>
      <c r="BX135" s="171" t="n"/>
      <c r="BY135" s="171" t="n"/>
      <c r="BZ135" s="171" t="n"/>
      <c r="CA135" s="171" t="n"/>
      <c r="CB135" s="171" t="n"/>
      <c r="CC135" s="171" t="n"/>
      <c r="CD135" s="171" t="n"/>
      <c r="CE135" s="171" t="n"/>
      <c r="CF135" s="171" t="n"/>
      <c r="CG135" s="171" t="n"/>
      <c r="CH135" s="171" t="n"/>
      <c r="CI135" s="171" t="n"/>
      <c r="CJ135" s="171" t="n"/>
      <c r="CK135" s="171" t="n"/>
      <c r="CL135" s="171" t="n"/>
    </row>
    <row r="136">
      <c r="A136" s="171" t="n"/>
      <c r="B136" s="242" t="n"/>
      <c r="C136" s="243" t="n"/>
      <c r="D136" s="243" t="n"/>
      <c r="E136" s="204" t="n"/>
      <c r="F136" s="205" t="n"/>
      <c r="G136" s="244" t="n"/>
      <c r="H136" s="204" t="n"/>
      <c r="I136" s="207" t="n"/>
      <c r="J136" s="245" t="n"/>
      <c r="K136" s="209" t="n"/>
      <c r="L136" s="210" t="n"/>
      <c r="M136" s="246" t="n"/>
      <c r="N136" s="171" t="n"/>
      <c r="O136" s="242" t="n"/>
      <c r="P136" s="243" t="n"/>
      <c r="Q136" s="243" t="n"/>
      <c r="R136" s="204" t="n"/>
      <c r="S136" s="205" t="n"/>
      <c r="T136" s="244" t="n"/>
      <c r="U136" s="204" t="n"/>
      <c r="V136" s="207" t="n"/>
      <c r="W136" s="245" t="n"/>
      <c r="X136" s="209" t="n"/>
      <c r="Y136" s="210" t="n"/>
      <c r="Z136" s="246" t="n"/>
      <c r="AA136" s="171" t="n"/>
      <c r="AB136" s="242" t="n"/>
      <c r="AC136" s="243" t="n"/>
      <c r="AD136" s="243" t="n"/>
      <c r="AE136" s="204" t="n"/>
      <c r="AF136" s="205" t="n"/>
      <c r="AG136" s="244" t="n"/>
      <c r="AH136" s="204" t="n"/>
      <c r="AI136" s="207" t="n"/>
      <c r="AJ136" s="245" t="n"/>
      <c r="AK136" s="209" t="n"/>
      <c r="AL136" s="210" t="n"/>
      <c r="AM136" s="246" t="n"/>
      <c r="AN136" s="171" t="n"/>
      <c r="AO136" s="242" t="n"/>
      <c r="AP136" s="243" t="n"/>
      <c r="AQ136" s="243" t="n"/>
      <c r="AR136" s="204" t="n"/>
      <c r="AS136" s="205" t="n"/>
      <c r="AT136" s="244" t="n"/>
      <c r="AU136" s="204" t="n"/>
      <c r="AV136" s="207" t="n"/>
      <c r="AW136" s="245" t="n"/>
      <c r="AX136" s="209" t="n"/>
      <c r="AY136" s="210" t="n"/>
      <c r="AZ136" s="246" t="n"/>
      <c r="BA136" s="171" t="n"/>
      <c r="BB136" s="242" t="n"/>
      <c r="BC136" s="243" t="n"/>
      <c r="BD136" s="243" t="n"/>
      <c r="BE136" s="204" t="n"/>
      <c r="BF136" s="205" t="n"/>
      <c r="BG136" s="244" t="n"/>
      <c r="BH136" s="204" t="n"/>
      <c r="BI136" s="207" t="n"/>
      <c r="BJ136" s="245" t="n"/>
      <c r="BK136" s="209" t="n"/>
      <c r="BL136" s="210" t="n"/>
      <c r="BM136" s="246" t="n"/>
      <c r="BN136" s="171" t="n"/>
      <c r="BO136" s="171" t="n"/>
      <c r="BP136" s="171" t="n"/>
      <c r="BQ136" s="171" t="n"/>
      <c r="BR136" s="171" t="n"/>
      <c r="BS136" s="171" t="n"/>
      <c r="BT136" s="171" t="n"/>
      <c r="BU136" s="171" t="n"/>
      <c r="BV136" s="171" t="n"/>
      <c r="BW136" s="171" t="n"/>
      <c r="BX136" s="171" t="n"/>
      <c r="BY136" s="171" t="n"/>
      <c r="BZ136" s="171" t="n"/>
      <c r="CA136" s="171" t="n"/>
      <c r="CB136" s="171" t="n"/>
      <c r="CC136" s="171" t="n"/>
      <c r="CD136" s="171" t="n"/>
      <c r="CE136" s="171" t="n"/>
      <c r="CF136" s="171" t="n"/>
      <c r="CG136" s="171" t="n"/>
      <c r="CH136" s="171" t="n"/>
      <c r="CI136" s="171" t="n"/>
      <c r="CJ136" s="171" t="n"/>
      <c r="CK136" s="171" t="n"/>
      <c r="CL136" s="171" t="n"/>
    </row>
    <row r="137" ht="18" customHeight="1" s="22" thickBot="1">
      <c r="A137" s="171" t="n"/>
      <c r="B137" s="242" t="n"/>
      <c r="C137" s="243" t="n"/>
      <c r="D137" s="243" t="n"/>
      <c r="E137" s="204" t="n"/>
      <c r="F137" s="205" t="n"/>
      <c r="G137" s="244" t="n"/>
      <c r="H137" s="204" t="n"/>
      <c r="I137" s="207" t="n"/>
      <c r="J137" s="245" t="n"/>
      <c r="K137" s="209" t="n"/>
      <c r="L137" s="210" t="n"/>
      <c r="M137" s="246" t="n"/>
      <c r="N137" s="171" t="n"/>
      <c r="O137" s="242" t="n"/>
      <c r="P137" s="243" t="n"/>
      <c r="Q137" s="243" t="n"/>
      <c r="R137" s="204" t="n"/>
      <c r="S137" s="205" t="n"/>
      <c r="T137" s="244" t="n"/>
      <c r="U137" s="204" t="n"/>
      <c r="V137" s="207" t="n"/>
      <c r="W137" s="245" t="n"/>
      <c r="X137" s="209" t="n"/>
      <c r="Y137" s="210" t="n"/>
      <c r="Z137" s="246" t="n"/>
      <c r="AA137" s="171" t="n"/>
      <c r="AB137" s="242" t="n"/>
      <c r="AC137" s="243" t="n"/>
      <c r="AD137" s="243" t="n"/>
      <c r="AE137" s="204" t="n"/>
      <c r="AF137" s="205" t="n"/>
      <c r="AG137" s="244" t="n"/>
      <c r="AH137" s="204" t="n"/>
      <c r="AI137" s="207" t="n"/>
      <c r="AJ137" s="245" t="n"/>
      <c r="AK137" s="209" t="n"/>
      <c r="AL137" s="210" t="n"/>
      <c r="AM137" s="246" t="n"/>
      <c r="AN137" s="171" t="n"/>
      <c r="AO137" s="242" t="n"/>
      <c r="AP137" s="243" t="n"/>
      <c r="AQ137" s="243" t="n"/>
      <c r="AR137" s="204" t="n"/>
      <c r="AS137" s="205" t="n"/>
      <c r="AT137" s="244" t="n"/>
      <c r="AU137" s="204" t="n"/>
      <c r="AV137" s="207" t="n"/>
      <c r="AW137" s="245" t="n"/>
      <c r="AX137" s="209" t="n"/>
      <c r="AY137" s="210" t="n"/>
      <c r="AZ137" s="246" t="n"/>
      <c r="BA137" s="171" t="n"/>
      <c r="BB137" s="242" t="n"/>
      <c r="BC137" s="243" t="n"/>
      <c r="BD137" s="243" t="n"/>
      <c r="BE137" s="204" t="n"/>
      <c r="BF137" s="205" t="n"/>
      <c r="BG137" s="244" t="n"/>
      <c r="BH137" s="204" t="n"/>
      <c r="BI137" s="207" t="n"/>
      <c r="BJ137" s="245" t="n"/>
      <c r="BK137" s="209" t="n"/>
      <c r="BL137" s="210" t="n"/>
      <c r="BM137" s="246" t="n"/>
      <c r="BN137" s="171" t="n"/>
      <c r="BO137" s="171" t="n"/>
      <c r="BP137" s="171" t="n"/>
      <c r="BQ137" s="171" t="n"/>
      <c r="BR137" s="171" t="n"/>
      <c r="BS137" s="171" t="n"/>
      <c r="BT137" s="171" t="n"/>
      <c r="BU137" s="171" t="n"/>
      <c r="BV137" s="171" t="n"/>
      <c r="BW137" s="171" t="n"/>
      <c r="BX137" s="171" t="n"/>
      <c r="BY137" s="171" t="n"/>
      <c r="BZ137" s="171" t="n"/>
      <c r="CA137" s="171" t="n"/>
      <c r="CB137" s="171" t="n"/>
      <c r="CC137" s="171" t="n"/>
      <c r="CD137" s="171" t="n"/>
      <c r="CE137" s="171" t="n"/>
      <c r="CF137" s="171" t="n"/>
      <c r="CG137" s="171" t="n"/>
      <c r="CH137" s="171" t="n"/>
      <c r="CI137" s="171" t="n"/>
      <c r="CJ137" s="171" t="n"/>
      <c r="CK137" s="171" t="n"/>
      <c r="CL137" s="171" t="n"/>
    </row>
    <row r="138">
      <c r="A138" s="171" t="n"/>
      <c r="B138" s="247" t="inlineStr">
        <is>
          <t>김포지역</t>
        </is>
      </c>
      <c r="C138" s="248" t="inlineStr">
        <is>
          <t>김포시의회</t>
        </is>
      </c>
      <c r="D138" s="248" t="inlineStr">
        <is>
          <t>500/290</t>
        </is>
      </c>
      <c r="E138" s="191" t="inlineStr">
        <is>
          <t>사우동</t>
        </is>
      </c>
      <c r="F138" s="192" t="n">
        <v>0.6041666666666666</v>
      </c>
      <c r="G138" s="249" t="n">
        <v>1247180</v>
      </c>
      <c r="H138" s="191" t="inlineStr">
        <is>
          <t>변종국</t>
        </is>
      </c>
      <c r="I138" s="194" t="n"/>
      <c r="J138" s="250" t="n"/>
      <c r="K138" s="196" t="n"/>
      <c r="L138" s="197" t="n"/>
      <c r="M138" s="251" t="n"/>
      <c r="N138" s="171" t="n"/>
      <c r="O138" s="247" t="inlineStr">
        <is>
          <t>김포지역</t>
        </is>
      </c>
      <c r="P138" s="248" t="n"/>
      <c r="Q138" s="248" t="n"/>
      <c r="R138" s="191" t="n"/>
      <c r="S138" s="192" t="n"/>
      <c r="T138" s="249" t="n"/>
      <c r="U138" s="191" t="n"/>
      <c r="V138" s="194" t="n"/>
      <c r="W138" s="250" t="n"/>
      <c r="X138" s="196" t="n"/>
      <c r="Y138" s="197" t="n"/>
      <c r="Z138" s="251" t="n"/>
      <c r="AA138" s="171" t="n"/>
      <c r="AB138" s="247" t="inlineStr">
        <is>
          <t>김포지역</t>
        </is>
      </c>
      <c r="AC138" s="248" t="inlineStr">
        <is>
          <t>테마프라자</t>
        </is>
      </c>
      <c r="AD138" s="248" t="inlineStr">
        <is>
          <t>600/135</t>
        </is>
      </c>
      <c r="AE138" s="191" t="inlineStr">
        <is>
          <t>사우동</t>
        </is>
      </c>
      <c r="AF138" s="192" t="n">
        <v>0.6458333333333334</v>
      </c>
      <c r="AG138" s="249" t="n">
        <v>1231670</v>
      </c>
      <c r="AH138" s="191" t="inlineStr">
        <is>
          <t>민재홍</t>
        </is>
      </c>
      <c r="AI138" s="194" t="inlineStr">
        <is>
          <t>하안테크</t>
        </is>
      </c>
      <c r="AJ138" s="250" t="n">
        <v>54</v>
      </c>
      <c r="AK138" s="196" t="inlineStr">
        <is>
          <t>송마리</t>
        </is>
      </c>
      <c r="AL138" s="197" t="n"/>
      <c r="AM138" s="251" t="n"/>
      <c r="AN138" s="171" t="n"/>
      <c r="AO138" s="247" t="inlineStr">
        <is>
          <t>김포지역</t>
        </is>
      </c>
      <c r="AP138" s="248" t="n"/>
      <c r="AQ138" s="248" t="n"/>
      <c r="AR138" s="191" t="n"/>
      <c r="AS138" s="192" t="n"/>
      <c r="AT138" s="249" t="n"/>
      <c r="AU138" s="191" t="n"/>
      <c r="AV138" s="194" t="n"/>
      <c r="AW138" s="250" t="n"/>
      <c r="AX138" s="196" t="n"/>
      <c r="AY138" s="197" t="n"/>
      <c r="AZ138" s="251" t="n"/>
      <c r="BA138" s="171" t="n"/>
      <c r="BB138" s="247" t="inlineStr">
        <is>
          <t>김포지역</t>
        </is>
      </c>
      <c r="BC138" s="248" t="inlineStr">
        <is>
          <t>나노인더스</t>
        </is>
      </c>
      <c r="BD138" s="248" t="n">
        <v>1900</v>
      </c>
      <c r="BE138" s="191" t="inlineStr">
        <is>
          <t>고정리</t>
        </is>
      </c>
      <c r="BF138" s="192" t="n">
        <v>0.3958333333333333</v>
      </c>
      <c r="BG138" s="249" t="n">
        <v>1349480</v>
      </c>
      <c r="BH138" s="191" t="n"/>
      <c r="BI138" s="194" t="n"/>
      <c r="BJ138" s="250" t="n"/>
      <c r="BK138" s="196" t="n"/>
      <c r="BL138" s="197" t="n"/>
      <c r="BM138" s="251" t="n"/>
      <c r="BN138" s="171" t="n"/>
      <c r="BO138" s="171" t="n"/>
      <c r="BP138" s="171" t="n"/>
      <c r="BQ138" s="171" t="n"/>
      <c r="BR138" s="171" t="n"/>
      <c r="BS138" s="171" t="n"/>
      <c r="BT138" s="171" t="n"/>
      <c r="BU138" s="171" t="n"/>
      <c r="BV138" s="171" t="n"/>
      <c r="BW138" s="171" t="n"/>
      <c r="BX138" s="171" t="n"/>
      <c r="BY138" s="171" t="n"/>
      <c r="BZ138" s="171" t="n"/>
      <c r="CA138" s="171" t="n"/>
      <c r="CB138" s="171" t="n"/>
      <c r="CC138" s="171" t="n"/>
      <c r="CD138" s="171" t="n"/>
      <c r="CE138" s="171" t="n"/>
      <c r="CF138" s="171" t="n"/>
      <c r="CG138" s="171" t="n"/>
      <c r="CH138" s="171" t="n"/>
      <c r="CI138" s="171" t="n"/>
      <c r="CJ138" s="171" t="n"/>
      <c r="CK138" s="171" t="n"/>
      <c r="CL138" s="171" t="n"/>
    </row>
    <row r="139">
      <c r="A139" s="171" t="n"/>
      <c r="B139" s="242" t="n"/>
      <c r="C139" s="243" t="n"/>
      <c r="D139" s="243" t="n"/>
      <c r="E139" s="204" t="n"/>
      <c r="F139" s="205" t="n"/>
      <c r="G139" s="244" t="n"/>
      <c r="H139" s="204" t="n"/>
      <c r="I139" s="207" t="n"/>
      <c r="J139" s="245" t="n"/>
      <c r="K139" s="209" t="n"/>
      <c r="L139" s="210" t="n"/>
      <c r="M139" s="246" t="n"/>
      <c r="N139" s="171" t="n"/>
      <c r="O139" s="242" t="n"/>
      <c r="P139" s="243" t="n"/>
      <c r="Q139" s="243" t="n"/>
      <c r="R139" s="204" t="n"/>
      <c r="S139" s="205" t="n"/>
      <c r="T139" s="244" t="n"/>
      <c r="U139" s="204" t="n"/>
      <c r="V139" s="207" t="n"/>
      <c r="W139" s="245" t="n"/>
      <c r="X139" s="209" t="n"/>
      <c r="Y139" s="210" t="n"/>
      <c r="Z139" s="246" t="n"/>
      <c r="AA139" s="171" t="n"/>
      <c r="AB139" s="242" t="n"/>
      <c r="AC139" s="243" t="inlineStr">
        <is>
          <t>다조은병원</t>
        </is>
      </c>
      <c r="AD139" s="243" t="inlineStr">
        <is>
          <t>750/130</t>
        </is>
      </c>
      <c r="AE139" s="204" t="inlineStr">
        <is>
          <t>마송리</t>
        </is>
      </c>
      <c r="AF139" s="205" t="n">
        <v>0.5833333333333334</v>
      </c>
      <c r="AG139" s="244" t="n">
        <v>1295800</v>
      </c>
      <c r="AH139" s="204" t="n"/>
      <c r="AI139" s="207" t="n"/>
      <c r="AJ139" s="245" t="n"/>
      <c r="AK139" s="209" t="n"/>
      <c r="AL139" s="210" t="n"/>
      <c r="AM139" s="246" t="n"/>
      <c r="AN139" s="171" t="n"/>
      <c r="AO139" s="242" t="n"/>
      <c r="AP139" s="243" t="n"/>
      <c r="AQ139" s="243" t="n"/>
      <c r="AR139" s="204" t="n"/>
      <c r="AS139" s="205" t="n"/>
      <c r="AT139" s="244" t="n"/>
      <c r="AU139" s="204" t="n"/>
      <c r="AV139" s="207" t="n"/>
      <c r="AW139" s="245" t="n"/>
      <c r="AX139" s="209" t="n"/>
      <c r="AY139" s="210" t="n"/>
      <c r="AZ139" s="246" t="n"/>
      <c r="BA139" s="171" t="n"/>
      <c r="BB139" s="242" t="n"/>
      <c r="BC139" s="243" t="inlineStr">
        <is>
          <t>케이에스엠컴</t>
        </is>
      </c>
      <c r="BD139" s="243" t="inlineStr">
        <is>
          <t>995/170</t>
        </is>
      </c>
      <c r="BE139" s="204" t="inlineStr">
        <is>
          <t>원산리</t>
        </is>
      </c>
      <c r="BF139" s="205" t="n">
        <v>0.3958333333333333</v>
      </c>
      <c r="BG139" s="244" t="n">
        <v>1422960</v>
      </c>
      <c r="BH139" s="204" t="n"/>
      <c r="BI139" s="207" t="n"/>
      <c r="BJ139" s="245" t="n"/>
      <c r="BK139" s="209" t="n"/>
      <c r="BL139" s="210" t="n"/>
      <c r="BM139" s="246" t="n"/>
      <c r="BN139" s="171" t="n"/>
      <c r="BO139" s="171" t="n"/>
      <c r="BP139" s="171" t="n"/>
      <c r="BQ139" s="171" t="n"/>
      <c r="BR139" s="171" t="n"/>
      <c r="BS139" s="171" t="n"/>
      <c r="BT139" s="171" t="n"/>
      <c r="BU139" s="171" t="n"/>
      <c r="BV139" s="171" t="n"/>
      <c r="BW139" s="171" t="n"/>
      <c r="BX139" s="171" t="n"/>
      <c r="BY139" s="171" t="n"/>
      <c r="BZ139" s="171" t="n"/>
      <c r="CA139" s="171" t="n"/>
      <c r="CB139" s="171" t="n"/>
      <c r="CC139" s="171" t="n"/>
      <c r="CD139" s="171" t="n"/>
      <c r="CE139" s="171" t="n"/>
      <c r="CF139" s="171" t="n"/>
      <c r="CG139" s="171" t="n"/>
      <c r="CH139" s="171" t="n"/>
      <c r="CI139" s="171" t="n"/>
      <c r="CJ139" s="171" t="n"/>
      <c r="CK139" s="171" t="n"/>
      <c r="CL139" s="171" t="n"/>
    </row>
    <row r="140">
      <c r="A140" s="171" t="n"/>
      <c r="B140" s="242" t="n"/>
      <c r="C140" s="243" t="n"/>
      <c r="D140" s="243" t="n"/>
      <c r="E140" s="204" t="n"/>
      <c r="F140" s="205" t="n"/>
      <c r="G140" s="244" t="n"/>
      <c r="H140" s="204" t="n"/>
      <c r="I140" s="207" t="n"/>
      <c r="J140" s="245" t="n"/>
      <c r="K140" s="209" t="n"/>
      <c r="L140" s="210" t="n"/>
      <c r="M140" s="246" t="n"/>
      <c r="N140" s="171" t="n"/>
      <c r="O140" s="242" t="n"/>
      <c r="P140" s="243" t="n"/>
      <c r="Q140" s="243" t="n"/>
      <c r="R140" s="204" t="n"/>
      <c r="S140" s="205" t="n"/>
      <c r="T140" s="244" t="n"/>
      <c r="U140" s="204" t="n"/>
      <c r="V140" s="207" t="n"/>
      <c r="W140" s="245" t="n"/>
      <c r="X140" s="209" t="n"/>
      <c r="Y140" s="210" t="n"/>
      <c r="Z140" s="246" t="n"/>
      <c r="AA140" s="171" t="n"/>
      <c r="AB140" s="242" t="n"/>
      <c r="AC140" s="243" t="n"/>
      <c r="AD140" s="243" t="n"/>
      <c r="AE140" s="204" t="n"/>
      <c r="AF140" s="205" t="n"/>
      <c r="AG140" s="244" t="n"/>
      <c r="AH140" s="204" t="n"/>
      <c r="AI140" s="207" t="n"/>
      <c r="AJ140" s="245" t="n"/>
      <c r="AK140" s="209" t="n"/>
      <c r="AL140" s="210" t="n"/>
      <c r="AM140" s="246" t="n"/>
      <c r="AN140" s="171" t="n"/>
      <c r="AO140" s="242" t="n"/>
      <c r="AP140" s="243" t="n"/>
      <c r="AQ140" s="243" t="n"/>
      <c r="AR140" s="204" t="n"/>
      <c r="AS140" s="205" t="n"/>
      <c r="AT140" s="244" t="n"/>
      <c r="AU140" s="204" t="n"/>
      <c r="AV140" s="207" t="n"/>
      <c r="AW140" s="245" t="n"/>
      <c r="AX140" s="209" t="n"/>
      <c r="AY140" s="210" t="n"/>
      <c r="AZ140" s="246" t="n"/>
      <c r="BA140" s="171" t="n"/>
      <c r="BB140" s="242" t="n"/>
      <c r="BC140" s="243" t="n"/>
      <c r="BD140" s="243" t="n"/>
      <c r="BE140" s="204" t="n"/>
      <c r="BF140" s="205" t="n"/>
      <c r="BG140" s="244" t="n"/>
      <c r="BH140" s="204" t="n"/>
      <c r="BI140" s="207" t="n"/>
      <c r="BJ140" s="245" t="n"/>
      <c r="BK140" s="209" t="n"/>
      <c r="BL140" s="210" t="n"/>
      <c r="BM140" s="246" t="n"/>
      <c r="BN140" s="171" t="n"/>
      <c r="BO140" s="171" t="n"/>
      <c r="BP140" s="171" t="n"/>
      <c r="BQ140" s="171" t="n"/>
      <c r="BR140" s="171" t="n"/>
      <c r="BS140" s="171" t="n"/>
      <c r="BT140" s="171" t="n"/>
      <c r="BU140" s="171" t="n"/>
      <c r="BV140" s="171" t="n"/>
      <c r="BW140" s="171" t="n"/>
      <c r="BX140" s="171" t="n"/>
      <c r="BY140" s="171" t="n"/>
      <c r="BZ140" s="171" t="n"/>
      <c r="CA140" s="171" t="n"/>
      <c r="CB140" s="171" t="n"/>
      <c r="CC140" s="171" t="n"/>
      <c r="CD140" s="171" t="n"/>
      <c r="CE140" s="171" t="n"/>
      <c r="CF140" s="171" t="n"/>
      <c r="CG140" s="171" t="n"/>
      <c r="CH140" s="171" t="n"/>
      <c r="CI140" s="171" t="n"/>
      <c r="CJ140" s="171" t="n"/>
      <c r="CK140" s="171" t="n"/>
      <c r="CL140" s="171" t="n"/>
    </row>
    <row r="141">
      <c r="A141" s="171" t="n"/>
      <c r="B141" s="242" t="n"/>
      <c r="C141" s="243" t="n"/>
      <c r="D141" s="243" t="n"/>
      <c r="E141" s="204" t="n"/>
      <c r="F141" s="205" t="n"/>
      <c r="G141" s="244" t="n"/>
      <c r="H141" s="204" t="n"/>
      <c r="I141" s="207" t="n"/>
      <c r="J141" s="245" t="n"/>
      <c r="K141" s="209" t="n"/>
      <c r="L141" s="210" t="n"/>
      <c r="M141" s="246" t="n"/>
      <c r="N141" s="171" t="n"/>
      <c r="O141" s="242" t="n"/>
      <c r="P141" s="243" t="n"/>
      <c r="Q141" s="243" t="n"/>
      <c r="R141" s="204" t="n"/>
      <c r="S141" s="205" t="n"/>
      <c r="T141" s="244" t="n"/>
      <c r="U141" s="204" t="n"/>
      <c r="V141" s="207" t="n"/>
      <c r="W141" s="245" t="n"/>
      <c r="X141" s="209" t="n"/>
      <c r="Y141" s="210" t="n"/>
      <c r="Z141" s="246" t="n"/>
      <c r="AA141" s="171" t="n"/>
      <c r="AB141" s="242" t="n"/>
      <c r="AC141" s="243" t="n"/>
      <c r="AD141" s="243" t="n"/>
      <c r="AE141" s="204" t="n"/>
      <c r="AF141" s="205" t="n"/>
      <c r="AG141" s="244" t="n"/>
      <c r="AH141" s="204" t="n"/>
      <c r="AI141" s="207" t="n"/>
      <c r="AJ141" s="245" t="n"/>
      <c r="AK141" s="209" t="n"/>
      <c r="AL141" s="210" t="n"/>
      <c r="AM141" s="246" t="n"/>
      <c r="AN141" s="171" t="n"/>
      <c r="AO141" s="242" t="n"/>
      <c r="AP141" s="243" t="n"/>
      <c r="AQ141" s="243" t="n"/>
      <c r="AR141" s="204" t="n"/>
      <c r="AS141" s="205" t="n"/>
      <c r="AT141" s="244" t="n"/>
      <c r="AU141" s="204" t="n"/>
      <c r="AV141" s="207" t="n"/>
      <c r="AW141" s="245" t="n"/>
      <c r="AX141" s="209" t="n"/>
      <c r="AY141" s="210" t="n"/>
      <c r="AZ141" s="246" t="n"/>
      <c r="BA141" s="171" t="n"/>
      <c r="BB141" s="242" t="n"/>
      <c r="BC141" s="243" t="n"/>
      <c r="BD141" s="243" t="n"/>
      <c r="BE141" s="204" t="n"/>
      <c r="BF141" s="205" t="n"/>
      <c r="BG141" s="244" t="n"/>
      <c r="BH141" s="204" t="n"/>
      <c r="BI141" s="207" t="n"/>
      <c r="BJ141" s="245" t="n"/>
      <c r="BK141" s="209" t="n"/>
      <c r="BL141" s="210" t="n"/>
      <c r="BM141" s="246" t="n"/>
      <c r="BN141" s="171" t="n"/>
      <c r="BO141" s="171" t="n"/>
      <c r="BP141" s="171" t="n"/>
      <c r="BQ141" s="171" t="n"/>
      <c r="BR141" s="171" t="n"/>
      <c r="BS141" s="171" t="n"/>
      <c r="BT141" s="171" t="n"/>
      <c r="BU141" s="171" t="n"/>
      <c r="BV141" s="171" t="n"/>
      <c r="BW141" s="171" t="n"/>
      <c r="BX141" s="171" t="n"/>
      <c r="BY141" s="171" t="n"/>
      <c r="BZ141" s="171" t="n"/>
      <c r="CA141" s="171" t="n"/>
      <c r="CB141" s="171" t="n"/>
      <c r="CC141" s="171" t="n"/>
      <c r="CD141" s="171" t="n"/>
      <c r="CE141" s="171" t="n"/>
      <c r="CF141" s="171" t="n"/>
      <c r="CG141" s="171" t="n"/>
      <c r="CH141" s="171" t="n"/>
      <c r="CI141" s="171" t="n"/>
      <c r="CJ141" s="171" t="n"/>
      <c r="CK141" s="171" t="n"/>
      <c r="CL141" s="171" t="n"/>
    </row>
    <row r="142">
      <c r="A142" s="171" t="n"/>
      <c r="B142" s="242" t="n"/>
      <c r="C142" s="243" t="n"/>
      <c r="D142" s="243" t="n"/>
      <c r="E142" s="204" t="n"/>
      <c r="F142" s="205" t="n"/>
      <c r="G142" s="244" t="n"/>
      <c r="H142" s="204" t="n"/>
      <c r="I142" s="207" t="n"/>
      <c r="J142" s="245" t="n"/>
      <c r="K142" s="209" t="n"/>
      <c r="L142" s="210" t="n"/>
      <c r="M142" s="246" t="n"/>
      <c r="N142" s="171" t="n"/>
      <c r="O142" s="242" t="n"/>
      <c r="P142" s="243" t="n"/>
      <c r="Q142" s="243" t="n"/>
      <c r="R142" s="204" t="n"/>
      <c r="S142" s="205" t="n"/>
      <c r="T142" s="244" t="n"/>
      <c r="U142" s="204" t="n"/>
      <c r="V142" s="207" t="n"/>
      <c r="W142" s="245" t="n"/>
      <c r="X142" s="209" t="n"/>
      <c r="Y142" s="210" t="n"/>
      <c r="Z142" s="246" t="n"/>
      <c r="AA142" s="171" t="n"/>
      <c r="AB142" s="242" t="n"/>
      <c r="AC142" s="243" t="n"/>
      <c r="AD142" s="243" t="n"/>
      <c r="AE142" s="204" t="n"/>
      <c r="AF142" s="205" t="n"/>
      <c r="AG142" s="244" t="n"/>
      <c r="AH142" s="204" t="n"/>
      <c r="AI142" s="207" t="n"/>
      <c r="AJ142" s="245" t="n"/>
      <c r="AK142" s="209" t="n"/>
      <c r="AL142" s="210" t="n"/>
      <c r="AM142" s="246" t="n"/>
      <c r="AN142" s="171" t="n"/>
      <c r="AO142" s="242" t="n"/>
      <c r="AP142" s="243" t="n"/>
      <c r="AQ142" s="243" t="n"/>
      <c r="AR142" s="204" t="n"/>
      <c r="AS142" s="205" t="n"/>
      <c r="AT142" s="244" t="n"/>
      <c r="AU142" s="204" t="n"/>
      <c r="AV142" s="207" t="n"/>
      <c r="AW142" s="245" t="n"/>
      <c r="AX142" s="209" t="n"/>
      <c r="AY142" s="210" t="n"/>
      <c r="AZ142" s="246" t="n"/>
      <c r="BA142" s="171" t="n"/>
      <c r="BB142" s="242" t="n"/>
      <c r="BC142" s="243" t="n"/>
      <c r="BD142" s="243" t="n"/>
      <c r="BE142" s="204" t="n"/>
      <c r="BF142" s="205" t="n"/>
      <c r="BG142" s="244" t="n"/>
      <c r="BH142" s="204" t="n"/>
      <c r="BI142" s="207" t="n"/>
      <c r="BJ142" s="245" t="n"/>
      <c r="BK142" s="209" t="n"/>
      <c r="BL142" s="210" t="n"/>
      <c r="BM142" s="246" t="n"/>
      <c r="BN142" s="171" t="n"/>
      <c r="BO142" s="171" t="n"/>
      <c r="BP142" s="171" t="n"/>
      <c r="BQ142" s="171" t="n"/>
      <c r="BR142" s="171" t="n"/>
      <c r="BS142" s="171" t="n"/>
      <c r="BT142" s="171" t="n"/>
      <c r="BU142" s="171" t="n"/>
      <c r="BV142" s="171" t="n"/>
      <c r="BW142" s="171" t="n"/>
      <c r="BX142" s="171" t="n"/>
      <c r="BY142" s="171" t="n"/>
      <c r="BZ142" s="171" t="n"/>
      <c r="CA142" s="171" t="n"/>
      <c r="CB142" s="171" t="n"/>
      <c r="CC142" s="171" t="n"/>
      <c r="CD142" s="171" t="n"/>
      <c r="CE142" s="171" t="n"/>
      <c r="CF142" s="171" t="n"/>
      <c r="CG142" s="171" t="n"/>
      <c r="CH142" s="171" t="n"/>
      <c r="CI142" s="171" t="n"/>
      <c r="CJ142" s="171" t="n"/>
      <c r="CK142" s="171" t="n"/>
      <c r="CL142" s="171" t="n"/>
    </row>
    <row r="143">
      <c r="A143" s="171" t="n"/>
      <c r="B143" s="242" t="n"/>
      <c r="C143" s="243" t="n"/>
      <c r="D143" s="243" t="n"/>
      <c r="E143" s="204" t="n"/>
      <c r="F143" s="205" t="n"/>
      <c r="G143" s="244" t="n"/>
      <c r="H143" s="204" t="n"/>
      <c r="I143" s="207" t="n"/>
      <c r="J143" s="245" t="n"/>
      <c r="K143" s="209" t="n"/>
      <c r="L143" s="210" t="n"/>
      <c r="M143" s="246" t="n"/>
      <c r="N143" s="171" t="n"/>
      <c r="O143" s="242" t="n"/>
      <c r="P143" s="243" t="n"/>
      <c r="Q143" s="243" t="n"/>
      <c r="R143" s="204" t="n"/>
      <c r="S143" s="205" t="n"/>
      <c r="T143" s="244" t="n"/>
      <c r="U143" s="204" t="n"/>
      <c r="V143" s="207" t="n"/>
      <c r="W143" s="245" t="n"/>
      <c r="X143" s="209" t="n"/>
      <c r="Y143" s="210" t="n"/>
      <c r="Z143" s="246" t="n"/>
      <c r="AA143" s="171" t="n"/>
      <c r="AB143" s="242" t="n"/>
      <c r="AC143" s="243" t="n"/>
      <c r="AD143" s="243" t="n"/>
      <c r="AE143" s="204" t="n"/>
      <c r="AF143" s="205" t="n"/>
      <c r="AG143" s="244" t="n"/>
      <c r="AH143" s="204" t="n"/>
      <c r="AI143" s="207" t="n"/>
      <c r="AJ143" s="245" t="n"/>
      <c r="AK143" s="209" t="n"/>
      <c r="AL143" s="210" t="n"/>
      <c r="AM143" s="246" t="n"/>
      <c r="AN143" s="171" t="n"/>
      <c r="AO143" s="242" t="n"/>
      <c r="AP143" s="243" t="n"/>
      <c r="AQ143" s="243" t="n"/>
      <c r="AR143" s="204" t="n"/>
      <c r="AS143" s="205" t="n"/>
      <c r="AT143" s="244" t="n"/>
      <c r="AU143" s="204" t="n"/>
      <c r="AV143" s="207" t="n"/>
      <c r="AW143" s="245" t="n"/>
      <c r="AX143" s="209" t="n"/>
      <c r="AY143" s="210" t="n"/>
      <c r="AZ143" s="246" t="n"/>
      <c r="BA143" s="171" t="n"/>
      <c r="BB143" s="242" t="n"/>
      <c r="BC143" s="243" t="n"/>
      <c r="BD143" s="243" t="n"/>
      <c r="BE143" s="204" t="n"/>
      <c r="BF143" s="205" t="n"/>
      <c r="BG143" s="244" t="n"/>
      <c r="BH143" s="204" t="n"/>
      <c r="BI143" s="207" t="n"/>
      <c r="BJ143" s="245" t="n"/>
      <c r="BK143" s="209" t="n"/>
      <c r="BL143" s="210" t="n"/>
      <c r="BM143" s="246" t="n"/>
      <c r="BN143" s="171" t="n"/>
      <c r="BO143" s="171" t="n"/>
      <c r="BP143" s="171" t="n"/>
      <c r="BQ143" s="171" t="n"/>
      <c r="BR143" s="171" t="n"/>
      <c r="BS143" s="171" t="n"/>
      <c r="BT143" s="171" t="n"/>
      <c r="BU143" s="171" t="n"/>
      <c r="BV143" s="171" t="n"/>
      <c r="BW143" s="171" t="n"/>
      <c r="BX143" s="171" t="n"/>
      <c r="BY143" s="171" t="n"/>
      <c r="BZ143" s="171" t="n"/>
      <c r="CA143" s="171" t="n"/>
      <c r="CB143" s="171" t="n"/>
      <c r="CC143" s="171" t="n"/>
      <c r="CD143" s="171" t="n"/>
      <c r="CE143" s="171" t="n"/>
      <c r="CF143" s="171" t="n"/>
      <c r="CG143" s="171" t="n"/>
      <c r="CH143" s="171" t="n"/>
      <c r="CI143" s="171" t="n"/>
      <c r="CJ143" s="171" t="n"/>
      <c r="CK143" s="171" t="n"/>
      <c r="CL143" s="171" t="n"/>
    </row>
    <row r="144">
      <c r="A144" s="171" t="n"/>
      <c r="B144" s="242" t="n"/>
      <c r="C144" s="243" t="n"/>
      <c r="D144" s="243" t="n"/>
      <c r="E144" s="204" t="n"/>
      <c r="F144" s="205" t="n"/>
      <c r="G144" s="244" t="n"/>
      <c r="H144" s="204" t="n"/>
      <c r="I144" s="207" t="n"/>
      <c r="J144" s="245" t="n"/>
      <c r="K144" s="209" t="n"/>
      <c r="L144" s="210" t="n"/>
      <c r="M144" s="246" t="n"/>
      <c r="N144" s="171" t="n"/>
      <c r="O144" s="242" t="n"/>
      <c r="P144" s="243" t="n"/>
      <c r="Q144" s="243" t="n"/>
      <c r="R144" s="204" t="n"/>
      <c r="S144" s="205" t="n"/>
      <c r="T144" s="244" t="n"/>
      <c r="U144" s="204" t="n"/>
      <c r="V144" s="207" t="n"/>
      <c r="W144" s="245" t="n"/>
      <c r="X144" s="209" t="n"/>
      <c r="Y144" s="210" t="n"/>
      <c r="Z144" s="246" t="n"/>
      <c r="AA144" s="171" t="n"/>
      <c r="AB144" s="242" t="n"/>
      <c r="AC144" s="243" t="n"/>
      <c r="AD144" s="243" t="n"/>
      <c r="AE144" s="204" t="n"/>
      <c r="AF144" s="205" t="n"/>
      <c r="AG144" s="244" t="n"/>
      <c r="AH144" s="204" t="n"/>
      <c r="AI144" s="207" t="n"/>
      <c r="AJ144" s="245" t="n"/>
      <c r="AK144" s="209" t="n"/>
      <c r="AL144" s="210" t="n"/>
      <c r="AM144" s="246" t="n"/>
      <c r="AN144" s="171" t="n"/>
      <c r="AO144" s="242" t="n"/>
      <c r="AP144" s="243" t="n"/>
      <c r="AQ144" s="243" t="n"/>
      <c r="AR144" s="204" t="n"/>
      <c r="AS144" s="205" t="n"/>
      <c r="AT144" s="244" t="n"/>
      <c r="AU144" s="204" t="n"/>
      <c r="AV144" s="207" t="n"/>
      <c r="AW144" s="245" t="n"/>
      <c r="AX144" s="209" t="n"/>
      <c r="AY144" s="210" t="n"/>
      <c r="AZ144" s="246" t="n"/>
      <c r="BA144" s="171" t="n"/>
      <c r="BB144" s="242" t="n"/>
      <c r="BC144" s="243" t="n"/>
      <c r="BD144" s="243" t="n"/>
      <c r="BE144" s="204" t="n"/>
      <c r="BF144" s="205" t="n"/>
      <c r="BG144" s="244" t="n"/>
      <c r="BH144" s="204" t="n"/>
      <c r="BI144" s="207" t="n"/>
      <c r="BJ144" s="245" t="n"/>
      <c r="BK144" s="209" t="n"/>
      <c r="BL144" s="210" t="n"/>
      <c r="BM144" s="246" t="n"/>
      <c r="BN144" s="171" t="n"/>
      <c r="BO144" s="171" t="n"/>
      <c r="BP144" s="171" t="n"/>
      <c r="BQ144" s="171" t="n"/>
      <c r="BR144" s="171" t="n"/>
      <c r="BS144" s="171" t="n"/>
      <c r="BT144" s="171" t="n"/>
      <c r="BU144" s="171" t="n"/>
      <c r="BV144" s="171" t="n"/>
      <c r="BW144" s="171" t="n"/>
      <c r="BX144" s="171" t="n"/>
      <c r="BY144" s="171" t="n"/>
      <c r="BZ144" s="171" t="n"/>
      <c r="CA144" s="171" t="n"/>
      <c r="CB144" s="171" t="n"/>
      <c r="CC144" s="171" t="n"/>
      <c r="CD144" s="171" t="n"/>
      <c r="CE144" s="171" t="n"/>
      <c r="CF144" s="171" t="n"/>
      <c r="CG144" s="171" t="n"/>
      <c r="CH144" s="171" t="n"/>
      <c r="CI144" s="171" t="n"/>
      <c r="CJ144" s="171" t="n"/>
      <c r="CK144" s="171" t="n"/>
      <c r="CL144" s="171" t="n"/>
    </row>
    <row r="145">
      <c r="A145" s="171" t="n"/>
      <c r="B145" s="242" t="n"/>
      <c r="C145" s="243" t="n"/>
      <c r="D145" s="243" t="n"/>
      <c r="E145" s="204" t="n"/>
      <c r="F145" s="205" t="n"/>
      <c r="G145" s="244" t="n"/>
      <c r="H145" s="204" t="n"/>
      <c r="I145" s="207" t="n"/>
      <c r="J145" s="245" t="n"/>
      <c r="K145" s="209" t="n"/>
      <c r="L145" s="210" t="n"/>
      <c r="M145" s="246" t="n"/>
      <c r="N145" s="171" t="n"/>
      <c r="O145" s="242" t="n"/>
      <c r="P145" s="243" t="n"/>
      <c r="Q145" s="243" t="n"/>
      <c r="R145" s="204" t="n"/>
      <c r="S145" s="205" t="n"/>
      <c r="T145" s="244" t="n"/>
      <c r="U145" s="204" t="n"/>
      <c r="V145" s="207" t="n"/>
      <c r="W145" s="245" t="n"/>
      <c r="X145" s="209" t="n"/>
      <c r="Y145" s="210" t="n"/>
      <c r="Z145" s="246" t="n"/>
      <c r="AA145" s="171" t="n"/>
      <c r="AB145" s="242" t="n"/>
      <c r="AC145" s="243" t="n"/>
      <c r="AD145" s="243" t="n"/>
      <c r="AE145" s="204" t="n"/>
      <c r="AF145" s="205" t="n"/>
      <c r="AG145" s="244" t="n"/>
      <c r="AH145" s="204" t="n"/>
      <c r="AI145" s="207" t="n"/>
      <c r="AJ145" s="245" t="n"/>
      <c r="AK145" s="209" t="n"/>
      <c r="AL145" s="210" t="n"/>
      <c r="AM145" s="246" t="n"/>
      <c r="AN145" s="171" t="n"/>
      <c r="AO145" s="242" t="n"/>
      <c r="AP145" s="243" t="n"/>
      <c r="AQ145" s="243" t="n"/>
      <c r="AR145" s="204" t="n"/>
      <c r="AS145" s="205" t="n"/>
      <c r="AT145" s="244" t="n"/>
      <c r="AU145" s="204" t="n"/>
      <c r="AV145" s="207" t="n"/>
      <c r="AW145" s="245" t="n"/>
      <c r="AX145" s="209" t="n"/>
      <c r="AY145" s="210" t="n"/>
      <c r="AZ145" s="246" t="n"/>
      <c r="BA145" s="171" t="n"/>
      <c r="BB145" s="242" t="n"/>
      <c r="BC145" s="243" t="n"/>
      <c r="BD145" s="243" t="n"/>
      <c r="BE145" s="204" t="n"/>
      <c r="BF145" s="205" t="n"/>
      <c r="BG145" s="244" t="n"/>
      <c r="BH145" s="204" t="n"/>
      <c r="BI145" s="207" t="n"/>
      <c r="BJ145" s="245" t="n"/>
      <c r="BK145" s="209" t="n"/>
      <c r="BL145" s="210" t="n"/>
      <c r="BM145" s="246" t="n"/>
      <c r="BN145" s="171" t="n"/>
      <c r="BO145" s="171" t="n"/>
      <c r="BP145" s="171" t="n"/>
      <c r="BQ145" s="171" t="n"/>
      <c r="BR145" s="171" t="n"/>
      <c r="BS145" s="171" t="n"/>
      <c r="BT145" s="171" t="n"/>
      <c r="BU145" s="171" t="n"/>
      <c r="BV145" s="171" t="n"/>
      <c r="BW145" s="171" t="n"/>
      <c r="BX145" s="171" t="n"/>
      <c r="BY145" s="171" t="n"/>
      <c r="BZ145" s="171" t="n"/>
      <c r="CA145" s="171" t="n"/>
      <c r="CB145" s="171" t="n"/>
      <c r="CC145" s="171" t="n"/>
      <c r="CD145" s="171" t="n"/>
      <c r="CE145" s="171" t="n"/>
      <c r="CF145" s="171" t="n"/>
      <c r="CG145" s="171" t="n"/>
      <c r="CH145" s="171" t="n"/>
      <c r="CI145" s="171" t="n"/>
      <c r="CJ145" s="171" t="n"/>
      <c r="CK145" s="171" t="n"/>
      <c r="CL145" s="171" t="n"/>
    </row>
    <row r="146">
      <c r="A146" s="171" t="n"/>
      <c r="B146" s="242" t="n"/>
      <c r="C146" s="243" t="n"/>
      <c r="D146" s="243" t="n"/>
      <c r="E146" s="204" t="n"/>
      <c r="F146" s="205" t="n"/>
      <c r="G146" s="244" t="n"/>
      <c r="H146" s="204" t="n"/>
      <c r="I146" s="207" t="n"/>
      <c r="J146" s="245" t="n"/>
      <c r="K146" s="209" t="n"/>
      <c r="L146" s="210" t="n"/>
      <c r="M146" s="246" t="n"/>
      <c r="N146" s="171" t="n"/>
      <c r="O146" s="242" t="n"/>
      <c r="P146" s="243" t="n"/>
      <c r="Q146" s="243" t="n"/>
      <c r="R146" s="204" t="n"/>
      <c r="S146" s="205" t="n"/>
      <c r="T146" s="244" t="n"/>
      <c r="U146" s="204" t="n"/>
      <c r="V146" s="207" t="n"/>
      <c r="W146" s="245" t="n"/>
      <c r="X146" s="209" t="n"/>
      <c r="Y146" s="210" t="n"/>
      <c r="Z146" s="246" t="n"/>
      <c r="AA146" s="171" t="n"/>
      <c r="AB146" s="242" t="n"/>
      <c r="AC146" s="243" t="n"/>
      <c r="AD146" s="243" t="n"/>
      <c r="AE146" s="204" t="n"/>
      <c r="AF146" s="205" t="n"/>
      <c r="AG146" s="244" t="n"/>
      <c r="AH146" s="204" t="n"/>
      <c r="AI146" s="207" t="n"/>
      <c r="AJ146" s="245" t="n"/>
      <c r="AK146" s="209" t="n"/>
      <c r="AL146" s="210" t="n"/>
      <c r="AM146" s="246" t="n"/>
      <c r="AN146" s="171" t="n"/>
      <c r="AO146" s="242" t="n"/>
      <c r="AP146" s="243" t="n"/>
      <c r="AQ146" s="243" t="n"/>
      <c r="AR146" s="204" t="n"/>
      <c r="AS146" s="205" t="n"/>
      <c r="AT146" s="244" t="n"/>
      <c r="AU146" s="204" t="n"/>
      <c r="AV146" s="207" t="n"/>
      <c r="AW146" s="245" t="n"/>
      <c r="AX146" s="209" t="n"/>
      <c r="AY146" s="210" t="n"/>
      <c r="AZ146" s="246" t="n"/>
      <c r="BA146" s="171" t="n"/>
      <c r="BB146" s="242" t="n"/>
      <c r="BC146" s="243" t="n"/>
      <c r="BD146" s="243" t="n"/>
      <c r="BE146" s="204" t="n"/>
      <c r="BF146" s="205" t="n"/>
      <c r="BG146" s="244" t="n"/>
      <c r="BH146" s="204" t="n"/>
      <c r="BI146" s="207" t="n"/>
      <c r="BJ146" s="245" t="n"/>
      <c r="BK146" s="209" t="n"/>
      <c r="BL146" s="210" t="n"/>
      <c r="BM146" s="246" t="n"/>
      <c r="BN146" s="171" t="n"/>
      <c r="BO146" s="171" t="n"/>
      <c r="BP146" s="171" t="n"/>
      <c r="BQ146" s="171" t="n"/>
      <c r="BR146" s="171" t="n"/>
      <c r="BS146" s="171" t="n"/>
      <c r="BT146" s="171" t="n"/>
      <c r="BU146" s="171" t="n"/>
      <c r="BV146" s="171" t="n"/>
      <c r="BW146" s="171" t="n"/>
      <c r="BX146" s="171" t="n"/>
      <c r="BY146" s="171" t="n"/>
      <c r="BZ146" s="171" t="n"/>
      <c r="CA146" s="171" t="n"/>
      <c r="CB146" s="171" t="n"/>
      <c r="CC146" s="171" t="n"/>
      <c r="CD146" s="171" t="n"/>
      <c r="CE146" s="171" t="n"/>
      <c r="CF146" s="171" t="n"/>
      <c r="CG146" s="171" t="n"/>
      <c r="CH146" s="171" t="n"/>
      <c r="CI146" s="171" t="n"/>
      <c r="CJ146" s="171" t="n"/>
      <c r="CK146" s="171" t="n"/>
      <c r="CL146" s="171" t="n"/>
    </row>
    <row r="147">
      <c r="A147" s="171" t="n"/>
      <c r="B147" s="242" t="n"/>
      <c r="C147" s="243" t="n"/>
      <c r="D147" s="243" t="n"/>
      <c r="E147" s="204" t="n"/>
      <c r="F147" s="205" t="n"/>
      <c r="G147" s="244" t="n"/>
      <c r="H147" s="204" t="n"/>
      <c r="I147" s="207" t="n"/>
      <c r="J147" s="245" t="n"/>
      <c r="K147" s="209" t="n"/>
      <c r="L147" s="210" t="n"/>
      <c r="M147" s="246" t="n"/>
      <c r="N147" s="171" t="n"/>
      <c r="O147" s="242" t="n"/>
      <c r="P147" s="243" t="n"/>
      <c r="Q147" s="243" t="n"/>
      <c r="R147" s="204" t="n"/>
      <c r="S147" s="205" t="n"/>
      <c r="T147" s="244" t="n"/>
      <c r="U147" s="204" t="n"/>
      <c r="V147" s="207" t="n"/>
      <c r="W147" s="245" t="n"/>
      <c r="X147" s="209" t="n"/>
      <c r="Y147" s="210" t="n"/>
      <c r="Z147" s="246" t="n"/>
      <c r="AA147" s="171" t="n"/>
      <c r="AB147" s="242" t="n"/>
      <c r="AC147" s="243" t="n"/>
      <c r="AD147" s="243" t="n"/>
      <c r="AE147" s="204" t="n"/>
      <c r="AF147" s="205" t="n"/>
      <c r="AG147" s="244" t="n"/>
      <c r="AH147" s="204" t="n"/>
      <c r="AI147" s="207" t="n"/>
      <c r="AJ147" s="245" t="n"/>
      <c r="AK147" s="209" t="n"/>
      <c r="AL147" s="210" t="n"/>
      <c r="AM147" s="246" t="n"/>
      <c r="AN147" s="171" t="n"/>
      <c r="AO147" s="242" t="n"/>
      <c r="AP147" s="243" t="n"/>
      <c r="AQ147" s="243" t="n"/>
      <c r="AR147" s="204" t="n"/>
      <c r="AS147" s="205" t="n"/>
      <c r="AT147" s="244" t="n"/>
      <c r="AU147" s="204" t="n"/>
      <c r="AV147" s="207" t="n"/>
      <c r="AW147" s="245" t="n"/>
      <c r="AX147" s="209" t="n"/>
      <c r="AY147" s="210" t="n"/>
      <c r="AZ147" s="246" t="n"/>
      <c r="BA147" s="171" t="n"/>
      <c r="BB147" s="242" t="n"/>
      <c r="BC147" s="243" t="n"/>
      <c r="BD147" s="243" t="n"/>
      <c r="BE147" s="204" t="n"/>
      <c r="BF147" s="205" t="n"/>
      <c r="BG147" s="244" t="n"/>
      <c r="BH147" s="204" t="n"/>
      <c r="BI147" s="207" t="n"/>
      <c r="BJ147" s="245" t="n"/>
      <c r="BK147" s="209" t="n"/>
      <c r="BL147" s="210" t="n"/>
      <c r="BM147" s="246" t="n"/>
      <c r="BN147" s="171" t="n"/>
      <c r="BO147" s="171" t="n"/>
      <c r="BP147" s="171" t="n"/>
      <c r="BQ147" s="171" t="n"/>
      <c r="BR147" s="171" t="n"/>
      <c r="BS147" s="171" t="n"/>
      <c r="BT147" s="171" t="n"/>
      <c r="BU147" s="171" t="n"/>
      <c r="BV147" s="171" t="n"/>
      <c r="BW147" s="171" t="n"/>
      <c r="BX147" s="171" t="n"/>
      <c r="BY147" s="171" t="n"/>
      <c r="BZ147" s="171" t="n"/>
      <c r="CA147" s="171" t="n"/>
      <c r="CB147" s="171" t="n"/>
      <c r="CC147" s="171" t="n"/>
      <c r="CD147" s="171" t="n"/>
      <c r="CE147" s="171" t="n"/>
      <c r="CF147" s="171" t="n"/>
      <c r="CG147" s="171" t="n"/>
      <c r="CH147" s="171" t="n"/>
      <c r="CI147" s="171" t="n"/>
      <c r="CJ147" s="171" t="n"/>
      <c r="CK147" s="171" t="n"/>
      <c r="CL147" s="171" t="n"/>
    </row>
    <row r="148" ht="18" customHeight="1" s="22" thickBot="1">
      <c r="A148" s="171" t="n"/>
      <c r="B148" s="252" t="inlineStr">
        <is>
          <t>비고</t>
        </is>
      </c>
      <c r="C148" s="253" t="n"/>
      <c r="D148" s="253" t="n"/>
      <c r="E148" s="253" t="n"/>
      <c r="F148" s="253" t="n"/>
      <c r="G148" s="253" t="n"/>
      <c r="H148" s="253" t="n"/>
      <c r="I148" s="254" t="n"/>
      <c r="J148" s="253" t="n"/>
      <c r="K148" s="253" t="n"/>
      <c r="L148" s="253" t="n"/>
      <c r="M148" s="255" t="n"/>
      <c r="N148" s="171" t="n"/>
      <c r="O148" s="252" t="inlineStr">
        <is>
          <t>비고</t>
        </is>
      </c>
      <c r="P148" s="253" t="n"/>
      <c r="Q148" s="253" t="n"/>
      <c r="R148" s="253" t="n"/>
      <c r="S148" s="253" t="n"/>
      <c r="T148" s="253" t="n"/>
      <c r="U148" s="253" t="n"/>
      <c r="V148" s="254" t="n"/>
      <c r="W148" s="253" t="n"/>
      <c r="X148" s="253" t="n"/>
      <c r="Y148" s="253" t="n"/>
      <c r="Z148" s="255" t="n"/>
      <c r="AA148" s="171" t="n"/>
      <c r="AB148" s="252" t="inlineStr">
        <is>
          <t>비고</t>
        </is>
      </c>
      <c r="AC148" s="253" t="n"/>
      <c r="AD148" s="253" t="n"/>
      <c r="AE148" s="253" t="n"/>
      <c r="AF148" s="253" t="n"/>
      <c r="AG148" s="253" t="n"/>
      <c r="AH148" s="253" t="n"/>
      <c r="AI148" s="254" t="n"/>
      <c r="AJ148" s="253" t="n"/>
      <c r="AK148" s="253" t="n"/>
      <c r="AL148" s="253" t="n"/>
      <c r="AM148" s="255" t="n"/>
      <c r="AN148" s="171" t="n"/>
      <c r="AO148" s="252" t="inlineStr">
        <is>
          <t>비고</t>
        </is>
      </c>
      <c r="AP148" s="253" t="n"/>
      <c r="AQ148" s="253" t="n"/>
      <c r="AR148" s="253" t="n"/>
      <c r="AS148" s="253" t="n"/>
      <c r="AT148" s="253" t="n"/>
      <c r="AU148" s="253" t="n"/>
      <c r="AV148" s="254" t="n"/>
      <c r="AW148" s="253" t="n"/>
      <c r="AX148" s="253" t="n"/>
      <c r="AY148" s="253" t="n"/>
      <c r="AZ148" s="255" t="n"/>
      <c r="BA148" s="171" t="n"/>
      <c r="BB148" s="252" t="inlineStr">
        <is>
          <t>비고</t>
        </is>
      </c>
      <c r="BC148" s="253" t="n"/>
      <c r="BD148" s="253" t="n"/>
      <c r="BE148" s="253" t="n"/>
      <c r="BF148" s="253" t="n"/>
      <c r="BG148" s="253" t="n"/>
      <c r="BH148" s="253" t="n"/>
      <c r="BI148" s="254" t="n"/>
      <c r="BJ148" s="253" t="n"/>
      <c r="BK148" s="253" t="n"/>
      <c r="BL148" s="253" t="n"/>
      <c r="BM148" s="255" t="n"/>
      <c r="BN148" s="171" t="n"/>
      <c r="BO148" s="171" t="n"/>
      <c r="BP148" s="171" t="n"/>
      <c r="BQ148" s="171" t="n"/>
      <c r="BR148" s="171" t="n"/>
      <c r="BS148" s="171" t="n"/>
      <c r="BT148" s="171" t="n"/>
      <c r="BU148" s="171" t="n"/>
      <c r="BV148" s="171" t="n"/>
      <c r="BW148" s="171" t="n"/>
      <c r="BX148" s="171" t="n"/>
      <c r="BY148" s="171" t="n"/>
      <c r="BZ148" s="171" t="n"/>
      <c r="CA148" s="171" t="n"/>
      <c r="CB148" s="171" t="n"/>
      <c r="CC148" s="171" t="n"/>
      <c r="CD148" s="171" t="n"/>
      <c r="CE148" s="171" t="n"/>
      <c r="CF148" s="171" t="n"/>
      <c r="CG148" s="171" t="n"/>
      <c r="CH148" s="171" t="n"/>
      <c r="CI148" s="171" t="n"/>
      <c r="CJ148" s="171" t="n"/>
      <c r="CK148" s="171" t="n"/>
      <c r="CL148" s="171" t="n"/>
    </row>
    <row r="149" ht="19.8" customHeight="1" s="22" thickBot="1">
      <c r="A149" s="171" t="n"/>
      <c r="B149" s="232" t="n">
        <v>46299</v>
      </c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233" t="inlineStr">
        <is>
          <t>(일)</t>
        </is>
      </c>
      <c r="N149" s="171" t="n"/>
      <c r="O149" s="232" t="n">
        <v>46306</v>
      </c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233" t="inlineStr">
        <is>
          <t>(일)</t>
        </is>
      </c>
      <c r="AA149" s="171" t="n"/>
      <c r="AB149" s="232" t="n">
        <v>46313</v>
      </c>
      <c r="AD149" s="171" t="n"/>
      <c r="AE149" s="171" t="n"/>
      <c r="AF149" s="171" t="n"/>
      <c r="AG149" s="171" t="n"/>
      <c r="AH149" s="171" t="n"/>
      <c r="AI149" s="171" t="n"/>
      <c r="AJ149" s="171" t="n"/>
      <c r="AK149" s="171" t="n"/>
      <c r="AL149" s="171" t="n"/>
      <c r="AM149" s="233" t="inlineStr">
        <is>
          <t>(일)</t>
        </is>
      </c>
      <c r="AN149" s="171" t="n"/>
      <c r="AO149" s="232" t="n">
        <v>46320</v>
      </c>
      <c r="AQ149" s="171" t="n"/>
      <c r="AR149" s="171" t="n"/>
      <c r="AS149" s="171" t="n"/>
      <c r="AT149" s="171" t="n"/>
      <c r="AU149" s="171" t="n"/>
      <c r="AV149" s="171" t="n"/>
      <c r="AW149" s="171" t="n"/>
      <c r="AX149" s="171" t="n"/>
      <c r="AY149" s="171" t="n"/>
      <c r="AZ149" s="233" t="inlineStr">
        <is>
          <t>(일)</t>
        </is>
      </c>
      <c r="BA149" s="171" t="n"/>
      <c r="BB149" s="171" t="n"/>
      <c r="BC149" s="171" t="n"/>
      <c r="BD149" s="171" t="n"/>
      <c r="BE149" s="171" t="n"/>
      <c r="BF149" s="171" t="n"/>
      <c r="BG149" s="171" t="n"/>
      <c r="BH149" s="171" t="n"/>
      <c r="BI149" s="171" t="n"/>
      <c r="BJ149" s="171" t="n"/>
      <c r="BK149" s="171" t="n"/>
      <c r="BL149" s="171" t="n"/>
      <c r="BM149" s="171" t="n"/>
      <c r="BN149" s="171" t="n"/>
      <c r="BO149" s="171" t="n"/>
      <c r="BP149" s="171" t="n"/>
      <c r="BQ149" s="171" t="n"/>
      <c r="BR149" s="171" t="n"/>
      <c r="BS149" s="171" t="n"/>
      <c r="BT149" s="171" t="n"/>
      <c r="BU149" s="171" t="n"/>
      <c r="BV149" s="171" t="n"/>
      <c r="BW149" s="171" t="n"/>
      <c r="BX149" s="171" t="n"/>
      <c r="BY149" s="171" t="n"/>
      <c r="BZ149" s="171" t="n"/>
      <c r="CA149" s="171" t="n"/>
      <c r="CB149" s="171" t="n"/>
      <c r="CC149" s="171" t="n"/>
      <c r="CD149" s="171" t="n"/>
      <c r="CE149" s="171" t="n"/>
      <c r="CF149" s="171" t="n"/>
      <c r="CG149" s="171" t="n"/>
      <c r="CH149" s="171" t="n"/>
      <c r="CI149" s="171" t="n"/>
      <c r="CJ149" s="171" t="n"/>
      <c r="CK149" s="171" t="n"/>
      <c r="CL149" s="171" t="n"/>
    </row>
    <row r="150">
      <c r="A150" s="171" t="n"/>
      <c r="B150" s="234" t="inlineStr">
        <is>
          <t>정기검사</t>
        </is>
      </c>
      <c r="C150" s="235" t="n"/>
      <c r="D150" s="235" t="n"/>
      <c r="E150" s="235" t="n"/>
      <c r="F150" s="235" t="n"/>
      <c r="G150" s="235" t="n"/>
      <c r="H150" s="235" t="n"/>
      <c r="I150" s="236" t="inlineStr">
        <is>
          <t>사용전검사</t>
        </is>
      </c>
      <c r="J150" s="237" t="n"/>
      <c r="K150" s="237" t="n"/>
      <c r="L150" s="237" t="n"/>
      <c r="M150" s="238" t="n"/>
      <c r="N150" s="171" t="n"/>
      <c r="O150" s="234" t="inlineStr">
        <is>
          <t>정기검사</t>
        </is>
      </c>
      <c r="P150" s="235" t="n"/>
      <c r="Q150" s="235" t="n"/>
      <c r="R150" s="235" t="n"/>
      <c r="S150" s="235" t="n"/>
      <c r="T150" s="235" t="n"/>
      <c r="U150" s="235" t="n"/>
      <c r="V150" s="236" t="inlineStr">
        <is>
          <t>사용전검사</t>
        </is>
      </c>
      <c r="W150" s="237" t="n"/>
      <c r="X150" s="237" t="n"/>
      <c r="Y150" s="237" t="n"/>
      <c r="Z150" s="238" t="n"/>
      <c r="AA150" s="171" t="n"/>
      <c r="AB150" s="234" t="inlineStr">
        <is>
          <t>정기검사</t>
        </is>
      </c>
      <c r="AC150" s="235" t="n"/>
      <c r="AD150" s="235" t="n"/>
      <c r="AE150" s="235" t="n"/>
      <c r="AF150" s="235" t="n"/>
      <c r="AG150" s="235" t="n"/>
      <c r="AH150" s="235" t="n"/>
      <c r="AI150" s="236" t="inlineStr">
        <is>
          <t>사용전검사</t>
        </is>
      </c>
      <c r="AJ150" s="237" t="n"/>
      <c r="AK150" s="237" t="n"/>
      <c r="AL150" s="237" t="n"/>
      <c r="AM150" s="238" t="n"/>
      <c r="AN150" s="171" t="n"/>
      <c r="AO150" s="234" t="inlineStr">
        <is>
          <t>정기검사</t>
        </is>
      </c>
      <c r="AP150" s="235" t="n"/>
      <c r="AQ150" s="235" t="n"/>
      <c r="AR150" s="235" t="n"/>
      <c r="AS150" s="235" t="n"/>
      <c r="AT150" s="235" t="n"/>
      <c r="AU150" s="235" t="n"/>
      <c r="AV150" s="236" t="inlineStr">
        <is>
          <t>사용전검사</t>
        </is>
      </c>
      <c r="AW150" s="237" t="n"/>
      <c r="AX150" s="237" t="n"/>
      <c r="AY150" s="237" t="n"/>
      <c r="AZ150" s="238" t="n"/>
      <c r="BA150" s="171" t="n"/>
      <c r="BB150" s="171" t="n"/>
      <c r="BC150" s="171" t="n"/>
      <c r="BD150" s="171" t="n"/>
      <c r="BE150" s="171" t="n"/>
      <c r="BF150" s="171" t="n"/>
      <c r="BG150" s="171" t="n"/>
      <c r="BH150" s="171" t="n"/>
      <c r="BI150" s="171" t="n"/>
      <c r="BJ150" s="171" t="n"/>
      <c r="BK150" s="171" t="n"/>
      <c r="BL150" s="171" t="n"/>
      <c r="BM150" s="171" t="n"/>
      <c r="BN150" s="171" t="n"/>
      <c r="BO150" s="171" t="n"/>
      <c r="BP150" s="171" t="n"/>
      <c r="BQ150" s="171" t="n"/>
      <c r="BR150" s="171" t="n"/>
      <c r="BS150" s="171" t="n"/>
      <c r="BT150" s="171" t="n"/>
      <c r="BU150" s="171" t="n"/>
      <c r="BV150" s="171" t="n"/>
      <c r="BW150" s="171" t="n"/>
      <c r="BX150" s="171" t="n"/>
      <c r="BY150" s="171" t="n"/>
      <c r="BZ150" s="171" t="n"/>
      <c r="CA150" s="171" t="n"/>
      <c r="CB150" s="171" t="n"/>
      <c r="CC150" s="171" t="n"/>
      <c r="CD150" s="171" t="n"/>
      <c r="CE150" s="171" t="n"/>
      <c r="CF150" s="171" t="n"/>
      <c r="CG150" s="171" t="n"/>
      <c r="CH150" s="171" t="n"/>
      <c r="CI150" s="171" t="n"/>
      <c r="CJ150" s="171" t="n"/>
      <c r="CK150" s="171" t="n"/>
      <c r="CL150" s="171" t="n"/>
    </row>
    <row r="151">
      <c r="A151" s="171" t="n"/>
      <c r="B151" s="239" t="inlineStr">
        <is>
          <t>구분</t>
        </is>
      </c>
      <c r="C151" s="240" t="inlineStr">
        <is>
          <t>상호</t>
        </is>
      </c>
      <c r="D151" s="240" t="inlineStr">
        <is>
          <t>용량</t>
        </is>
      </c>
      <c r="E151" s="240" t="inlineStr">
        <is>
          <t>지역</t>
        </is>
      </c>
      <c r="F151" s="240" t="inlineStr">
        <is>
          <t>시간</t>
        </is>
      </c>
      <c r="G151" s="240" t="inlineStr">
        <is>
          <t>수수료</t>
        </is>
      </c>
      <c r="H151" s="240" t="inlineStr">
        <is>
          <t>검사자</t>
        </is>
      </c>
      <c r="I151" s="239" t="inlineStr">
        <is>
          <t>상호</t>
        </is>
      </c>
      <c r="J151" s="240" t="inlineStr">
        <is>
          <t>용량</t>
        </is>
      </c>
      <c r="K151" s="240" t="inlineStr">
        <is>
          <t>지역</t>
        </is>
      </c>
      <c r="L151" s="240" t="inlineStr">
        <is>
          <t>시간</t>
        </is>
      </c>
      <c r="M151" s="241" t="inlineStr">
        <is>
          <t>검사자</t>
        </is>
      </c>
      <c r="N151" s="171" t="n"/>
      <c r="O151" s="239" t="inlineStr">
        <is>
          <t>구분</t>
        </is>
      </c>
      <c r="P151" s="240" t="inlineStr">
        <is>
          <t>상호</t>
        </is>
      </c>
      <c r="Q151" s="240" t="inlineStr">
        <is>
          <t>용량</t>
        </is>
      </c>
      <c r="R151" s="240" t="inlineStr">
        <is>
          <t>지역</t>
        </is>
      </c>
      <c r="S151" s="240" t="inlineStr">
        <is>
          <t>시간</t>
        </is>
      </c>
      <c r="T151" s="240" t="inlineStr">
        <is>
          <t>수수료</t>
        </is>
      </c>
      <c r="U151" s="240" t="inlineStr">
        <is>
          <t>검사자</t>
        </is>
      </c>
      <c r="V151" s="239" t="inlineStr">
        <is>
          <t>상호</t>
        </is>
      </c>
      <c r="W151" s="240" t="inlineStr">
        <is>
          <t>용량</t>
        </is>
      </c>
      <c r="X151" s="240" t="inlineStr">
        <is>
          <t>지역</t>
        </is>
      </c>
      <c r="Y151" s="240" t="inlineStr">
        <is>
          <t>시간</t>
        </is>
      </c>
      <c r="Z151" s="241" t="inlineStr">
        <is>
          <t>검사자</t>
        </is>
      </c>
      <c r="AA151" s="171" t="n"/>
      <c r="AB151" s="239" t="inlineStr">
        <is>
          <t>구분</t>
        </is>
      </c>
      <c r="AC151" s="240" t="inlineStr">
        <is>
          <t>상호</t>
        </is>
      </c>
      <c r="AD151" s="240" t="inlineStr">
        <is>
          <t>용량</t>
        </is>
      </c>
      <c r="AE151" s="240" t="inlineStr">
        <is>
          <t>지역</t>
        </is>
      </c>
      <c r="AF151" s="240" t="inlineStr">
        <is>
          <t>시간</t>
        </is>
      </c>
      <c r="AG151" s="240" t="inlineStr">
        <is>
          <t>수수료</t>
        </is>
      </c>
      <c r="AH151" s="240" t="inlineStr">
        <is>
          <t>검사자</t>
        </is>
      </c>
      <c r="AI151" s="239" t="inlineStr">
        <is>
          <t>상호</t>
        </is>
      </c>
      <c r="AJ151" s="240" t="inlineStr">
        <is>
          <t>용량</t>
        </is>
      </c>
      <c r="AK151" s="240" t="inlineStr">
        <is>
          <t>지역</t>
        </is>
      </c>
      <c r="AL151" s="240" t="inlineStr">
        <is>
          <t>시간</t>
        </is>
      </c>
      <c r="AM151" s="241" t="inlineStr">
        <is>
          <t>검사자</t>
        </is>
      </c>
      <c r="AN151" s="171" t="n"/>
      <c r="AO151" s="239" t="inlineStr">
        <is>
          <t>구분</t>
        </is>
      </c>
      <c r="AP151" s="240" t="inlineStr">
        <is>
          <t>상호</t>
        </is>
      </c>
      <c r="AQ151" s="240" t="inlineStr">
        <is>
          <t>용량</t>
        </is>
      </c>
      <c r="AR151" s="240" t="inlineStr">
        <is>
          <t>지역</t>
        </is>
      </c>
      <c r="AS151" s="240" t="inlineStr">
        <is>
          <t>시간</t>
        </is>
      </c>
      <c r="AT151" s="240" t="inlineStr">
        <is>
          <t>수수료</t>
        </is>
      </c>
      <c r="AU151" s="240" t="inlineStr">
        <is>
          <t>검사자</t>
        </is>
      </c>
      <c r="AV151" s="239" t="inlineStr">
        <is>
          <t>상호</t>
        </is>
      </c>
      <c r="AW151" s="240" t="inlineStr">
        <is>
          <t>용량</t>
        </is>
      </c>
      <c r="AX151" s="240" t="inlineStr">
        <is>
          <t>지역</t>
        </is>
      </c>
      <c r="AY151" s="240" t="inlineStr">
        <is>
          <t>시간</t>
        </is>
      </c>
      <c r="AZ151" s="241" t="inlineStr">
        <is>
          <t>검사자</t>
        </is>
      </c>
      <c r="BA151" s="171" t="n"/>
      <c r="BB151" s="171" t="n"/>
      <c r="BC151" s="171" t="n"/>
      <c r="BD151" s="171" t="n"/>
      <c r="BE151" s="171" t="n"/>
      <c r="BF151" s="171" t="n"/>
      <c r="BG151" s="171" t="n"/>
      <c r="BH151" s="171" t="n"/>
      <c r="BI151" s="171" t="n"/>
      <c r="BJ151" s="171" t="n"/>
      <c r="BK151" s="171" t="n"/>
      <c r="BL151" s="171" t="n"/>
      <c r="BM151" s="171" t="n"/>
      <c r="BN151" s="171" t="n"/>
      <c r="BO151" s="171" t="n"/>
      <c r="BP151" s="171" t="n"/>
      <c r="BQ151" s="171" t="n"/>
      <c r="BR151" s="171" t="n"/>
      <c r="BS151" s="171" t="n"/>
      <c r="BT151" s="171" t="n"/>
      <c r="BU151" s="171" t="n"/>
      <c r="BV151" s="171" t="n"/>
      <c r="BW151" s="171" t="n"/>
      <c r="BX151" s="171" t="n"/>
      <c r="BY151" s="171" t="n"/>
      <c r="BZ151" s="171" t="n"/>
      <c r="CA151" s="171" t="n"/>
      <c r="CB151" s="171" t="n"/>
      <c r="CC151" s="171" t="n"/>
      <c r="CD151" s="171" t="n"/>
      <c r="CE151" s="171" t="n"/>
      <c r="CF151" s="171" t="n"/>
      <c r="CG151" s="171" t="n"/>
      <c r="CH151" s="171" t="n"/>
      <c r="CI151" s="171" t="n"/>
      <c r="CJ151" s="171" t="n"/>
      <c r="CK151" s="171" t="n"/>
      <c r="CL151" s="171" t="n"/>
    </row>
    <row r="152">
      <c r="A152" s="171" t="n"/>
      <c r="B152" s="242" t="inlineStr">
        <is>
          <t>부천지역</t>
        </is>
      </c>
      <c r="C152" s="243" t="n"/>
      <c r="D152" s="243" t="n"/>
      <c r="E152" s="204" t="n"/>
      <c r="F152" s="205" t="n"/>
      <c r="G152" s="244" t="n"/>
      <c r="H152" s="204" t="n"/>
      <c r="I152" s="207" t="inlineStr">
        <is>
          <t>서수형휴가</t>
        </is>
      </c>
      <c r="J152" s="245" t="n"/>
      <c r="K152" s="209" t="n"/>
      <c r="L152" s="210" t="n"/>
      <c r="M152" s="246" t="n"/>
      <c r="N152" s="171" t="n"/>
      <c r="O152" s="242" t="inlineStr">
        <is>
          <t>부천지역</t>
        </is>
      </c>
      <c r="P152" s="243" t="inlineStr">
        <is>
          <t>중동프라자</t>
        </is>
      </c>
      <c r="Q152" s="243" t="inlineStr">
        <is>
          <t>950/315</t>
        </is>
      </c>
      <c r="R152" s="204" t="inlineStr">
        <is>
          <t>중동</t>
        </is>
      </c>
      <c r="S152" s="205" t="n">
        <v>0.2916666666666667</v>
      </c>
      <c r="T152" s="244" t="n">
        <v>1439020</v>
      </c>
      <c r="U152" s="204" t="n"/>
      <c r="V152" s="207" t="inlineStr">
        <is>
          <t>중동프라자</t>
        </is>
      </c>
      <c r="W152" s="245" t="n">
        <v>950</v>
      </c>
      <c r="X152" s="209" t="inlineStr">
        <is>
          <t>중동</t>
        </is>
      </c>
      <c r="Y152" s="210" t="n"/>
      <c r="Z152" s="246" t="n"/>
      <c r="AA152" s="171" t="n"/>
      <c r="AB152" s="242" t="inlineStr">
        <is>
          <t>부천지역</t>
        </is>
      </c>
      <c r="AC152" s="243" t="inlineStr">
        <is>
          <t>스카이비엠</t>
        </is>
      </c>
      <c r="AD152" s="243" t="inlineStr">
        <is>
          <t>600/165</t>
        </is>
      </c>
      <c r="AE152" s="204" t="inlineStr">
        <is>
          <t>심곡본동</t>
        </is>
      </c>
      <c r="AF152" s="205" t="n">
        <v>0.375</v>
      </c>
      <c r="AG152" s="244" t="n">
        <v>1239370</v>
      </c>
      <c r="AH152" s="204" t="n"/>
      <c r="AI152" s="207" t="inlineStr">
        <is>
          <t>이종석휴가</t>
        </is>
      </c>
      <c r="AJ152" s="245" t="n"/>
      <c r="AK152" s="209" t="n"/>
      <c r="AL152" s="210" t="n"/>
      <c r="AM152" s="246" t="n"/>
      <c r="AN152" s="171" t="n"/>
      <c r="AO152" s="242" t="inlineStr">
        <is>
          <t>부천지역</t>
        </is>
      </c>
      <c r="AP152" s="243" t="inlineStr">
        <is>
          <t>금광베네스타</t>
        </is>
      </c>
      <c r="AQ152" s="243" t="inlineStr">
        <is>
          <t>2200/700</t>
        </is>
      </c>
      <c r="AR152" s="204" t="inlineStr">
        <is>
          <t>중동</t>
        </is>
      </c>
      <c r="AS152" s="205" t="n">
        <v>0.4166666666666667</v>
      </c>
      <c r="AT152" s="244" t="n">
        <v>1802460</v>
      </c>
      <c r="AU152" s="204" t="n"/>
      <c r="AV152" s="207" t="inlineStr">
        <is>
          <t>광장빌딩</t>
        </is>
      </c>
      <c r="AW152" s="245" t="n">
        <v>450</v>
      </c>
      <c r="AX152" s="209" t="inlineStr">
        <is>
          <t>송내동</t>
        </is>
      </c>
      <c r="AY152" s="210" t="n"/>
      <c r="AZ152" s="246" t="n"/>
      <c r="BA152" s="171" t="n"/>
      <c r="BB152" s="171" t="n"/>
      <c r="BC152" s="171" t="n"/>
      <c r="BD152" s="171" t="n"/>
      <c r="BE152" s="171" t="n"/>
      <c r="BF152" s="171" t="n"/>
      <c r="BG152" s="171" t="n"/>
      <c r="BH152" s="171" t="n"/>
      <c r="BI152" s="171" t="n"/>
      <c r="BJ152" s="171" t="n"/>
      <c r="BK152" s="171" t="n"/>
      <c r="BL152" s="171" t="n"/>
      <c r="BM152" s="171" t="n"/>
      <c r="BN152" s="171" t="n"/>
      <c r="BO152" s="171" t="n"/>
      <c r="BP152" s="171" t="n"/>
      <c r="BQ152" s="171" t="n"/>
      <c r="BR152" s="171" t="n"/>
      <c r="BS152" s="171" t="n"/>
      <c r="BT152" s="171" t="n"/>
      <c r="BU152" s="171" t="n"/>
      <c r="BV152" s="171" t="n"/>
      <c r="BW152" s="171" t="n"/>
      <c r="BX152" s="171" t="n"/>
      <c r="BY152" s="171" t="n"/>
      <c r="BZ152" s="171" t="n"/>
      <c r="CA152" s="171" t="n"/>
      <c r="CB152" s="171" t="n"/>
      <c r="CC152" s="171" t="n"/>
      <c r="CD152" s="171" t="n"/>
      <c r="CE152" s="171" t="n"/>
      <c r="CF152" s="171" t="n"/>
      <c r="CG152" s="171" t="n"/>
      <c r="CH152" s="171" t="n"/>
      <c r="CI152" s="171" t="n"/>
      <c r="CJ152" s="171" t="n"/>
      <c r="CK152" s="171" t="n"/>
      <c r="CL152" s="171" t="n"/>
    </row>
    <row r="153">
      <c r="A153" s="171" t="n"/>
      <c r="B153" s="242" t="n"/>
      <c r="C153" s="243" t="n"/>
      <c r="D153" s="243" t="n"/>
      <c r="E153" s="204" t="n"/>
      <c r="F153" s="205" t="n"/>
      <c r="G153" s="244" t="n"/>
      <c r="H153" s="204" t="n"/>
      <c r="I153" s="207" t="inlineStr">
        <is>
          <t>허창수휴가</t>
        </is>
      </c>
      <c r="J153" s="245" t="n"/>
      <c r="K153" s="209" t="n"/>
      <c r="L153" s="210" t="n"/>
      <c r="M153" s="246" t="n"/>
      <c r="N153" s="171" t="n"/>
      <c r="O153" s="242" t="n"/>
      <c r="P153" s="243" t="n"/>
      <c r="Q153" s="243" t="n"/>
      <c r="R153" s="204" t="n"/>
      <c r="S153" s="205" t="n"/>
      <c r="T153" s="244" t="n"/>
      <c r="U153" s="204" t="n"/>
      <c r="V153" s="207" t="inlineStr">
        <is>
          <t>오정구청</t>
        </is>
      </c>
      <c r="W153" s="245" t="n">
        <v>1500</v>
      </c>
      <c r="X153" s="209" t="inlineStr">
        <is>
          <t>오정동</t>
        </is>
      </c>
      <c r="Y153" s="210" t="n"/>
      <c r="Z153" s="246" t="n"/>
      <c r="AA153" s="171" t="n"/>
      <c r="AB153" s="242" t="n"/>
      <c r="AC153" s="243" t="n"/>
      <c r="AD153" s="243" t="n"/>
      <c r="AE153" s="204" t="n"/>
      <c r="AF153" s="205" t="n"/>
      <c r="AG153" s="244" t="n"/>
      <c r="AH153" s="204" t="n"/>
      <c r="AI153" s="207" t="inlineStr">
        <is>
          <t>허창수휴가</t>
        </is>
      </c>
      <c r="AJ153" s="245" t="n"/>
      <c r="AK153" s="209" t="n"/>
      <c r="AL153" s="210" t="n"/>
      <c r="AM153" s="246" t="n"/>
      <c r="AN153" s="171" t="n"/>
      <c r="AO153" s="242" t="n"/>
      <c r="AP153" s="243" t="inlineStr">
        <is>
          <t>부편집중국</t>
        </is>
      </c>
      <c r="AQ153" s="243" t="inlineStr">
        <is>
          <t>2000/750</t>
        </is>
      </c>
      <c r="AR153" s="204" t="inlineStr">
        <is>
          <t>오정동</t>
        </is>
      </c>
      <c r="AS153" s="205" t="n">
        <v>0.3958333333333333</v>
      </c>
      <c r="AT153" s="244" t="n">
        <v>1776610</v>
      </c>
      <c r="AU153" s="204" t="n"/>
      <c r="AV153" s="207" t="inlineStr">
        <is>
          <t>이덕기휴가</t>
        </is>
      </c>
      <c r="AW153" s="245" t="n"/>
      <c r="AX153" s="209" t="n"/>
      <c r="AY153" s="210" t="n"/>
      <c r="AZ153" s="246" t="n"/>
      <c r="BA153" s="171" t="n"/>
      <c r="BB153" s="171" t="n"/>
      <c r="BC153" s="171" t="n"/>
      <c r="BD153" s="171" t="n"/>
      <c r="BE153" s="171" t="n"/>
      <c r="BF153" s="171" t="n"/>
      <c r="BG153" s="171" t="n"/>
      <c r="BH153" s="171" t="n"/>
      <c r="BI153" s="171" t="n"/>
      <c r="BJ153" s="171" t="n"/>
      <c r="BK153" s="171" t="n"/>
      <c r="BL153" s="171" t="n"/>
      <c r="BM153" s="171" t="n"/>
      <c r="BN153" s="171" t="n"/>
      <c r="BO153" s="171" t="n"/>
      <c r="BP153" s="171" t="n"/>
      <c r="BQ153" s="171" t="n"/>
      <c r="BR153" s="171" t="n"/>
      <c r="BS153" s="171" t="n"/>
      <c r="BT153" s="171" t="n"/>
      <c r="BU153" s="171" t="n"/>
      <c r="BV153" s="171" t="n"/>
      <c r="BW153" s="171" t="n"/>
      <c r="BX153" s="171" t="n"/>
      <c r="BY153" s="171" t="n"/>
      <c r="BZ153" s="171" t="n"/>
      <c r="CA153" s="171" t="n"/>
      <c r="CB153" s="171" t="n"/>
      <c r="CC153" s="171" t="n"/>
      <c r="CD153" s="171" t="n"/>
      <c r="CE153" s="171" t="n"/>
      <c r="CF153" s="171" t="n"/>
      <c r="CG153" s="171" t="n"/>
      <c r="CH153" s="171" t="n"/>
      <c r="CI153" s="171" t="n"/>
      <c r="CJ153" s="171" t="n"/>
      <c r="CK153" s="171" t="n"/>
      <c r="CL153" s="171" t="n"/>
    </row>
    <row r="154">
      <c r="A154" s="171" t="n"/>
      <c r="B154" s="242" t="n"/>
      <c r="C154" s="243" t="n"/>
      <c r="D154" s="243" t="n"/>
      <c r="E154" s="204" t="n"/>
      <c r="F154" s="205" t="n"/>
      <c r="G154" s="244" t="n"/>
      <c r="H154" s="204" t="n"/>
      <c r="I154" s="207" t="n"/>
      <c r="J154" s="245" t="n"/>
      <c r="K154" s="209" t="n"/>
      <c r="L154" s="210" t="n"/>
      <c r="M154" s="246" t="n"/>
      <c r="N154" s="171" t="n"/>
      <c r="O154" s="242" t="n"/>
      <c r="P154" s="243" t="n"/>
      <c r="Q154" s="243" t="n"/>
      <c r="R154" s="204" t="n"/>
      <c r="S154" s="205" t="n"/>
      <c r="T154" s="244" t="n"/>
      <c r="U154" s="204" t="n"/>
      <c r="V154" s="207" t="inlineStr">
        <is>
          <t>부안초</t>
        </is>
      </c>
      <c r="W154" s="245" t="n">
        <v>750</v>
      </c>
      <c r="X154" s="209" t="inlineStr">
        <is>
          <t>범박동</t>
        </is>
      </c>
      <c r="Y154" s="210" t="n"/>
      <c r="Z154" s="246" t="n"/>
      <c r="AA154" s="171" t="n"/>
      <c r="AB154" s="242" t="n"/>
      <c r="AC154" s="243" t="n"/>
      <c r="AD154" s="243" t="n"/>
      <c r="AE154" s="204" t="n"/>
      <c r="AF154" s="205" t="n"/>
      <c r="AG154" s="244" t="n"/>
      <c r="AH154" s="204" t="n"/>
      <c r="AI154" s="207" t="inlineStr">
        <is>
          <t>당효진휴가</t>
        </is>
      </c>
      <c r="AJ154" s="245" t="n"/>
      <c r="AK154" s="209" t="n"/>
      <c r="AL154" s="210" t="n"/>
      <c r="AM154" s="246" t="n"/>
      <c r="AN154" s="171" t="n"/>
      <c r="AO154" s="242" t="n"/>
      <c r="AP154" s="243" t="inlineStr">
        <is>
          <t>원남빌딩</t>
        </is>
      </c>
      <c r="AQ154" s="243" t="n">
        <v>250</v>
      </c>
      <c r="AR154" s="204" t="inlineStr">
        <is>
          <t>중동</t>
        </is>
      </c>
      <c r="AS154" s="205" t="n">
        <v>0.3958333333333333</v>
      </c>
      <c r="AT154" s="244" t="n">
        <v>635910</v>
      </c>
      <c r="AU154" s="204" t="n"/>
      <c r="AV154" s="207" t="inlineStr">
        <is>
          <t>변종국휴가</t>
        </is>
      </c>
      <c r="AW154" s="245" t="n"/>
      <c r="AX154" s="209" t="n"/>
      <c r="AY154" s="210" t="n"/>
      <c r="AZ154" s="246" t="n"/>
      <c r="BA154" s="171" t="n"/>
      <c r="BB154" s="171" t="n"/>
      <c r="BC154" s="171" t="n"/>
      <c r="BD154" s="171" t="n"/>
      <c r="BE154" s="171" t="n"/>
      <c r="BF154" s="171" t="n"/>
      <c r="BG154" s="171" t="n"/>
      <c r="BH154" s="171" t="n"/>
      <c r="BI154" s="171" t="n"/>
      <c r="BJ154" s="171" t="n"/>
      <c r="BK154" s="171" t="n"/>
      <c r="BL154" s="171" t="n"/>
      <c r="BM154" s="171" t="n"/>
      <c r="BN154" s="171" t="n"/>
      <c r="BO154" s="171" t="n"/>
      <c r="BP154" s="171" t="n"/>
      <c r="BQ154" s="171" t="n"/>
      <c r="BR154" s="171" t="n"/>
      <c r="BS154" s="171" t="n"/>
      <c r="BT154" s="171" t="n"/>
      <c r="BU154" s="171" t="n"/>
      <c r="BV154" s="171" t="n"/>
      <c r="BW154" s="171" t="n"/>
      <c r="BX154" s="171" t="n"/>
      <c r="BY154" s="171" t="n"/>
      <c r="BZ154" s="171" t="n"/>
      <c r="CA154" s="171" t="n"/>
      <c r="CB154" s="171" t="n"/>
      <c r="CC154" s="171" t="n"/>
      <c r="CD154" s="171" t="n"/>
      <c r="CE154" s="171" t="n"/>
      <c r="CF154" s="171" t="n"/>
      <c r="CG154" s="171" t="n"/>
      <c r="CH154" s="171" t="n"/>
      <c r="CI154" s="171" t="n"/>
      <c r="CJ154" s="171" t="n"/>
      <c r="CK154" s="171" t="n"/>
      <c r="CL154" s="171" t="n"/>
    </row>
    <row r="155">
      <c r="A155" s="171" t="n"/>
      <c r="B155" s="242" t="n"/>
      <c r="C155" s="243" t="n"/>
      <c r="D155" s="243" t="n"/>
      <c r="E155" s="204" t="n"/>
      <c r="F155" s="205" t="n"/>
      <c r="G155" s="244" t="n"/>
      <c r="H155" s="204" t="n"/>
      <c r="I155" s="207" t="n"/>
      <c r="J155" s="245" t="n"/>
      <c r="K155" s="209" t="n"/>
      <c r="L155" s="210" t="n"/>
      <c r="M155" s="246" t="n"/>
      <c r="N155" s="171" t="n"/>
      <c r="O155" s="242" t="n"/>
      <c r="P155" s="243" t="n"/>
      <c r="Q155" s="243" t="n"/>
      <c r="R155" s="204" t="n"/>
      <c r="S155" s="205" t="n"/>
      <c r="T155" s="244" t="n"/>
      <c r="U155" s="204" t="n"/>
      <c r="V155" s="207" t="inlineStr">
        <is>
          <t>변종국휴가</t>
        </is>
      </c>
      <c r="W155" s="245" t="n"/>
      <c r="X155" s="209" t="n"/>
      <c r="Y155" s="210" t="n"/>
      <c r="Z155" s="246" t="n"/>
      <c r="AA155" s="171" t="n"/>
      <c r="AB155" s="242" t="n"/>
      <c r="AC155" s="243" t="n"/>
      <c r="AD155" s="243" t="n"/>
      <c r="AE155" s="204" t="n"/>
      <c r="AF155" s="205" t="n"/>
      <c r="AG155" s="244" t="n"/>
      <c r="AH155" s="204" t="n"/>
      <c r="AI155" s="207" t="inlineStr">
        <is>
          <t>민재홍휴가</t>
        </is>
      </c>
      <c r="AJ155" s="245" t="n"/>
      <c r="AK155" s="209" t="n"/>
      <c r="AL155" s="210" t="n"/>
      <c r="AM155" s="246" t="n"/>
      <c r="AN155" s="171" t="n"/>
      <c r="AO155" s="242" t="n"/>
      <c r="AP155" s="243" t="n"/>
      <c r="AQ155" s="243" t="n"/>
      <c r="AR155" s="204" t="n"/>
      <c r="AS155" s="205" t="n"/>
      <c r="AT155" s="244" t="n"/>
      <c r="AU155" s="204" t="n"/>
      <c r="AV155" s="207" t="inlineStr">
        <is>
          <t>허창수휴가</t>
        </is>
      </c>
      <c r="AW155" s="245" t="n"/>
      <c r="AX155" s="209" t="n"/>
      <c r="AY155" s="210" t="n"/>
      <c r="AZ155" s="246" t="n"/>
      <c r="BA155" s="171" t="n"/>
      <c r="BB155" s="171" t="n"/>
      <c r="BC155" s="171" t="n"/>
      <c r="BD155" s="171" t="n"/>
      <c r="BE155" s="171" t="n"/>
      <c r="BF155" s="171" t="n"/>
      <c r="BG155" s="171" t="n"/>
      <c r="BH155" s="171" t="n"/>
      <c r="BI155" s="171" t="n"/>
      <c r="BJ155" s="171" t="n"/>
      <c r="BK155" s="171" t="n"/>
      <c r="BL155" s="171" t="n"/>
      <c r="BM155" s="171" t="n"/>
      <c r="BN155" s="171" t="n"/>
      <c r="BO155" s="171" t="n"/>
      <c r="BP155" s="171" t="n"/>
      <c r="BQ155" s="171" t="n"/>
      <c r="BR155" s="171" t="n"/>
      <c r="BS155" s="171" t="n"/>
      <c r="BT155" s="171" t="n"/>
      <c r="BU155" s="171" t="n"/>
      <c r="BV155" s="171" t="n"/>
      <c r="BW155" s="171" t="n"/>
      <c r="BX155" s="171" t="n"/>
      <c r="BY155" s="171" t="n"/>
      <c r="BZ155" s="171" t="n"/>
      <c r="CA155" s="171" t="n"/>
      <c r="CB155" s="171" t="n"/>
      <c r="CC155" s="171" t="n"/>
      <c r="CD155" s="171" t="n"/>
      <c r="CE155" s="171" t="n"/>
      <c r="CF155" s="171" t="n"/>
      <c r="CG155" s="171" t="n"/>
      <c r="CH155" s="171" t="n"/>
      <c r="CI155" s="171" t="n"/>
      <c r="CJ155" s="171" t="n"/>
      <c r="CK155" s="171" t="n"/>
      <c r="CL155" s="171" t="n"/>
    </row>
    <row r="156">
      <c r="A156" s="171" t="n"/>
      <c r="B156" s="242" t="n"/>
      <c r="C156" s="243" t="n"/>
      <c r="D156" s="243" t="n"/>
      <c r="E156" s="204" t="n"/>
      <c r="F156" s="205" t="n"/>
      <c r="G156" s="244" t="n"/>
      <c r="H156" s="204" t="n"/>
      <c r="I156" s="207" t="n"/>
      <c r="J156" s="245" t="n"/>
      <c r="K156" s="209" t="n"/>
      <c r="L156" s="210" t="n"/>
      <c r="M156" s="246" t="n"/>
      <c r="N156" s="171" t="n"/>
      <c r="O156" s="242" t="n"/>
      <c r="P156" s="243" t="n"/>
      <c r="Q156" s="243" t="n"/>
      <c r="R156" s="204" t="n"/>
      <c r="S156" s="205" t="n"/>
      <c r="T156" s="244" t="n"/>
      <c r="U156" s="204" t="n"/>
      <c r="V156" s="207" t="inlineStr">
        <is>
          <t>한태희휴가</t>
        </is>
      </c>
      <c r="W156" s="245" t="n"/>
      <c r="X156" s="209" t="n"/>
      <c r="Y156" s="210" t="n"/>
      <c r="Z156" s="246" t="n"/>
      <c r="AA156" s="171" t="n"/>
      <c r="AB156" s="242" t="n"/>
      <c r="AC156" s="243" t="n"/>
      <c r="AD156" s="243" t="n"/>
      <c r="AE156" s="204" t="n"/>
      <c r="AF156" s="205" t="n"/>
      <c r="AG156" s="244" t="n"/>
      <c r="AH156" s="204" t="n"/>
      <c r="AI156" s="207" t="n"/>
      <c r="AJ156" s="245" t="n"/>
      <c r="AK156" s="209" t="n"/>
      <c r="AL156" s="210" t="n"/>
      <c r="AM156" s="246" t="n"/>
      <c r="AN156" s="171" t="n"/>
      <c r="AO156" s="242" t="n"/>
      <c r="AP156" s="243" t="n"/>
      <c r="AQ156" s="243" t="n"/>
      <c r="AR156" s="204" t="n"/>
      <c r="AS156" s="205" t="n"/>
      <c r="AT156" s="244" t="n"/>
      <c r="AU156" s="204" t="n"/>
      <c r="AV156" s="207" t="n"/>
      <c r="AW156" s="245" t="n"/>
      <c r="AX156" s="209" t="n"/>
      <c r="AY156" s="210" t="n"/>
      <c r="AZ156" s="246" t="n"/>
      <c r="BA156" s="171" t="n"/>
      <c r="BB156" s="171" t="n"/>
      <c r="BC156" s="171" t="n"/>
      <c r="BD156" s="171" t="n"/>
      <c r="BE156" s="171" t="n"/>
      <c r="BF156" s="171" t="n"/>
      <c r="BG156" s="171" t="n"/>
      <c r="BH156" s="171" t="n"/>
      <c r="BI156" s="171" t="n"/>
      <c r="BJ156" s="171" t="n"/>
      <c r="BK156" s="171" t="n"/>
      <c r="BL156" s="171" t="n"/>
      <c r="BM156" s="171" t="n"/>
      <c r="BN156" s="171" t="n"/>
      <c r="BO156" s="171" t="n"/>
      <c r="BP156" s="171" t="n"/>
      <c r="BQ156" s="171" t="n"/>
      <c r="BR156" s="171" t="n"/>
      <c r="BS156" s="171" t="n"/>
      <c r="BT156" s="171" t="n"/>
      <c r="BU156" s="171" t="n"/>
      <c r="BV156" s="171" t="n"/>
      <c r="BW156" s="171" t="n"/>
      <c r="BX156" s="171" t="n"/>
      <c r="BY156" s="171" t="n"/>
      <c r="BZ156" s="171" t="n"/>
      <c r="CA156" s="171" t="n"/>
      <c r="CB156" s="171" t="n"/>
      <c r="CC156" s="171" t="n"/>
      <c r="CD156" s="171" t="n"/>
      <c r="CE156" s="171" t="n"/>
      <c r="CF156" s="171" t="n"/>
      <c r="CG156" s="171" t="n"/>
      <c r="CH156" s="171" t="n"/>
      <c r="CI156" s="171" t="n"/>
      <c r="CJ156" s="171" t="n"/>
      <c r="CK156" s="171" t="n"/>
      <c r="CL156" s="171" t="n"/>
    </row>
    <row r="157">
      <c r="A157" s="171" t="n"/>
      <c r="B157" s="242" t="n"/>
      <c r="C157" s="243" t="n"/>
      <c r="D157" s="243" t="n"/>
      <c r="E157" s="204" t="n"/>
      <c r="F157" s="205" t="n"/>
      <c r="G157" s="244" t="n"/>
      <c r="H157" s="204" t="n"/>
      <c r="I157" s="207" t="n"/>
      <c r="J157" s="245" t="n"/>
      <c r="K157" s="209" t="n"/>
      <c r="L157" s="210" t="n"/>
      <c r="M157" s="246" t="n"/>
      <c r="N157" s="171" t="n"/>
      <c r="O157" s="242" t="n"/>
      <c r="P157" s="243" t="n"/>
      <c r="Q157" s="243" t="n"/>
      <c r="R157" s="204" t="n"/>
      <c r="S157" s="205" t="n"/>
      <c r="T157" s="244" t="n"/>
      <c r="U157" s="204" t="n"/>
      <c r="V157" s="207" t="inlineStr">
        <is>
          <t>이덕기휴가</t>
        </is>
      </c>
      <c r="W157" s="245" t="n"/>
      <c r="X157" s="209" t="n"/>
      <c r="Y157" s="210" t="n"/>
      <c r="Z157" s="246" t="n"/>
      <c r="AA157" s="171" t="n"/>
      <c r="AB157" s="242" t="n"/>
      <c r="AC157" s="243" t="n"/>
      <c r="AD157" s="243" t="n"/>
      <c r="AE157" s="204" t="n"/>
      <c r="AF157" s="205" t="n"/>
      <c r="AG157" s="244" t="n"/>
      <c r="AH157" s="204" t="n"/>
      <c r="AI157" s="207" t="n"/>
      <c r="AJ157" s="245" t="n"/>
      <c r="AK157" s="209" t="n"/>
      <c r="AL157" s="210" t="n"/>
      <c r="AM157" s="246" t="n"/>
      <c r="AN157" s="171" t="n"/>
      <c r="AO157" s="242" t="n"/>
      <c r="AP157" s="243" t="n"/>
      <c r="AQ157" s="243" t="n"/>
      <c r="AR157" s="204" t="n"/>
      <c r="AS157" s="205" t="n"/>
      <c r="AT157" s="244" t="n"/>
      <c r="AU157" s="204" t="n"/>
      <c r="AV157" s="207" t="n"/>
      <c r="AW157" s="245" t="n"/>
      <c r="AX157" s="209" t="n"/>
      <c r="AY157" s="210" t="n"/>
      <c r="AZ157" s="246" t="n"/>
      <c r="BA157" s="171" t="n"/>
      <c r="BB157" s="171" t="n"/>
      <c r="BC157" s="171" t="n"/>
      <c r="BD157" s="171" t="n"/>
      <c r="BE157" s="171" t="n"/>
      <c r="BF157" s="171" t="n"/>
      <c r="BG157" s="171" t="n"/>
      <c r="BH157" s="171" t="n"/>
      <c r="BI157" s="171" t="n"/>
      <c r="BJ157" s="171" t="n"/>
      <c r="BK157" s="171" t="n"/>
      <c r="BL157" s="171" t="n"/>
      <c r="BM157" s="171" t="n"/>
      <c r="BN157" s="171" t="n"/>
      <c r="BO157" s="171" t="n"/>
      <c r="BP157" s="171" t="n"/>
      <c r="BQ157" s="171" t="n"/>
      <c r="BR157" s="171" t="n"/>
      <c r="BS157" s="171" t="n"/>
      <c r="BT157" s="171" t="n"/>
      <c r="BU157" s="171" t="n"/>
      <c r="BV157" s="171" t="n"/>
      <c r="BW157" s="171" t="n"/>
      <c r="BX157" s="171" t="n"/>
      <c r="BY157" s="171" t="n"/>
      <c r="BZ157" s="171" t="n"/>
      <c r="CA157" s="171" t="n"/>
      <c r="CB157" s="171" t="n"/>
      <c r="CC157" s="171" t="n"/>
      <c r="CD157" s="171" t="n"/>
      <c r="CE157" s="171" t="n"/>
      <c r="CF157" s="171" t="n"/>
      <c r="CG157" s="171" t="n"/>
      <c r="CH157" s="171" t="n"/>
      <c r="CI157" s="171" t="n"/>
      <c r="CJ157" s="171" t="n"/>
      <c r="CK157" s="171" t="n"/>
      <c r="CL157" s="171" t="n"/>
    </row>
    <row r="158">
      <c r="A158" s="171" t="n"/>
      <c r="B158" s="242" t="n"/>
      <c r="C158" s="243" t="n"/>
      <c r="D158" s="243" t="n"/>
      <c r="E158" s="204" t="n"/>
      <c r="F158" s="205" t="n"/>
      <c r="G158" s="244" t="n"/>
      <c r="H158" s="204" t="n"/>
      <c r="I158" s="207" t="n"/>
      <c r="J158" s="245" t="n"/>
      <c r="K158" s="209" t="n"/>
      <c r="L158" s="210" t="n"/>
      <c r="M158" s="246" t="n"/>
      <c r="N158" s="171" t="n"/>
      <c r="O158" s="242" t="n"/>
      <c r="P158" s="243" t="n"/>
      <c r="Q158" s="243" t="n"/>
      <c r="R158" s="204" t="n"/>
      <c r="S158" s="205" t="n"/>
      <c r="T158" s="244" t="n"/>
      <c r="U158" s="204" t="n"/>
      <c r="V158" s="207" t="n"/>
      <c r="W158" s="245" t="n"/>
      <c r="X158" s="209" t="n"/>
      <c r="Y158" s="210" t="n"/>
      <c r="Z158" s="246" t="n"/>
      <c r="AA158" s="171" t="n"/>
      <c r="AB158" s="242" t="n"/>
      <c r="AC158" s="243" t="n"/>
      <c r="AD158" s="243" t="n"/>
      <c r="AE158" s="204" t="n"/>
      <c r="AF158" s="205" t="n"/>
      <c r="AG158" s="244" t="n"/>
      <c r="AH158" s="204" t="n"/>
      <c r="AI158" s="207" t="n"/>
      <c r="AJ158" s="245" t="n"/>
      <c r="AK158" s="209" t="n"/>
      <c r="AL158" s="210" t="n"/>
      <c r="AM158" s="246" t="n"/>
      <c r="AN158" s="171" t="n"/>
      <c r="AO158" s="242" t="n"/>
      <c r="AP158" s="243" t="n"/>
      <c r="AQ158" s="243" t="n"/>
      <c r="AR158" s="204" t="n"/>
      <c r="AS158" s="205" t="n"/>
      <c r="AT158" s="244" t="n"/>
      <c r="AU158" s="204" t="n"/>
      <c r="AV158" s="207" t="n"/>
      <c r="AW158" s="245" t="n"/>
      <c r="AX158" s="209" t="n"/>
      <c r="AY158" s="210" t="n"/>
      <c r="AZ158" s="246" t="n"/>
      <c r="BA158" s="171" t="n"/>
      <c r="BB158" s="171" t="n"/>
      <c r="BC158" s="171" t="n"/>
      <c r="BD158" s="171" t="n"/>
      <c r="BE158" s="171" t="n"/>
      <c r="BF158" s="171" t="n"/>
      <c r="BG158" s="171" t="n"/>
      <c r="BH158" s="171" t="n"/>
      <c r="BI158" s="171" t="n"/>
      <c r="BJ158" s="171" t="n"/>
      <c r="BK158" s="171" t="n"/>
      <c r="BL158" s="171" t="n"/>
      <c r="BM158" s="171" t="n"/>
      <c r="BN158" s="171" t="n"/>
      <c r="BO158" s="171" t="n"/>
      <c r="BP158" s="171" t="n"/>
      <c r="BQ158" s="171" t="n"/>
      <c r="BR158" s="171" t="n"/>
      <c r="BS158" s="171" t="n"/>
      <c r="BT158" s="171" t="n"/>
      <c r="BU158" s="171" t="n"/>
      <c r="BV158" s="171" t="n"/>
      <c r="BW158" s="171" t="n"/>
      <c r="BX158" s="171" t="n"/>
      <c r="BY158" s="171" t="n"/>
      <c r="BZ158" s="171" t="n"/>
      <c r="CA158" s="171" t="n"/>
      <c r="CB158" s="171" t="n"/>
      <c r="CC158" s="171" t="n"/>
      <c r="CD158" s="171" t="n"/>
      <c r="CE158" s="171" t="n"/>
      <c r="CF158" s="171" t="n"/>
      <c r="CG158" s="171" t="n"/>
      <c r="CH158" s="171" t="n"/>
      <c r="CI158" s="171" t="n"/>
      <c r="CJ158" s="171" t="n"/>
      <c r="CK158" s="171" t="n"/>
      <c r="CL158" s="171" t="n"/>
    </row>
    <row r="159">
      <c r="A159" s="171" t="n"/>
      <c r="B159" s="242" t="n"/>
      <c r="C159" s="243" t="n"/>
      <c r="D159" s="243" t="n"/>
      <c r="E159" s="204" t="n"/>
      <c r="F159" s="205" t="n"/>
      <c r="G159" s="244" t="n"/>
      <c r="H159" s="204" t="n"/>
      <c r="I159" s="207" t="n"/>
      <c r="J159" s="245" t="n"/>
      <c r="K159" s="209" t="n"/>
      <c r="L159" s="210" t="n"/>
      <c r="M159" s="246" t="n"/>
      <c r="N159" s="171" t="n"/>
      <c r="O159" s="242" t="n"/>
      <c r="P159" s="243" t="n"/>
      <c r="Q159" s="243" t="n"/>
      <c r="R159" s="204" t="n"/>
      <c r="S159" s="205" t="n"/>
      <c r="T159" s="244" t="n"/>
      <c r="U159" s="204" t="n"/>
      <c r="V159" s="207" t="n"/>
      <c r="W159" s="245" t="n"/>
      <c r="X159" s="209" t="n"/>
      <c r="Y159" s="210" t="n"/>
      <c r="Z159" s="246" t="n"/>
      <c r="AA159" s="171" t="n"/>
      <c r="AB159" s="242" t="n"/>
      <c r="AC159" s="243" t="n"/>
      <c r="AD159" s="243" t="n"/>
      <c r="AE159" s="204" t="n"/>
      <c r="AF159" s="205" t="n"/>
      <c r="AG159" s="244" t="n"/>
      <c r="AH159" s="204" t="n"/>
      <c r="AI159" s="207" t="n"/>
      <c r="AJ159" s="245" t="n"/>
      <c r="AK159" s="209" t="n"/>
      <c r="AL159" s="210" t="n"/>
      <c r="AM159" s="246" t="n"/>
      <c r="AN159" s="171" t="n"/>
      <c r="AO159" s="242" t="n"/>
      <c r="AP159" s="243" t="n"/>
      <c r="AQ159" s="243" t="n"/>
      <c r="AR159" s="204" t="n"/>
      <c r="AS159" s="205" t="n"/>
      <c r="AT159" s="244" t="n"/>
      <c r="AU159" s="204" t="n"/>
      <c r="AV159" s="207" t="n"/>
      <c r="AW159" s="245" t="n"/>
      <c r="AX159" s="209" t="n"/>
      <c r="AY159" s="210" t="n"/>
      <c r="AZ159" s="246" t="n"/>
      <c r="BA159" s="171" t="n"/>
      <c r="BB159" s="171" t="n"/>
      <c r="BC159" s="171" t="n"/>
      <c r="BD159" s="171" t="n"/>
      <c r="BE159" s="171" t="n"/>
      <c r="BF159" s="171" t="n"/>
      <c r="BG159" s="171" t="n"/>
      <c r="BH159" s="171" t="n"/>
      <c r="BI159" s="171" t="n"/>
      <c r="BJ159" s="171" t="n"/>
      <c r="BK159" s="171" t="n"/>
      <c r="BL159" s="171" t="n"/>
      <c r="BM159" s="171" t="n"/>
      <c r="BN159" s="171" t="n"/>
      <c r="BO159" s="171" t="n"/>
      <c r="BP159" s="171" t="n"/>
      <c r="BQ159" s="171" t="n"/>
      <c r="BR159" s="171" t="n"/>
      <c r="BS159" s="171" t="n"/>
      <c r="BT159" s="171" t="n"/>
      <c r="BU159" s="171" t="n"/>
      <c r="BV159" s="171" t="n"/>
      <c r="BW159" s="171" t="n"/>
      <c r="BX159" s="171" t="n"/>
      <c r="BY159" s="171" t="n"/>
      <c r="BZ159" s="171" t="n"/>
      <c r="CA159" s="171" t="n"/>
      <c r="CB159" s="171" t="n"/>
      <c r="CC159" s="171" t="n"/>
      <c r="CD159" s="171" t="n"/>
      <c r="CE159" s="171" t="n"/>
      <c r="CF159" s="171" t="n"/>
      <c r="CG159" s="171" t="n"/>
      <c r="CH159" s="171" t="n"/>
      <c r="CI159" s="171" t="n"/>
      <c r="CJ159" s="171" t="n"/>
      <c r="CK159" s="171" t="n"/>
      <c r="CL159" s="171" t="n"/>
    </row>
    <row r="160">
      <c r="A160" s="171" t="n"/>
      <c r="B160" s="242" t="n"/>
      <c r="C160" s="243" t="n"/>
      <c r="D160" s="243" t="n"/>
      <c r="E160" s="204" t="n"/>
      <c r="F160" s="205" t="n"/>
      <c r="G160" s="244" t="n"/>
      <c r="H160" s="204" t="n"/>
      <c r="I160" s="207" t="n"/>
      <c r="J160" s="245" t="n"/>
      <c r="K160" s="209" t="n"/>
      <c r="L160" s="210" t="n"/>
      <c r="M160" s="246" t="n"/>
      <c r="N160" s="171" t="n"/>
      <c r="O160" s="242" t="n"/>
      <c r="P160" s="243" t="n"/>
      <c r="Q160" s="243" t="n"/>
      <c r="R160" s="204" t="n"/>
      <c r="S160" s="205" t="n"/>
      <c r="T160" s="244" t="n"/>
      <c r="U160" s="204" t="n"/>
      <c r="V160" s="207" t="n"/>
      <c r="W160" s="245" t="n"/>
      <c r="X160" s="209" t="n"/>
      <c r="Y160" s="210" t="n"/>
      <c r="Z160" s="246" t="n"/>
      <c r="AA160" s="171" t="n"/>
      <c r="AB160" s="242" t="n"/>
      <c r="AC160" s="243" t="n"/>
      <c r="AD160" s="243" t="n"/>
      <c r="AE160" s="204" t="n"/>
      <c r="AF160" s="205" t="n"/>
      <c r="AG160" s="244" t="n"/>
      <c r="AH160" s="204" t="n"/>
      <c r="AI160" s="207" t="n"/>
      <c r="AJ160" s="245" t="n"/>
      <c r="AK160" s="209" t="n"/>
      <c r="AL160" s="210" t="n"/>
      <c r="AM160" s="246" t="n"/>
      <c r="AN160" s="171" t="n"/>
      <c r="AO160" s="242" t="n"/>
      <c r="AP160" s="243" t="n"/>
      <c r="AQ160" s="243" t="n"/>
      <c r="AR160" s="204" t="n"/>
      <c r="AS160" s="205" t="n"/>
      <c r="AT160" s="244" t="n"/>
      <c r="AU160" s="204" t="n"/>
      <c r="AV160" s="207" t="n"/>
      <c r="AW160" s="245" t="n"/>
      <c r="AX160" s="209" t="n"/>
      <c r="AY160" s="210" t="n"/>
      <c r="AZ160" s="246" t="n"/>
      <c r="BA160" s="171" t="n"/>
      <c r="BB160" s="171" t="n"/>
      <c r="BC160" s="171" t="n"/>
      <c r="BD160" s="171" t="n"/>
      <c r="BE160" s="171" t="n"/>
      <c r="BF160" s="171" t="n"/>
      <c r="BG160" s="171" t="n"/>
      <c r="BH160" s="171" t="n"/>
      <c r="BI160" s="171" t="n"/>
      <c r="BJ160" s="171" t="n"/>
      <c r="BK160" s="171" t="n"/>
      <c r="BL160" s="171" t="n"/>
      <c r="BM160" s="171" t="n"/>
      <c r="BN160" s="171" t="n"/>
      <c r="BO160" s="171" t="n"/>
      <c r="BP160" s="171" t="n"/>
      <c r="BQ160" s="171" t="n"/>
      <c r="BR160" s="171" t="n"/>
      <c r="BS160" s="171" t="n"/>
      <c r="BT160" s="171" t="n"/>
      <c r="BU160" s="171" t="n"/>
      <c r="BV160" s="171" t="n"/>
      <c r="BW160" s="171" t="n"/>
      <c r="BX160" s="171" t="n"/>
      <c r="BY160" s="171" t="n"/>
      <c r="BZ160" s="171" t="n"/>
      <c r="CA160" s="171" t="n"/>
      <c r="CB160" s="171" t="n"/>
      <c r="CC160" s="171" t="n"/>
      <c r="CD160" s="171" t="n"/>
      <c r="CE160" s="171" t="n"/>
      <c r="CF160" s="171" t="n"/>
      <c r="CG160" s="171" t="n"/>
      <c r="CH160" s="171" t="n"/>
      <c r="CI160" s="171" t="n"/>
      <c r="CJ160" s="171" t="n"/>
      <c r="CK160" s="171" t="n"/>
      <c r="CL160" s="171" t="n"/>
    </row>
    <row r="161" ht="18" customHeight="1" s="22" thickBot="1">
      <c r="A161" s="171" t="n"/>
      <c r="B161" s="242" t="n"/>
      <c r="C161" s="243" t="n"/>
      <c r="D161" s="243" t="n"/>
      <c r="E161" s="204" t="n"/>
      <c r="F161" s="205" t="n"/>
      <c r="G161" s="244" t="n"/>
      <c r="H161" s="204" t="n"/>
      <c r="I161" s="207" t="n"/>
      <c r="J161" s="245" t="n"/>
      <c r="K161" s="209" t="n"/>
      <c r="L161" s="210" t="n"/>
      <c r="M161" s="246" t="n"/>
      <c r="N161" s="171" t="n"/>
      <c r="O161" s="242" t="n"/>
      <c r="P161" s="243" t="n"/>
      <c r="Q161" s="243" t="n"/>
      <c r="R161" s="204" t="n"/>
      <c r="S161" s="205" t="n"/>
      <c r="T161" s="244" t="n"/>
      <c r="U161" s="204" t="n"/>
      <c r="V161" s="207" t="n"/>
      <c r="W161" s="245" t="n"/>
      <c r="X161" s="209" t="n"/>
      <c r="Y161" s="210" t="n"/>
      <c r="Z161" s="246" t="n"/>
      <c r="AA161" s="171" t="n"/>
      <c r="AB161" s="242" t="n"/>
      <c r="AC161" s="243" t="n"/>
      <c r="AD161" s="243" t="n"/>
      <c r="AE161" s="204" t="n"/>
      <c r="AF161" s="205" t="n"/>
      <c r="AG161" s="244" t="n"/>
      <c r="AH161" s="204" t="n"/>
      <c r="AI161" s="207" t="n"/>
      <c r="AJ161" s="245" t="n"/>
      <c r="AK161" s="209" t="n"/>
      <c r="AL161" s="210" t="n"/>
      <c r="AM161" s="246" t="n"/>
      <c r="AN161" s="171" t="n"/>
      <c r="AO161" s="242" t="n"/>
      <c r="AP161" s="243" t="n"/>
      <c r="AQ161" s="243" t="n"/>
      <c r="AR161" s="204" t="n"/>
      <c r="AS161" s="205" t="n"/>
      <c r="AT161" s="244" t="n"/>
      <c r="AU161" s="204" t="n"/>
      <c r="AV161" s="207" t="n"/>
      <c r="AW161" s="245" t="n"/>
      <c r="AX161" s="209" t="n"/>
      <c r="AY161" s="210" t="n"/>
      <c r="AZ161" s="246" t="n"/>
      <c r="BA161" s="171" t="n"/>
      <c r="BB161" s="171" t="n"/>
      <c r="BC161" s="171" t="n"/>
      <c r="BD161" s="171" t="n"/>
      <c r="BE161" s="171" t="n"/>
      <c r="BF161" s="171" t="n"/>
      <c r="BG161" s="171" t="n"/>
      <c r="BH161" s="171" t="n"/>
      <c r="BI161" s="171" t="n"/>
      <c r="BJ161" s="171" t="n"/>
      <c r="BK161" s="171" t="n"/>
      <c r="BL161" s="171" t="n"/>
      <c r="BM161" s="171" t="n"/>
      <c r="BN161" s="171" t="n"/>
      <c r="BO161" s="171" t="n"/>
      <c r="BP161" s="171" t="n"/>
      <c r="BQ161" s="171" t="n"/>
      <c r="BR161" s="171" t="n"/>
      <c r="BS161" s="171" t="n"/>
      <c r="BT161" s="171" t="n"/>
      <c r="BU161" s="171" t="n"/>
      <c r="BV161" s="171" t="n"/>
      <c r="BW161" s="171" t="n"/>
      <c r="BX161" s="171" t="n"/>
      <c r="BY161" s="171" t="n"/>
      <c r="BZ161" s="171" t="n"/>
      <c r="CA161" s="171" t="n"/>
      <c r="CB161" s="171" t="n"/>
      <c r="CC161" s="171" t="n"/>
      <c r="CD161" s="171" t="n"/>
      <c r="CE161" s="171" t="n"/>
      <c r="CF161" s="171" t="n"/>
      <c r="CG161" s="171" t="n"/>
      <c r="CH161" s="171" t="n"/>
      <c r="CI161" s="171" t="n"/>
      <c r="CJ161" s="171" t="n"/>
      <c r="CK161" s="171" t="n"/>
      <c r="CL161" s="171" t="n"/>
    </row>
    <row r="162">
      <c r="A162" s="171" t="n"/>
      <c r="B162" s="247" t="inlineStr">
        <is>
          <t>김포지역</t>
        </is>
      </c>
      <c r="C162" s="248" t="n"/>
      <c r="D162" s="248" t="n"/>
      <c r="E162" s="191" t="n"/>
      <c r="F162" s="192" t="n"/>
      <c r="G162" s="249" t="n"/>
      <c r="H162" s="191" t="n"/>
      <c r="I162" s="194" t="inlineStr">
        <is>
          <t>케이에스엠</t>
        </is>
      </c>
      <c r="J162" s="250" t="n">
        <v>1000</v>
      </c>
      <c r="K162" s="196" t="inlineStr">
        <is>
          <t>송마리</t>
        </is>
      </c>
      <c r="L162" s="197" t="n"/>
      <c r="M162" s="251" t="n"/>
      <c r="N162" s="171" t="n"/>
      <c r="O162" s="247" t="inlineStr">
        <is>
          <t>김포지역</t>
        </is>
      </c>
      <c r="P162" s="248" t="n"/>
      <c r="Q162" s="248" t="n"/>
      <c r="R162" s="191" t="n"/>
      <c r="S162" s="192" t="n"/>
      <c r="T162" s="249" t="n"/>
      <c r="U162" s="191" t="n"/>
      <c r="V162" s="194" t="inlineStr">
        <is>
          <t>부림글로벌</t>
        </is>
      </c>
      <c r="W162" s="250" t="n">
        <v>71</v>
      </c>
      <c r="X162" s="196" t="inlineStr">
        <is>
          <t>가현리</t>
        </is>
      </c>
      <c r="Y162" s="197" t="n"/>
      <c r="Z162" s="251" t="n"/>
      <c r="AA162" s="171" t="n"/>
      <c r="AB162" s="247" t="inlineStr">
        <is>
          <t>김포지역</t>
        </is>
      </c>
      <c r="AC162" s="248" t="n"/>
      <c r="AD162" s="248" t="n"/>
      <c r="AE162" s="191" t="n"/>
      <c r="AF162" s="192" t="n"/>
      <c r="AG162" s="249" t="n"/>
      <c r="AH162" s="191" t="n"/>
      <c r="AI162" s="194" t="n"/>
      <c r="AJ162" s="250" t="n"/>
      <c r="AK162" s="196" t="n"/>
      <c r="AL162" s="197" t="n"/>
      <c r="AM162" s="251" t="n"/>
      <c r="AN162" s="171" t="n"/>
      <c r="AO162" s="247" t="inlineStr">
        <is>
          <t>김포지역</t>
        </is>
      </c>
      <c r="AP162" s="248" t="n"/>
      <c r="AQ162" s="248" t="n"/>
      <c r="AR162" s="191" t="n"/>
      <c r="AS162" s="192" t="n"/>
      <c r="AT162" s="249" t="n"/>
      <c r="AU162" s="191" t="n"/>
      <c r="AV162" s="194" t="n"/>
      <c r="AW162" s="250" t="n"/>
      <c r="AX162" s="196" t="n"/>
      <c r="AY162" s="197" t="n"/>
      <c r="AZ162" s="251" t="n"/>
      <c r="BA162" s="171" t="n"/>
      <c r="BB162" s="171" t="n"/>
      <c r="BC162" s="171" t="n"/>
      <c r="BD162" s="171" t="n"/>
      <c r="BE162" s="171" t="n"/>
      <c r="BF162" s="171" t="n"/>
      <c r="BG162" s="171" t="n"/>
      <c r="BH162" s="171" t="n"/>
      <c r="BI162" s="171" t="n"/>
      <c r="BJ162" s="171" t="n"/>
      <c r="BK162" s="171" t="n"/>
      <c r="BL162" s="171" t="n"/>
      <c r="BM162" s="171" t="n"/>
      <c r="BN162" s="171" t="n"/>
      <c r="BO162" s="171" t="n"/>
      <c r="BP162" s="171" t="n"/>
      <c r="BQ162" s="171" t="n"/>
      <c r="BR162" s="171" t="n"/>
      <c r="BS162" s="171" t="n"/>
      <c r="BT162" s="171" t="n"/>
      <c r="BU162" s="171" t="n"/>
      <c r="BV162" s="171" t="n"/>
      <c r="BW162" s="171" t="n"/>
      <c r="BX162" s="171" t="n"/>
      <c r="BY162" s="171" t="n"/>
      <c r="BZ162" s="171" t="n"/>
      <c r="CA162" s="171" t="n"/>
      <c r="CB162" s="171" t="n"/>
      <c r="CC162" s="171" t="n"/>
      <c r="CD162" s="171" t="n"/>
      <c r="CE162" s="171" t="n"/>
      <c r="CF162" s="171" t="n"/>
      <c r="CG162" s="171" t="n"/>
      <c r="CH162" s="171" t="n"/>
      <c r="CI162" s="171" t="n"/>
      <c r="CJ162" s="171" t="n"/>
      <c r="CK162" s="171" t="n"/>
      <c r="CL162" s="171" t="n"/>
    </row>
    <row r="163">
      <c r="A163" s="171" t="n"/>
      <c r="B163" s="242" t="n"/>
      <c r="C163" s="243" t="n"/>
      <c r="D163" s="243" t="n"/>
      <c r="E163" s="204" t="n"/>
      <c r="F163" s="205" t="n"/>
      <c r="G163" s="244" t="n"/>
      <c r="H163" s="204" t="n"/>
      <c r="I163" s="207" t="n"/>
      <c r="J163" s="245" t="n"/>
      <c r="K163" s="209" t="n"/>
      <c r="L163" s="210" t="n"/>
      <c r="M163" s="246" t="n"/>
      <c r="N163" s="171" t="n"/>
      <c r="O163" s="242" t="n"/>
      <c r="P163" s="243" t="n"/>
      <c r="Q163" s="243" t="n"/>
      <c r="R163" s="204" t="n"/>
      <c r="S163" s="205" t="n"/>
      <c r="T163" s="244" t="n"/>
      <c r="U163" s="204" t="n"/>
      <c r="V163" s="207" t="n"/>
      <c r="W163" s="245" t="n"/>
      <c r="X163" s="209" t="n"/>
      <c r="Y163" s="210" t="n"/>
      <c r="Z163" s="246" t="n"/>
      <c r="AA163" s="171" t="n"/>
      <c r="AB163" s="242" t="n"/>
      <c r="AC163" s="243" t="n"/>
      <c r="AD163" s="243" t="n"/>
      <c r="AE163" s="204" t="n"/>
      <c r="AF163" s="205" t="n"/>
      <c r="AG163" s="244" t="n"/>
      <c r="AH163" s="204" t="n"/>
      <c r="AI163" s="207" t="n"/>
      <c r="AJ163" s="245" t="n"/>
      <c r="AK163" s="209" t="n"/>
      <c r="AL163" s="210" t="n"/>
      <c r="AM163" s="246" t="n"/>
      <c r="AN163" s="171" t="n"/>
      <c r="AO163" s="242" t="n"/>
      <c r="AP163" s="243" t="n"/>
      <c r="AQ163" s="243" t="n"/>
      <c r="AR163" s="204" t="n"/>
      <c r="AS163" s="205" t="n"/>
      <c r="AT163" s="244" t="n"/>
      <c r="AU163" s="204" t="n"/>
      <c r="AV163" s="207" t="n"/>
      <c r="AW163" s="245" t="n"/>
      <c r="AX163" s="209" t="n"/>
      <c r="AY163" s="210" t="n"/>
      <c r="AZ163" s="246" t="n"/>
      <c r="BA163" s="171" t="n"/>
      <c r="BB163" s="171" t="n"/>
      <c r="BC163" s="171" t="n"/>
      <c r="BD163" s="171" t="n"/>
      <c r="BE163" s="171" t="n"/>
      <c r="BF163" s="171" t="n"/>
      <c r="BG163" s="171" t="n"/>
      <c r="BH163" s="171" t="n"/>
      <c r="BI163" s="171" t="n"/>
      <c r="BJ163" s="171" t="n"/>
      <c r="BK163" s="171" t="n"/>
      <c r="BL163" s="171" t="n"/>
      <c r="BM163" s="171" t="n"/>
      <c r="BN163" s="171" t="n"/>
      <c r="BO163" s="171" t="n"/>
      <c r="BP163" s="171" t="n"/>
      <c r="BQ163" s="171" t="n"/>
      <c r="BR163" s="171" t="n"/>
      <c r="BS163" s="171" t="n"/>
      <c r="BT163" s="171" t="n"/>
      <c r="BU163" s="171" t="n"/>
      <c r="BV163" s="171" t="n"/>
      <c r="BW163" s="171" t="n"/>
      <c r="BX163" s="171" t="n"/>
      <c r="BY163" s="171" t="n"/>
      <c r="BZ163" s="171" t="n"/>
      <c r="CA163" s="171" t="n"/>
      <c r="CB163" s="171" t="n"/>
      <c r="CC163" s="171" t="n"/>
      <c r="CD163" s="171" t="n"/>
      <c r="CE163" s="171" t="n"/>
      <c r="CF163" s="171" t="n"/>
      <c r="CG163" s="171" t="n"/>
      <c r="CH163" s="171" t="n"/>
      <c r="CI163" s="171" t="n"/>
      <c r="CJ163" s="171" t="n"/>
      <c r="CK163" s="171" t="n"/>
      <c r="CL163" s="171" t="n"/>
    </row>
    <row r="164">
      <c r="A164" s="171" t="n"/>
      <c r="B164" s="242" t="n"/>
      <c r="C164" s="243" t="n"/>
      <c r="D164" s="243" t="n"/>
      <c r="E164" s="204" t="n"/>
      <c r="F164" s="205" t="n"/>
      <c r="G164" s="244" t="n"/>
      <c r="H164" s="204" t="n"/>
      <c r="I164" s="207" t="n"/>
      <c r="J164" s="245" t="n"/>
      <c r="K164" s="209" t="n"/>
      <c r="L164" s="210" t="n"/>
      <c r="M164" s="246" t="n"/>
      <c r="N164" s="171" t="n"/>
      <c r="O164" s="242" t="n"/>
      <c r="P164" s="243" t="n"/>
      <c r="Q164" s="243" t="n"/>
      <c r="R164" s="204" t="n"/>
      <c r="S164" s="205" t="n"/>
      <c r="T164" s="244" t="n"/>
      <c r="U164" s="204" t="n"/>
      <c r="V164" s="207" t="n"/>
      <c r="W164" s="245" t="n"/>
      <c r="X164" s="209" t="n"/>
      <c r="Y164" s="210" t="n"/>
      <c r="Z164" s="246" t="n"/>
      <c r="AA164" s="171" t="n"/>
      <c r="AB164" s="242" t="n"/>
      <c r="AC164" s="243" t="n"/>
      <c r="AD164" s="243" t="n"/>
      <c r="AE164" s="204" t="n"/>
      <c r="AF164" s="205" t="n"/>
      <c r="AG164" s="244" t="n"/>
      <c r="AH164" s="204" t="n"/>
      <c r="AI164" s="207" t="n"/>
      <c r="AJ164" s="245" t="n"/>
      <c r="AK164" s="209" t="n"/>
      <c r="AL164" s="210" t="n"/>
      <c r="AM164" s="246" t="n"/>
      <c r="AN164" s="171" t="n"/>
      <c r="AO164" s="242" t="n"/>
      <c r="AP164" s="243" t="n"/>
      <c r="AQ164" s="243" t="n"/>
      <c r="AR164" s="204" t="n"/>
      <c r="AS164" s="205" t="n"/>
      <c r="AT164" s="244" t="n"/>
      <c r="AU164" s="204" t="n"/>
      <c r="AV164" s="207" t="n"/>
      <c r="AW164" s="245" t="n"/>
      <c r="AX164" s="209" t="n"/>
      <c r="AY164" s="210" t="n"/>
      <c r="AZ164" s="246" t="n"/>
      <c r="BA164" s="171" t="n"/>
      <c r="BB164" s="171" t="n"/>
      <c r="BC164" s="171" t="n"/>
      <c r="BD164" s="171" t="n"/>
      <c r="BE164" s="171" t="n"/>
      <c r="BF164" s="171" t="n"/>
      <c r="BG164" s="171" t="n"/>
      <c r="BH164" s="171" t="n"/>
      <c r="BI164" s="171" t="n"/>
      <c r="BJ164" s="171" t="n"/>
      <c r="BK164" s="171" t="n"/>
      <c r="BL164" s="171" t="n"/>
      <c r="BM164" s="171" t="n"/>
      <c r="BN164" s="171" t="n"/>
      <c r="BO164" s="171" t="n"/>
      <c r="BP164" s="171" t="n"/>
      <c r="BQ164" s="171" t="n"/>
      <c r="BR164" s="171" t="n"/>
      <c r="BS164" s="171" t="n"/>
      <c r="BT164" s="171" t="n"/>
      <c r="BU164" s="171" t="n"/>
      <c r="BV164" s="171" t="n"/>
      <c r="BW164" s="171" t="n"/>
      <c r="BX164" s="171" t="n"/>
      <c r="BY164" s="171" t="n"/>
      <c r="BZ164" s="171" t="n"/>
      <c r="CA164" s="171" t="n"/>
      <c r="CB164" s="171" t="n"/>
      <c r="CC164" s="171" t="n"/>
      <c r="CD164" s="171" t="n"/>
      <c r="CE164" s="171" t="n"/>
      <c r="CF164" s="171" t="n"/>
      <c r="CG164" s="171" t="n"/>
      <c r="CH164" s="171" t="n"/>
      <c r="CI164" s="171" t="n"/>
      <c r="CJ164" s="171" t="n"/>
      <c r="CK164" s="171" t="n"/>
      <c r="CL164" s="171" t="n"/>
    </row>
    <row r="165">
      <c r="A165" s="171" t="n"/>
      <c r="B165" s="242" t="n"/>
      <c r="C165" s="243" t="n"/>
      <c r="D165" s="243" t="n"/>
      <c r="E165" s="204" t="n"/>
      <c r="F165" s="205" t="n"/>
      <c r="G165" s="244" t="n"/>
      <c r="H165" s="204" t="n"/>
      <c r="I165" s="207" t="n"/>
      <c r="J165" s="245" t="n"/>
      <c r="K165" s="209" t="n"/>
      <c r="L165" s="210" t="n"/>
      <c r="M165" s="246" t="n"/>
      <c r="N165" s="171" t="n"/>
      <c r="O165" s="242" t="n"/>
      <c r="P165" s="243" t="n"/>
      <c r="Q165" s="243" t="n"/>
      <c r="R165" s="204" t="n"/>
      <c r="S165" s="205" t="n"/>
      <c r="T165" s="244" t="n"/>
      <c r="U165" s="204" t="n"/>
      <c r="V165" s="207" t="n"/>
      <c r="W165" s="245" t="n"/>
      <c r="X165" s="209" t="n"/>
      <c r="Y165" s="210" t="n"/>
      <c r="Z165" s="246" t="n"/>
      <c r="AA165" s="171" t="n"/>
      <c r="AB165" s="242" t="n"/>
      <c r="AC165" s="243" t="n"/>
      <c r="AD165" s="243" t="n"/>
      <c r="AE165" s="204" t="n"/>
      <c r="AF165" s="205" t="n"/>
      <c r="AG165" s="244" t="n"/>
      <c r="AH165" s="204" t="n"/>
      <c r="AI165" s="207" t="n"/>
      <c r="AJ165" s="245" t="n"/>
      <c r="AK165" s="209" t="n"/>
      <c r="AL165" s="210" t="n"/>
      <c r="AM165" s="246" t="n"/>
      <c r="AN165" s="171" t="n"/>
      <c r="AO165" s="242" t="n"/>
      <c r="AP165" s="243" t="n"/>
      <c r="AQ165" s="243" t="n"/>
      <c r="AR165" s="204" t="n"/>
      <c r="AS165" s="205" t="n"/>
      <c r="AT165" s="244" t="n"/>
      <c r="AU165" s="204" t="n"/>
      <c r="AV165" s="207" t="n"/>
      <c r="AW165" s="245" t="n"/>
      <c r="AX165" s="209" t="n"/>
      <c r="AY165" s="210" t="n"/>
      <c r="AZ165" s="246" t="n"/>
      <c r="BA165" s="171" t="n"/>
      <c r="BB165" s="171" t="n"/>
      <c r="BC165" s="171" t="n"/>
      <c r="BD165" s="171" t="n"/>
      <c r="BE165" s="171" t="n"/>
      <c r="BF165" s="171" t="n"/>
      <c r="BG165" s="171" t="n"/>
      <c r="BH165" s="171" t="n"/>
      <c r="BI165" s="171" t="n"/>
      <c r="BJ165" s="171" t="n"/>
      <c r="BK165" s="171" t="n"/>
      <c r="BL165" s="171" t="n"/>
      <c r="BM165" s="171" t="n"/>
      <c r="BN165" s="171" t="n"/>
      <c r="BO165" s="171" t="n"/>
      <c r="BP165" s="171" t="n"/>
      <c r="BQ165" s="171" t="n"/>
      <c r="BR165" s="171" t="n"/>
      <c r="BS165" s="171" t="n"/>
      <c r="BT165" s="171" t="n"/>
      <c r="BU165" s="171" t="n"/>
      <c r="BV165" s="171" t="n"/>
      <c r="BW165" s="171" t="n"/>
      <c r="BX165" s="171" t="n"/>
      <c r="BY165" s="171" t="n"/>
      <c r="BZ165" s="171" t="n"/>
      <c r="CA165" s="171" t="n"/>
      <c r="CB165" s="171" t="n"/>
      <c r="CC165" s="171" t="n"/>
      <c r="CD165" s="171" t="n"/>
      <c r="CE165" s="171" t="n"/>
      <c r="CF165" s="171" t="n"/>
      <c r="CG165" s="171" t="n"/>
      <c r="CH165" s="171" t="n"/>
      <c r="CI165" s="171" t="n"/>
      <c r="CJ165" s="171" t="n"/>
      <c r="CK165" s="171" t="n"/>
      <c r="CL165" s="171" t="n"/>
    </row>
    <row r="166">
      <c r="A166" s="171" t="n"/>
      <c r="B166" s="242" t="n"/>
      <c r="C166" s="243" t="n"/>
      <c r="D166" s="243" t="n"/>
      <c r="E166" s="204" t="n"/>
      <c r="F166" s="205" t="n"/>
      <c r="G166" s="244" t="n"/>
      <c r="H166" s="204" t="n"/>
      <c r="I166" s="207" t="n"/>
      <c r="J166" s="245" t="n"/>
      <c r="K166" s="209" t="n"/>
      <c r="L166" s="210" t="n"/>
      <c r="M166" s="246" t="n"/>
      <c r="N166" s="171" t="n"/>
      <c r="O166" s="242" t="n"/>
      <c r="P166" s="243" t="n"/>
      <c r="Q166" s="243" t="n"/>
      <c r="R166" s="204" t="n"/>
      <c r="S166" s="205" t="n"/>
      <c r="T166" s="244" t="n"/>
      <c r="U166" s="204" t="n"/>
      <c r="V166" s="207" t="n"/>
      <c r="W166" s="245" t="n"/>
      <c r="X166" s="209" t="n"/>
      <c r="Y166" s="210" t="n"/>
      <c r="Z166" s="246" t="n"/>
      <c r="AA166" s="171" t="n"/>
      <c r="AB166" s="242" t="n"/>
      <c r="AC166" s="243" t="n"/>
      <c r="AD166" s="243" t="n"/>
      <c r="AE166" s="204" t="n"/>
      <c r="AF166" s="205" t="n"/>
      <c r="AG166" s="244" t="n"/>
      <c r="AH166" s="204" t="n"/>
      <c r="AI166" s="207" t="n"/>
      <c r="AJ166" s="245" t="n"/>
      <c r="AK166" s="209" t="n"/>
      <c r="AL166" s="210" t="n"/>
      <c r="AM166" s="246" t="n"/>
      <c r="AN166" s="171" t="n"/>
      <c r="AO166" s="242" t="n"/>
      <c r="AP166" s="243" t="n"/>
      <c r="AQ166" s="243" t="n"/>
      <c r="AR166" s="204" t="n"/>
      <c r="AS166" s="205" t="n"/>
      <c r="AT166" s="244" t="n"/>
      <c r="AU166" s="204" t="n"/>
      <c r="AV166" s="207" t="n"/>
      <c r="AW166" s="245" t="n"/>
      <c r="AX166" s="209" t="n"/>
      <c r="AY166" s="210" t="n"/>
      <c r="AZ166" s="246" t="n"/>
      <c r="BA166" s="171" t="n"/>
      <c r="BB166" s="171" t="n"/>
      <c r="BC166" s="171" t="n"/>
      <c r="BD166" s="171" t="n"/>
      <c r="BE166" s="171" t="n"/>
      <c r="BF166" s="171" t="n"/>
      <c r="BG166" s="171" t="n"/>
      <c r="BH166" s="171" t="n"/>
      <c r="BI166" s="171" t="n"/>
      <c r="BJ166" s="171" t="n"/>
      <c r="BK166" s="171" t="n"/>
      <c r="BL166" s="171" t="n"/>
      <c r="BM166" s="171" t="n"/>
      <c r="BN166" s="171" t="n"/>
      <c r="BO166" s="171" t="n"/>
      <c r="BP166" s="171" t="n"/>
      <c r="BQ166" s="171" t="n"/>
      <c r="BR166" s="171" t="n"/>
      <c r="BS166" s="171" t="n"/>
      <c r="BT166" s="171" t="n"/>
      <c r="BU166" s="171" t="n"/>
      <c r="BV166" s="171" t="n"/>
      <c r="BW166" s="171" t="n"/>
      <c r="BX166" s="171" t="n"/>
      <c r="BY166" s="171" t="n"/>
      <c r="BZ166" s="171" t="n"/>
      <c r="CA166" s="171" t="n"/>
      <c r="CB166" s="171" t="n"/>
      <c r="CC166" s="171" t="n"/>
      <c r="CD166" s="171" t="n"/>
      <c r="CE166" s="171" t="n"/>
      <c r="CF166" s="171" t="n"/>
      <c r="CG166" s="171" t="n"/>
      <c r="CH166" s="171" t="n"/>
      <c r="CI166" s="171" t="n"/>
      <c r="CJ166" s="171" t="n"/>
      <c r="CK166" s="171" t="n"/>
      <c r="CL166" s="171" t="n"/>
    </row>
    <row r="167">
      <c r="A167" s="171" t="n"/>
      <c r="B167" s="242" t="n"/>
      <c r="C167" s="243" t="n"/>
      <c r="D167" s="243" t="n"/>
      <c r="E167" s="204" t="n"/>
      <c r="F167" s="205" t="n"/>
      <c r="G167" s="244" t="n"/>
      <c r="H167" s="204" t="n"/>
      <c r="I167" s="207" t="n"/>
      <c r="J167" s="245" t="n"/>
      <c r="K167" s="209" t="n"/>
      <c r="L167" s="210" t="n"/>
      <c r="M167" s="246" t="n"/>
      <c r="N167" s="171" t="n"/>
      <c r="O167" s="242" t="n"/>
      <c r="P167" s="243" t="n"/>
      <c r="Q167" s="243" t="n"/>
      <c r="R167" s="204" t="n"/>
      <c r="S167" s="205" t="n"/>
      <c r="T167" s="244" t="n"/>
      <c r="U167" s="204" t="n"/>
      <c r="V167" s="207" t="n"/>
      <c r="W167" s="245" t="n"/>
      <c r="X167" s="209" t="n"/>
      <c r="Y167" s="210" t="n"/>
      <c r="Z167" s="246" t="n"/>
      <c r="AA167" s="171" t="n"/>
      <c r="AB167" s="242" t="n"/>
      <c r="AC167" s="243" t="n"/>
      <c r="AD167" s="243" t="n"/>
      <c r="AE167" s="204" t="n"/>
      <c r="AF167" s="205" t="n"/>
      <c r="AG167" s="244" t="n"/>
      <c r="AH167" s="204" t="n"/>
      <c r="AI167" s="207" t="n"/>
      <c r="AJ167" s="245" t="n"/>
      <c r="AK167" s="209" t="n"/>
      <c r="AL167" s="210" t="n"/>
      <c r="AM167" s="246" t="n"/>
      <c r="AN167" s="171" t="n"/>
      <c r="AO167" s="242" t="n"/>
      <c r="AP167" s="243" t="n"/>
      <c r="AQ167" s="243" t="n"/>
      <c r="AR167" s="204" t="n"/>
      <c r="AS167" s="205" t="n"/>
      <c r="AT167" s="244" t="n"/>
      <c r="AU167" s="204" t="n"/>
      <c r="AV167" s="207" t="n"/>
      <c r="AW167" s="245" t="n"/>
      <c r="AX167" s="209" t="n"/>
      <c r="AY167" s="210" t="n"/>
      <c r="AZ167" s="246" t="n"/>
      <c r="BA167" s="171" t="n"/>
      <c r="BB167" s="171" t="n"/>
      <c r="BC167" s="171" t="n"/>
      <c r="BD167" s="171" t="n"/>
      <c r="BE167" s="171" t="n"/>
      <c r="BF167" s="171" t="n"/>
      <c r="BG167" s="171" t="n"/>
      <c r="BH167" s="171" t="n"/>
      <c r="BI167" s="171" t="n"/>
      <c r="BJ167" s="171" t="n"/>
      <c r="BK167" s="171" t="n"/>
      <c r="BL167" s="171" t="n"/>
      <c r="BM167" s="171" t="n"/>
      <c r="BN167" s="171" t="n"/>
      <c r="BO167" s="171" t="n"/>
      <c r="BP167" s="171" t="n"/>
      <c r="BQ167" s="171" t="n"/>
      <c r="BR167" s="171" t="n"/>
      <c r="BS167" s="171" t="n"/>
      <c r="BT167" s="171" t="n"/>
      <c r="BU167" s="171" t="n"/>
      <c r="BV167" s="171" t="n"/>
      <c r="BW167" s="171" t="n"/>
      <c r="BX167" s="171" t="n"/>
      <c r="BY167" s="171" t="n"/>
      <c r="BZ167" s="171" t="n"/>
      <c r="CA167" s="171" t="n"/>
      <c r="CB167" s="171" t="n"/>
      <c r="CC167" s="171" t="n"/>
      <c r="CD167" s="171" t="n"/>
      <c r="CE167" s="171" t="n"/>
      <c r="CF167" s="171" t="n"/>
      <c r="CG167" s="171" t="n"/>
      <c r="CH167" s="171" t="n"/>
      <c r="CI167" s="171" t="n"/>
      <c r="CJ167" s="171" t="n"/>
      <c r="CK167" s="171" t="n"/>
      <c r="CL167" s="171" t="n"/>
    </row>
    <row r="168">
      <c r="A168" s="171" t="n"/>
      <c r="B168" s="242" t="n"/>
      <c r="C168" s="243" t="n"/>
      <c r="D168" s="243" t="n"/>
      <c r="E168" s="204" t="n"/>
      <c r="F168" s="205" t="n"/>
      <c r="G168" s="244" t="n"/>
      <c r="H168" s="204" t="n"/>
      <c r="I168" s="207" t="n"/>
      <c r="J168" s="245" t="n"/>
      <c r="K168" s="209" t="n"/>
      <c r="L168" s="210" t="n"/>
      <c r="M168" s="246" t="n"/>
      <c r="N168" s="171" t="n"/>
      <c r="O168" s="242" t="n"/>
      <c r="P168" s="243" t="n"/>
      <c r="Q168" s="243" t="n"/>
      <c r="R168" s="204" t="n"/>
      <c r="S168" s="205" t="n"/>
      <c r="T168" s="244" t="n"/>
      <c r="U168" s="204" t="n"/>
      <c r="V168" s="207" t="n"/>
      <c r="W168" s="245" t="n"/>
      <c r="X168" s="209" t="n"/>
      <c r="Y168" s="210" t="n"/>
      <c r="Z168" s="246" t="n"/>
      <c r="AA168" s="171" t="n"/>
      <c r="AB168" s="242" t="n"/>
      <c r="AC168" s="243" t="n"/>
      <c r="AD168" s="243" t="n"/>
      <c r="AE168" s="204" t="n"/>
      <c r="AF168" s="205" t="n"/>
      <c r="AG168" s="244" t="n"/>
      <c r="AH168" s="204" t="n"/>
      <c r="AI168" s="207" t="n"/>
      <c r="AJ168" s="245" t="n"/>
      <c r="AK168" s="209" t="n"/>
      <c r="AL168" s="210" t="n"/>
      <c r="AM168" s="246" t="n"/>
      <c r="AN168" s="171" t="n"/>
      <c r="AO168" s="242" t="n"/>
      <c r="AP168" s="243" t="n"/>
      <c r="AQ168" s="243" t="n"/>
      <c r="AR168" s="204" t="n"/>
      <c r="AS168" s="205" t="n"/>
      <c r="AT168" s="244" t="n"/>
      <c r="AU168" s="204" t="n"/>
      <c r="AV168" s="207" t="n"/>
      <c r="AW168" s="245" t="n"/>
      <c r="AX168" s="209" t="n"/>
      <c r="AY168" s="210" t="n"/>
      <c r="AZ168" s="246" t="n"/>
      <c r="BA168" s="171" t="n"/>
      <c r="BB168" s="171" t="n"/>
      <c r="BC168" s="171" t="n"/>
      <c r="BD168" s="171" t="n"/>
      <c r="BE168" s="171" t="n"/>
      <c r="BF168" s="171" t="n"/>
      <c r="BG168" s="171" t="n"/>
      <c r="BH168" s="171" t="n"/>
      <c r="BI168" s="171" t="n"/>
      <c r="BJ168" s="171" t="n"/>
      <c r="BK168" s="171" t="n"/>
      <c r="BL168" s="171" t="n"/>
      <c r="BM168" s="171" t="n"/>
      <c r="BN168" s="171" t="n"/>
      <c r="BO168" s="171" t="n"/>
      <c r="BP168" s="171" t="n"/>
      <c r="BQ168" s="171" t="n"/>
      <c r="BR168" s="171" t="n"/>
      <c r="BS168" s="171" t="n"/>
      <c r="BT168" s="171" t="n"/>
      <c r="BU168" s="171" t="n"/>
      <c r="BV168" s="171" t="n"/>
      <c r="BW168" s="171" t="n"/>
      <c r="BX168" s="171" t="n"/>
      <c r="BY168" s="171" t="n"/>
      <c r="BZ168" s="171" t="n"/>
      <c r="CA168" s="171" t="n"/>
      <c r="CB168" s="171" t="n"/>
      <c r="CC168" s="171" t="n"/>
      <c r="CD168" s="171" t="n"/>
      <c r="CE168" s="171" t="n"/>
      <c r="CF168" s="171" t="n"/>
      <c r="CG168" s="171" t="n"/>
      <c r="CH168" s="171" t="n"/>
      <c r="CI168" s="171" t="n"/>
      <c r="CJ168" s="171" t="n"/>
      <c r="CK168" s="171" t="n"/>
      <c r="CL168" s="171" t="n"/>
    </row>
    <row r="169">
      <c r="A169" s="171" t="n"/>
      <c r="B169" s="242" t="n"/>
      <c r="C169" s="243" t="n"/>
      <c r="D169" s="243" t="n"/>
      <c r="E169" s="204" t="n"/>
      <c r="F169" s="205" t="n"/>
      <c r="G169" s="244" t="n"/>
      <c r="H169" s="204" t="n"/>
      <c r="I169" s="207" t="n"/>
      <c r="J169" s="245" t="n"/>
      <c r="K169" s="209" t="n"/>
      <c r="L169" s="210" t="n"/>
      <c r="M169" s="246" t="n"/>
      <c r="N169" s="171" t="n"/>
      <c r="O169" s="242" t="n"/>
      <c r="P169" s="243" t="n"/>
      <c r="Q169" s="243" t="n"/>
      <c r="R169" s="204" t="n"/>
      <c r="S169" s="205" t="n"/>
      <c r="T169" s="244" t="n"/>
      <c r="U169" s="204" t="n"/>
      <c r="V169" s="207" t="n"/>
      <c r="W169" s="245" t="n"/>
      <c r="X169" s="209" t="n"/>
      <c r="Y169" s="210" t="n"/>
      <c r="Z169" s="246" t="n"/>
      <c r="AA169" s="171" t="n"/>
      <c r="AB169" s="242" t="n"/>
      <c r="AC169" s="243" t="n"/>
      <c r="AD169" s="243" t="n"/>
      <c r="AE169" s="204" t="n"/>
      <c r="AF169" s="205" t="n"/>
      <c r="AG169" s="244" t="n"/>
      <c r="AH169" s="204" t="n"/>
      <c r="AI169" s="207" t="n"/>
      <c r="AJ169" s="245" t="n"/>
      <c r="AK169" s="209" t="n"/>
      <c r="AL169" s="210" t="n"/>
      <c r="AM169" s="246" t="n"/>
      <c r="AN169" s="171" t="n"/>
      <c r="AO169" s="242" t="n"/>
      <c r="AP169" s="243" t="n"/>
      <c r="AQ169" s="243" t="n"/>
      <c r="AR169" s="204" t="n"/>
      <c r="AS169" s="205" t="n"/>
      <c r="AT169" s="244" t="n"/>
      <c r="AU169" s="204" t="n"/>
      <c r="AV169" s="207" t="n"/>
      <c r="AW169" s="245" t="n"/>
      <c r="AX169" s="209" t="n"/>
      <c r="AY169" s="210" t="n"/>
      <c r="AZ169" s="246" t="n"/>
      <c r="BA169" s="171" t="n"/>
      <c r="BB169" s="171" t="n"/>
      <c r="BC169" s="171" t="n"/>
      <c r="BD169" s="171" t="n"/>
      <c r="BE169" s="171" t="n"/>
      <c r="BF169" s="171" t="n"/>
      <c r="BG169" s="171" t="n"/>
      <c r="BH169" s="171" t="n"/>
      <c r="BI169" s="171" t="n"/>
      <c r="BJ169" s="171" t="n"/>
      <c r="BK169" s="171" t="n"/>
      <c r="BL169" s="171" t="n"/>
      <c r="BM169" s="171" t="n"/>
      <c r="BN169" s="171" t="n"/>
      <c r="BO169" s="171" t="n"/>
      <c r="BP169" s="171" t="n"/>
      <c r="BQ169" s="171" t="n"/>
      <c r="BR169" s="171" t="n"/>
      <c r="BS169" s="171" t="n"/>
      <c r="BT169" s="171" t="n"/>
      <c r="BU169" s="171" t="n"/>
      <c r="BV169" s="171" t="n"/>
      <c r="BW169" s="171" t="n"/>
      <c r="BX169" s="171" t="n"/>
      <c r="BY169" s="171" t="n"/>
      <c r="BZ169" s="171" t="n"/>
      <c r="CA169" s="171" t="n"/>
      <c r="CB169" s="171" t="n"/>
      <c r="CC169" s="171" t="n"/>
      <c r="CD169" s="171" t="n"/>
      <c r="CE169" s="171" t="n"/>
      <c r="CF169" s="171" t="n"/>
      <c r="CG169" s="171" t="n"/>
      <c r="CH169" s="171" t="n"/>
      <c r="CI169" s="171" t="n"/>
      <c r="CJ169" s="171" t="n"/>
      <c r="CK169" s="171" t="n"/>
      <c r="CL169" s="171" t="n"/>
    </row>
    <row r="170">
      <c r="A170" s="171" t="n"/>
      <c r="B170" s="242" t="n"/>
      <c r="C170" s="243" t="n"/>
      <c r="D170" s="243" t="n"/>
      <c r="E170" s="204" t="n"/>
      <c r="F170" s="205" t="n"/>
      <c r="G170" s="244" t="n"/>
      <c r="H170" s="204" t="n"/>
      <c r="I170" s="207" t="n"/>
      <c r="J170" s="245" t="n"/>
      <c r="K170" s="209" t="n"/>
      <c r="L170" s="210" t="n"/>
      <c r="M170" s="246" t="n"/>
      <c r="N170" s="171" t="n"/>
      <c r="O170" s="242" t="n"/>
      <c r="P170" s="243" t="n"/>
      <c r="Q170" s="243" t="n"/>
      <c r="R170" s="204" t="n"/>
      <c r="S170" s="205" t="n"/>
      <c r="T170" s="244" t="n"/>
      <c r="U170" s="204" t="n"/>
      <c r="V170" s="207" t="n"/>
      <c r="W170" s="245" t="n"/>
      <c r="X170" s="209" t="n"/>
      <c r="Y170" s="210" t="n"/>
      <c r="Z170" s="246" t="n"/>
      <c r="AA170" s="171" t="n"/>
      <c r="AB170" s="242" t="n"/>
      <c r="AC170" s="243" t="n"/>
      <c r="AD170" s="243" t="n"/>
      <c r="AE170" s="204" t="n"/>
      <c r="AF170" s="205" t="n"/>
      <c r="AG170" s="244" t="n"/>
      <c r="AH170" s="204" t="n"/>
      <c r="AI170" s="207" t="n"/>
      <c r="AJ170" s="245" t="n"/>
      <c r="AK170" s="209" t="n"/>
      <c r="AL170" s="210" t="n"/>
      <c r="AM170" s="246" t="n"/>
      <c r="AN170" s="171" t="n"/>
      <c r="AO170" s="242" t="n"/>
      <c r="AP170" s="243" t="n"/>
      <c r="AQ170" s="243" t="n"/>
      <c r="AR170" s="204" t="n"/>
      <c r="AS170" s="205" t="n"/>
      <c r="AT170" s="244" t="n"/>
      <c r="AU170" s="204" t="n"/>
      <c r="AV170" s="207" t="n"/>
      <c r="AW170" s="245" t="n"/>
      <c r="AX170" s="209" t="n"/>
      <c r="AY170" s="210" t="n"/>
      <c r="AZ170" s="246" t="n"/>
      <c r="BA170" s="171" t="n"/>
      <c r="BB170" s="171" t="n"/>
      <c r="BC170" s="171" t="n"/>
      <c r="BD170" s="171" t="n"/>
      <c r="BE170" s="171" t="n"/>
      <c r="BF170" s="171" t="n"/>
      <c r="BG170" s="171" t="n"/>
      <c r="BH170" s="171" t="n"/>
      <c r="BI170" s="171" t="n"/>
      <c r="BJ170" s="171" t="n"/>
      <c r="BK170" s="171" t="n"/>
      <c r="BL170" s="171" t="n"/>
      <c r="BM170" s="171" t="n"/>
      <c r="BN170" s="171" t="n"/>
      <c r="BO170" s="171" t="n"/>
      <c r="BP170" s="171" t="n"/>
      <c r="BQ170" s="171" t="n"/>
      <c r="BR170" s="171" t="n"/>
      <c r="BS170" s="171" t="n"/>
      <c r="BT170" s="171" t="n"/>
      <c r="BU170" s="171" t="n"/>
      <c r="BV170" s="171" t="n"/>
      <c r="BW170" s="171" t="n"/>
      <c r="BX170" s="171" t="n"/>
      <c r="BY170" s="171" t="n"/>
      <c r="BZ170" s="171" t="n"/>
      <c r="CA170" s="171" t="n"/>
      <c r="CB170" s="171" t="n"/>
      <c r="CC170" s="171" t="n"/>
      <c r="CD170" s="171" t="n"/>
      <c r="CE170" s="171" t="n"/>
      <c r="CF170" s="171" t="n"/>
      <c r="CG170" s="171" t="n"/>
      <c r="CH170" s="171" t="n"/>
      <c r="CI170" s="171" t="n"/>
      <c r="CJ170" s="171" t="n"/>
      <c r="CK170" s="171" t="n"/>
      <c r="CL170" s="171" t="n"/>
    </row>
    <row r="171">
      <c r="A171" s="171" t="n"/>
      <c r="B171" s="242" t="n"/>
      <c r="C171" s="243" t="n"/>
      <c r="D171" s="243" t="n"/>
      <c r="E171" s="204" t="n"/>
      <c r="F171" s="205" t="n"/>
      <c r="G171" s="244" t="n"/>
      <c r="H171" s="204" t="n"/>
      <c r="I171" s="207" t="n"/>
      <c r="J171" s="245" t="n"/>
      <c r="K171" s="209" t="n"/>
      <c r="L171" s="210" t="n"/>
      <c r="M171" s="246" t="n"/>
      <c r="N171" s="171" t="n"/>
      <c r="O171" s="242" t="n"/>
      <c r="P171" s="243" t="n"/>
      <c r="Q171" s="243" t="n"/>
      <c r="R171" s="204" t="n"/>
      <c r="S171" s="205" t="n"/>
      <c r="T171" s="244" t="n"/>
      <c r="U171" s="204" t="n"/>
      <c r="V171" s="207" t="n"/>
      <c r="W171" s="245" t="n"/>
      <c r="X171" s="209" t="n"/>
      <c r="Y171" s="210" t="n"/>
      <c r="Z171" s="246" t="n"/>
      <c r="AA171" s="171" t="n"/>
      <c r="AB171" s="242" t="n"/>
      <c r="AC171" s="243" t="n"/>
      <c r="AD171" s="243" t="n"/>
      <c r="AE171" s="204" t="n"/>
      <c r="AF171" s="205" t="n"/>
      <c r="AG171" s="244" t="n"/>
      <c r="AH171" s="204" t="n"/>
      <c r="AI171" s="207" t="n"/>
      <c r="AJ171" s="245" t="n"/>
      <c r="AK171" s="209" t="n"/>
      <c r="AL171" s="210" t="n"/>
      <c r="AM171" s="246" t="n"/>
      <c r="AN171" s="171" t="n"/>
      <c r="AO171" s="242" t="n"/>
      <c r="AP171" s="243" t="n"/>
      <c r="AQ171" s="243" t="n"/>
      <c r="AR171" s="204" t="n"/>
      <c r="AS171" s="205" t="n"/>
      <c r="AT171" s="244" t="n"/>
      <c r="AU171" s="204" t="n"/>
      <c r="AV171" s="207" t="n"/>
      <c r="AW171" s="245" t="n"/>
      <c r="AX171" s="209" t="n"/>
      <c r="AY171" s="210" t="n"/>
      <c r="AZ171" s="246" t="n"/>
      <c r="BA171" s="171" t="n"/>
      <c r="BB171" s="171" t="n"/>
      <c r="BC171" s="171" t="n"/>
      <c r="BD171" s="171" t="n"/>
      <c r="BE171" s="171" t="n"/>
      <c r="BF171" s="171" t="n"/>
      <c r="BG171" s="171" t="n"/>
      <c r="BH171" s="171" t="n"/>
      <c r="BI171" s="171" t="n"/>
      <c r="BJ171" s="171" t="n"/>
      <c r="BK171" s="171" t="n"/>
      <c r="BL171" s="171" t="n"/>
      <c r="BM171" s="171" t="n"/>
      <c r="BN171" s="171" t="n"/>
      <c r="BO171" s="171" t="n"/>
      <c r="BP171" s="171" t="n"/>
      <c r="BQ171" s="171" t="n"/>
      <c r="BR171" s="171" t="n"/>
      <c r="BS171" s="171" t="n"/>
      <c r="BT171" s="171" t="n"/>
      <c r="BU171" s="171" t="n"/>
      <c r="BV171" s="171" t="n"/>
      <c r="BW171" s="171" t="n"/>
      <c r="BX171" s="171" t="n"/>
      <c r="BY171" s="171" t="n"/>
      <c r="BZ171" s="171" t="n"/>
      <c r="CA171" s="171" t="n"/>
      <c r="CB171" s="171" t="n"/>
      <c r="CC171" s="171" t="n"/>
      <c r="CD171" s="171" t="n"/>
      <c r="CE171" s="171" t="n"/>
      <c r="CF171" s="171" t="n"/>
      <c r="CG171" s="171" t="n"/>
      <c r="CH171" s="171" t="n"/>
      <c r="CI171" s="171" t="n"/>
      <c r="CJ171" s="171" t="n"/>
      <c r="CK171" s="171" t="n"/>
      <c r="CL171" s="171" t="n"/>
    </row>
    <row r="172" ht="18" customHeight="1" s="22" thickBot="1">
      <c r="A172" s="171" t="n"/>
      <c r="B172" s="252" t="inlineStr">
        <is>
          <t>비고</t>
        </is>
      </c>
      <c r="C172" s="253" t="n"/>
      <c r="D172" s="253" t="n"/>
      <c r="E172" s="253" t="n"/>
      <c r="F172" s="253" t="n"/>
      <c r="G172" s="253" t="n"/>
      <c r="H172" s="253" t="n"/>
      <c r="I172" s="254" t="n"/>
      <c r="J172" s="253" t="n"/>
      <c r="K172" s="253" t="n"/>
      <c r="L172" s="253" t="n"/>
      <c r="M172" s="255" t="n"/>
      <c r="N172" s="171" t="n"/>
      <c r="O172" s="252" t="inlineStr">
        <is>
          <t>비고</t>
        </is>
      </c>
      <c r="P172" s="253" t="n"/>
      <c r="Q172" s="253" t="n"/>
      <c r="R172" s="253" t="n"/>
      <c r="S172" s="253" t="n"/>
      <c r="T172" s="253" t="n"/>
      <c r="U172" s="253" t="n"/>
      <c r="V172" s="254" t="n"/>
      <c r="W172" s="253" t="n"/>
      <c r="X172" s="253" t="n"/>
      <c r="Y172" s="253" t="n"/>
      <c r="Z172" s="255" t="n"/>
      <c r="AA172" s="171" t="n"/>
      <c r="AB172" s="252" t="inlineStr">
        <is>
          <t>비고</t>
        </is>
      </c>
      <c r="AC172" s="253" t="n"/>
      <c r="AD172" s="253" t="n"/>
      <c r="AE172" s="253" t="n"/>
      <c r="AF172" s="253" t="n"/>
      <c r="AG172" s="253" t="n"/>
      <c r="AH172" s="253" t="n"/>
      <c r="AI172" s="254" t="n"/>
      <c r="AJ172" s="253" t="n"/>
      <c r="AK172" s="253" t="n"/>
      <c r="AL172" s="253" t="n"/>
      <c r="AM172" s="255" t="n"/>
      <c r="AN172" s="171" t="n"/>
      <c r="AO172" s="252" t="inlineStr">
        <is>
          <t>비고</t>
        </is>
      </c>
      <c r="AP172" s="253" t="n"/>
      <c r="AQ172" s="253" t="n"/>
      <c r="AR172" s="253" t="n"/>
      <c r="AS172" s="253" t="n"/>
      <c r="AT172" s="253" t="n"/>
      <c r="AU172" s="253" t="n"/>
      <c r="AV172" s="254" t="n"/>
      <c r="AW172" s="253" t="n"/>
      <c r="AX172" s="253" t="n"/>
      <c r="AY172" s="253" t="n"/>
      <c r="AZ172" s="255" t="n"/>
      <c r="BA172" s="171" t="n"/>
      <c r="BB172" s="171" t="n"/>
      <c r="BC172" s="171" t="n"/>
      <c r="BD172" s="171" t="n"/>
      <c r="BE172" s="171" t="n"/>
      <c r="BF172" s="171" t="n"/>
      <c r="BG172" s="171" t="n"/>
      <c r="BH172" s="171" t="n"/>
      <c r="BI172" s="171" t="n"/>
      <c r="BJ172" s="171" t="n"/>
      <c r="BK172" s="171" t="n"/>
      <c r="BL172" s="171" t="n"/>
      <c r="BM172" s="171" t="n"/>
      <c r="BN172" s="171" t="n"/>
      <c r="BO172" s="171" t="n"/>
      <c r="BP172" s="171" t="n"/>
      <c r="BQ172" s="171" t="n"/>
      <c r="BR172" s="171" t="n"/>
      <c r="BS172" s="171" t="n"/>
      <c r="BT172" s="171" t="n"/>
      <c r="BU172" s="171" t="n"/>
      <c r="BV172" s="171" t="n"/>
      <c r="BW172" s="171" t="n"/>
      <c r="BX172" s="171" t="n"/>
      <c r="BY172" s="171" t="n"/>
      <c r="BZ172" s="171" t="n"/>
      <c r="CA172" s="171" t="n"/>
      <c r="CB172" s="171" t="n"/>
      <c r="CC172" s="171" t="n"/>
      <c r="CD172" s="171" t="n"/>
      <c r="CE172" s="171" t="n"/>
      <c r="CF172" s="171" t="n"/>
      <c r="CG172" s="171" t="n"/>
      <c r="CH172" s="171" t="n"/>
      <c r="CI172" s="171" t="n"/>
      <c r="CJ172" s="171" t="n"/>
      <c r="CK172" s="171" t="n"/>
      <c r="CL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  <c r="AI173" s="171" t="n"/>
      <c r="AJ173" s="171" t="n"/>
      <c r="AK173" s="171" t="n"/>
      <c r="AL173" s="171" t="n"/>
      <c r="AM173" s="171" t="n"/>
      <c r="AN173" s="171" t="n"/>
      <c r="AO173" s="171" t="n"/>
      <c r="AP173" s="171" t="n"/>
      <c r="AQ173" s="171" t="n"/>
      <c r="AR173" s="171" t="n"/>
      <c r="AS173" s="171" t="n"/>
      <c r="AT173" s="171" t="n"/>
      <c r="AU173" s="171" t="n"/>
      <c r="AV173" s="171" t="n"/>
      <c r="AW173" s="171" t="n"/>
      <c r="AX173" s="171" t="n"/>
      <c r="AY173" s="171" t="n"/>
      <c r="AZ173" s="171" t="n"/>
      <c r="BA173" s="171" t="n"/>
      <c r="BB173" s="171" t="n"/>
      <c r="BC173" s="171" t="n"/>
      <c r="BD173" s="171" t="n"/>
      <c r="BE173" s="171" t="n"/>
      <c r="BF173" s="171" t="n"/>
      <c r="BG173" s="171" t="n"/>
      <c r="BH173" s="171" t="n"/>
      <c r="BI173" s="171" t="n"/>
      <c r="BJ173" s="171" t="n"/>
      <c r="BK173" s="171" t="n"/>
      <c r="BL173" s="171" t="n"/>
      <c r="BM173" s="171" t="n"/>
      <c r="BN173" s="171" t="n"/>
      <c r="BO173" s="171" t="n"/>
      <c r="BP173" s="171" t="n"/>
      <c r="BQ173" s="171" t="n"/>
      <c r="BR173" s="171" t="n"/>
      <c r="BS173" s="171" t="n"/>
      <c r="BT173" s="171" t="n"/>
      <c r="BU173" s="171" t="n"/>
      <c r="BV173" s="171" t="n"/>
      <c r="BW173" s="171" t="n"/>
      <c r="BX173" s="171" t="n"/>
      <c r="BY173" s="171" t="n"/>
      <c r="BZ173" s="171" t="n"/>
      <c r="CA173" s="171" t="n"/>
      <c r="CB173" s="171" t="n"/>
      <c r="CC173" s="171" t="n"/>
      <c r="CD173" s="171" t="n"/>
      <c r="CE173" s="171" t="n"/>
      <c r="CF173" s="171" t="n"/>
      <c r="CG173" s="171" t="n"/>
      <c r="CH173" s="171" t="n"/>
      <c r="CI173" s="171" t="n"/>
      <c r="CJ173" s="171" t="n"/>
      <c r="CK173" s="171" t="n"/>
      <c r="CL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  <c r="AI174" s="171" t="n"/>
      <c r="AJ174" s="171" t="n"/>
      <c r="AK174" s="171" t="n"/>
      <c r="AL174" s="171" t="n"/>
      <c r="AM174" s="171" t="n"/>
      <c r="AN174" s="171" t="n"/>
      <c r="AO174" s="171" t="n"/>
      <c r="AP174" s="171" t="n"/>
      <c r="AQ174" s="171" t="n"/>
      <c r="AR174" s="171" t="n"/>
      <c r="AS174" s="171" t="n"/>
      <c r="AT174" s="171" t="n"/>
      <c r="AU174" s="171" t="n"/>
      <c r="AV174" s="171" t="n"/>
      <c r="AW174" s="171" t="n"/>
      <c r="AX174" s="171" t="n"/>
      <c r="AY174" s="171" t="n"/>
      <c r="AZ174" s="171" t="n"/>
      <c r="BA174" s="171" t="n"/>
      <c r="BB174" s="171" t="n"/>
      <c r="BC174" s="171" t="n"/>
      <c r="BD174" s="171" t="n"/>
      <c r="BE174" s="171" t="n"/>
      <c r="BF174" s="171" t="n"/>
      <c r="BG174" s="171" t="n"/>
      <c r="BH174" s="171" t="n"/>
      <c r="BI174" s="171" t="n"/>
      <c r="BJ174" s="171" t="n"/>
      <c r="BK174" s="171" t="n"/>
      <c r="BL174" s="171" t="n"/>
      <c r="BM174" s="171" t="n"/>
      <c r="BN174" s="171" t="n"/>
      <c r="BO174" s="171" t="n"/>
      <c r="BP174" s="171" t="n"/>
      <c r="BQ174" s="171" t="n"/>
      <c r="BR174" s="171" t="n"/>
      <c r="BS174" s="171" t="n"/>
      <c r="BT174" s="171" t="n"/>
      <c r="BU174" s="171" t="n"/>
      <c r="BV174" s="171" t="n"/>
      <c r="BW174" s="171" t="n"/>
      <c r="BX174" s="171" t="n"/>
      <c r="BY174" s="171" t="n"/>
      <c r="BZ174" s="171" t="n"/>
      <c r="CA174" s="171" t="n"/>
      <c r="CB174" s="171" t="n"/>
      <c r="CC174" s="171" t="n"/>
      <c r="CD174" s="171" t="n"/>
      <c r="CE174" s="171" t="n"/>
      <c r="CF174" s="171" t="n"/>
      <c r="CG174" s="171" t="n"/>
      <c r="CH174" s="171" t="n"/>
      <c r="CI174" s="171" t="n"/>
      <c r="CJ174" s="171" t="n"/>
      <c r="CK174" s="171" t="n"/>
      <c r="CL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  <c r="AI175" s="171" t="n"/>
      <c r="AJ175" s="171" t="n"/>
      <c r="AK175" s="171" t="n"/>
      <c r="AL175" s="171" t="n"/>
      <c r="AM175" s="171" t="n"/>
      <c r="AN175" s="171" t="n"/>
      <c r="AO175" s="171" t="n"/>
      <c r="AP175" s="171" t="n"/>
      <c r="AQ175" s="171" t="n"/>
      <c r="AR175" s="171" t="n"/>
      <c r="AS175" s="171" t="n"/>
      <c r="AT175" s="171" t="n"/>
      <c r="AU175" s="171" t="n"/>
      <c r="AV175" s="171" t="n"/>
      <c r="AW175" s="171" t="n"/>
      <c r="AX175" s="171" t="n"/>
      <c r="AY175" s="171" t="n"/>
      <c r="AZ175" s="171" t="n"/>
      <c r="BA175" s="171" t="n"/>
      <c r="BB175" s="171" t="n"/>
      <c r="BC175" s="171" t="n"/>
      <c r="BD175" s="171" t="n"/>
      <c r="BE175" s="171" t="n"/>
      <c r="BF175" s="171" t="n"/>
      <c r="BG175" s="171" t="n"/>
      <c r="BH175" s="171" t="n"/>
      <c r="BI175" s="171" t="n"/>
      <c r="BJ175" s="171" t="n"/>
      <c r="BK175" s="171" t="n"/>
      <c r="BL175" s="171" t="n"/>
      <c r="BM175" s="171" t="n"/>
      <c r="BN175" s="171" t="n"/>
      <c r="BO175" s="171" t="n"/>
      <c r="BP175" s="171" t="n"/>
      <c r="BQ175" s="171" t="n"/>
      <c r="BR175" s="171" t="n"/>
      <c r="BS175" s="171" t="n"/>
      <c r="BT175" s="171" t="n"/>
      <c r="BU175" s="171" t="n"/>
      <c r="BV175" s="171" t="n"/>
      <c r="BW175" s="171" t="n"/>
      <c r="BX175" s="171" t="n"/>
      <c r="BY175" s="171" t="n"/>
      <c r="BZ175" s="171" t="n"/>
      <c r="CA175" s="171" t="n"/>
      <c r="CB175" s="171" t="n"/>
      <c r="CC175" s="171" t="n"/>
      <c r="CD175" s="171" t="n"/>
      <c r="CE175" s="171" t="n"/>
      <c r="CF175" s="171" t="n"/>
      <c r="CG175" s="171" t="n"/>
      <c r="CH175" s="171" t="n"/>
      <c r="CI175" s="171" t="n"/>
      <c r="CJ175" s="171" t="n"/>
      <c r="CK175" s="171" t="n"/>
      <c r="CL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  <c r="AI176" s="171" t="n"/>
      <c r="AJ176" s="171" t="n"/>
      <c r="AK176" s="171" t="n"/>
      <c r="AL176" s="171" t="n"/>
      <c r="AM176" s="171" t="n"/>
      <c r="AN176" s="171" t="n"/>
      <c r="AO176" s="171" t="n"/>
      <c r="AP176" s="171" t="n"/>
      <c r="AQ176" s="171" t="n"/>
      <c r="AR176" s="171" t="n"/>
      <c r="AS176" s="171" t="n"/>
      <c r="AT176" s="171" t="n"/>
      <c r="AU176" s="171" t="n"/>
      <c r="AV176" s="171" t="n"/>
      <c r="AW176" s="171" t="n"/>
      <c r="AX176" s="171" t="n"/>
      <c r="AY176" s="171" t="n"/>
      <c r="AZ176" s="171" t="n"/>
      <c r="BA176" s="171" t="n"/>
      <c r="BB176" s="171" t="n"/>
      <c r="BC176" s="171" t="n"/>
      <c r="BD176" s="171" t="n"/>
      <c r="BE176" s="171" t="n"/>
      <c r="BF176" s="171" t="n"/>
      <c r="BG176" s="171" t="n"/>
      <c r="BH176" s="171" t="n"/>
      <c r="BI176" s="171" t="n"/>
      <c r="BJ176" s="171" t="n"/>
      <c r="BK176" s="171" t="n"/>
      <c r="BL176" s="171" t="n"/>
      <c r="BM176" s="171" t="n"/>
      <c r="BN176" s="171" t="n"/>
      <c r="BO176" s="171" t="n"/>
      <c r="BP176" s="171" t="n"/>
      <c r="BQ176" s="171" t="n"/>
      <c r="BR176" s="171" t="n"/>
      <c r="BS176" s="171" t="n"/>
      <c r="BT176" s="171" t="n"/>
      <c r="BU176" s="171" t="n"/>
      <c r="BV176" s="171" t="n"/>
      <c r="BW176" s="171" t="n"/>
      <c r="BX176" s="171" t="n"/>
      <c r="BY176" s="171" t="n"/>
      <c r="BZ176" s="171" t="n"/>
      <c r="CA176" s="171" t="n"/>
      <c r="CB176" s="171" t="n"/>
      <c r="CC176" s="171" t="n"/>
      <c r="CD176" s="171" t="n"/>
      <c r="CE176" s="171" t="n"/>
      <c r="CF176" s="171" t="n"/>
      <c r="CG176" s="171" t="n"/>
      <c r="CH176" s="171" t="n"/>
      <c r="CI176" s="171" t="n"/>
      <c r="CJ176" s="171" t="n"/>
      <c r="CK176" s="171" t="n"/>
      <c r="CL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  <c r="AI177" s="171" t="n"/>
      <c r="AJ177" s="171" t="n"/>
      <c r="AK177" s="171" t="n"/>
      <c r="AL177" s="171" t="n"/>
      <c r="AM177" s="171" t="n"/>
      <c r="AN177" s="171" t="n"/>
      <c r="AO177" s="171" t="n"/>
      <c r="AP177" s="171" t="n"/>
      <c r="AQ177" s="171" t="n"/>
      <c r="AR177" s="171" t="n"/>
      <c r="AS177" s="171" t="n"/>
      <c r="AT177" s="171" t="n"/>
      <c r="AU177" s="171" t="n"/>
      <c r="AV177" s="171" t="n"/>
      <c r="AW177" s="171" t="n"/>
      <c r="AX177" s="171" t="n"/>
      <c r="AY177" s="171" t="n"/>
      <c r="AZ177" s="171" t="n"/>
      <c r="BA177" s="171" t="n"/>
      <c r="BB177" s="171" t="n"/>
      <c r="BC177" s="171" t="n"/>
      <c r="BD177" s="171" t="n"/>
      <c r="BE177" s="171" t="n"/>
      <c r="BF177" s="171" t="n"/>
      <c r="BG177" s="171" t="n"/>
      <c r="BH177" s="171" t="n"/>
      <c r="BI177" s="171" t="n"/>
      <c r="BJ177" s="171" t="n"/>
      <c r="BK177" s="171" t="n"/>
      <c r="BL177" s="171" t="n"/>
      <c r="BM177" s="171" t="n"/>
      <c r="BN177" s="171" t="n"/>
      <c r="BO177" s="171" t="n"/>
      <c r="BP177" s="171" t="n"/>
      <c r="BQ177" s="171" t="n"/>
      <c r="BR177" s="171" t="n"/>
      <c r="BS177" s="171" t="n"/>
      <c r="BT177" s="171" t="n"/>
      <c r="BU177" s="171" t="n"/>
      <c r="BV177" s="171" t="n"/>
      <c r="BW177" s="171" t="n"/>
      <c r="BX177" s="171" t="n"/>
      <c r="BY177" s="171" t="n"/>
      <c r="BZ177" s="171" t="n"/>
      <c r="CA177" s="171" t="n"/>
      <c r="CB177" s="171" t="n"/>
      <c r="CC177" s="171" t="n"/>
      <c r="CD177" s="171" t="n"/>
      <c r="CE177" s="171" t="n"/>
      <c r="CF177" s="171" t="n"/>
      <c r="CG177" s="171" t="n"/>
      <c r="CH177" s="171" t="n"/>
      <c r="CI177" s="171" t="n"/>
      <c r="CJ177" s="171" t="n"/>
      <c r="CK177" s="171" t="n"/>
      <c r="CL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  <c r="AI178" s="171" t="n"/>
      <c r="AJ178" s="171" t="n"/>
      <c r="AK178" s="171" t="n"/>
      <c r="AL178" s="171" t="n"/>
      <c r="AM178" s="171" t="n"/>
      <c r="AN178" s="171" t="n"/>
      <c r="AO178" s="171" t="n"/>
      <c r="AP178" s="171" t="n"/>
      <c r="AQ178" s="171" t="n"/>
      <c r="AR178" s="171" t="n"/>
      <c r="AS178" s="171" t="n"/>
      <c r="AT178" s="171" t="n"/>
      <c r="AU178" s="171" t="n"/>
      <c r="AV178" s="171" t="n"/>
      <c r="AW178" s="171" t="n"/>
      <c r="AX178" s="171" t="n"/>
      <c r="AY178" s="171" t="n"/>
      <c r="AZ178" s="171" t="n"/>
      <c r="BA178" s="171" t="n"/>
      <c r="BB178" s="171" t="n"/>
      <c r="BC178" s="171" t="n"/>
      <c r="BD178" s="171" t="n"/>
      <c r="BE178" s="171" t="n"/>
      <c r="BF178" s="171" t="n"/>
      <c r="BG178" s="171" t="n"/>
      <c r="BH178" s="171" t="n"/>
      <c r="BI178" s="171" t="n"/>
      <c r="BJ178" s="171" t="n"/>
      <c r="BK178" s="171" t="n"/>
      <c r="BL178" s="171" t="n"/>
      <c r="BM178" s="171" t="n"/>
      <c r="BN178" s="171" t="n"/>
      <c r="BO178" s="171" t="n"/>
      <c r="BP178" s="171" t="n"/>
      <c r="BQ178" s="171" t="n"/>
      <c r="BR178" s="171" t="n"/>
      <c r="BS178" s="171" t="n"/>
      <c r="BT178" s="171" t="n"/>
      <c r="BU178" s="171" t="n"/>
      <c r="BV178" s="171" t="n"/>
      <c r="BW178" s="171" t="n"/>
      <c r="BX178" s="171" t="n"/>
      <c r="BY178" s="171" t="n"/>
      <c r="BZ178" s="171" t="n"/>
      <c r="CA178" s="171" t="n"/>
      <c r="CB178" s="171" t="n"/>
      <c r="CC178" s="171" t="n"/>
      <c r="CD178" s="171" t="n"/>
      <c r="CE178" s="171" t="n"/>
      <c r="CF178" s="171" t="n"/>
      <c r="CG178" s="171" t="n"/>
      <c r="CH178" s="171" t="n"/>
      <c r="CI178" s="171" t="n"/>
      <c r="CJ178" s="171" t="n"/>
      <c r="CK178" s="171" t="n"/>
      <c r="CL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  <c r="AI179" s="171" t="n"/>
      <c r="AJ179" s="171" t="n"/>
      <c r="AK179" s="171" t="n"/>
      <c r="AL179" s="171" t="n"/>
      <c r="AM179" s="171" t="n"/>
      <c r="AN179" s="171" t="n"/>
      <c r="AO179" s="171" t="n"/>
      <c r="AP179" s="171" t="n"/>
      <c r="AQ179" s="171" t="n"/>
      <c r="AR179" s="171" t="n"/>
      <c r="AS179" s="171" t="n"/>
      <c r="AT179" s="171" t="n"/>
      <c r="AU179" s="171" t="n"/>
      <c r="AV179" s="171" t="n"/>
      <c r="AW179" s="171" t="n"/>
      <c r="AX179" s="171" t="n"/>
      <c r="AY179" s="171" t="n"/>
      <c r="AZ179" s="171" t="n"/>
      <c r="BA179" s="171" t="n"/>
      <c r="BB179" s="171" t="n"/>
      <c r="BC179" s="171" t="n"/>
      <c r="BD179" s="171" t="n"/>
      <c r="BE179" s="171" t="n"/>
      <c r="BF179" s="171" t="n"/>
      <c r="BG179" s="171" t="n"/>
      <c r="BH179" s="171" t="n"/>
      <c r="BI179" s="171" t="n"/>
      <c r="BJ179" s="171" t="n"/>
      <c r="BK179" s="171" t="n"/>
      <c r="BL179" s="171" t="n"/>
      <c r="BM179" s="171" t="n"/>
      <c r="BN179" s="171" t="n"/>
      <c r="BO179" s="171" t="n"/>
      <c r="BP179" s="171" t="n"/>
      <c r="BQ179" s="171" t="n"/>
      <c r="BR179" s="171" t="n"/>
      <c r="BS179" s="171" t="n"/>
      <c r="BT179" s="171" t="n"/>
      <c r="BU179" s="171" t="n"/>
      <c r="BV179" s="171" t="n"/>
      <c r="BW179" s="171" t="n"/>
      <c r="BX179" s="171" t="n"/>
      <c r="BY179" s="171" t="n"/>
      <c r="BZ179" s="171" t="n"/>
      <c r="CA179" s="171" t="n"/>
      <c r="CB179" s="171" t="n"/>
      <c r="CC179" s="171" t="n"/>
      <c r="CD179" s="171" t="n"/>
      <c r="CE179" s="171" t="n"/>
      <c r="CF179" s="171" t="n"/>
      <c r="CG179" s="171" t="n"/>
      <c r="CH179" s="171" t="n"/>
      <c r="CI179" s="171" t="n"/>
      <c r="CJ179" s="171" t="n"/>
      <c r="CK179" s="171" t="n"/>
      <c r="CL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  <c r="AI180" s="171" t="n"/>
      <c r="AJ180" s="171" t="n"/>
      <c r="AK180" s="171" t="n"/>
      <c r="AL180" s="171" t="n"/>
      <c r="AM180" s="171" t="n"/>
      <c r="AN180" s="171" t="n"/>
      <c r="AO180" s="171" t="n"/>
      <c r="AP180" s="171" t="n"/>
      <c r="AQ180" s="171" t="n"/>
      <c r="AR180" s="171" t="n"/>
      <c r="AS180" s="171" t="n"/>
      <c r="AT180" s="171" t="n"/>
      <c r="AU180" s="171" t="n"/>
      <c r="AV180" s="171" t="n"/>
      <c r="AW180" s="171" t="n"/>
      <c r="AX180" s="171" t="n"/>
      <c r="AY180" s="171" t="n"/>
      <c r="AZ180" s="171" t="n"/>
      <c r="BA180" s="171" t="n"/>
      <c r="BB180" s="171" t="n"/>
      <c r="BC180" s="171" t="n"/>
      <c r="BD180" s="171" t="n"/>
      <c r="BE180" s="171" t="n"/>
      <c r="BF180" s="171" t="n"/>
      <c r="BG180" s="171" t="n"/>
      <c r="BH180" s="171" t="n"/>
      <c r="BI180" s="171" t="n"/>
      <c r="BJ180" s="171" t="n"/>
      <c r="BK180" s="171" t="n"/>
      <c r="BL180" s="171" t="n"/>
      <c r="BM180" s="171" t="n"/>
      <c r="BN180" s="171" t="n"/>
      <c r="BO180" s="171" t="n"/>
      <c r="BP180" s="171" t="n"/>
      <c r="BQ180" s="171" t="n"/>
      <c r="BR180" s="171" t="n"/>
      <c r="BS180" s="171" t="n"/>
      <c r="BT180" s="171" t="n"/>
      <c r="BU180" s="171" t="n"/>
      <c r="BV180" s="171" t="n"/>
      <c r="BW180" s="171" t="n"/>
      <c r="BX180" s="171" t="n"/>
      <c r="BY180" s="171" t="n"/>
      <c r="BZ180" s="171" t="n"/>
      <c r="CA180" s="171" t="n"/>
      <c r="CB180" s="171" t="n"/>
      <c r="CC180" s="171" t="n"/>
      <c r="CD180" s="171" t="n"/>
      <c r="CE180" s="171" t="n"/>
      <c r="CF180" s="171" t="n"/>
      <c r="CG180" s="171" t="n"/>
      <c r="CH180" s="171" t="n"/>
      <c r="CI180" s="171" t="n"/>
      <c r="CJ180" s="171" t="n"/>
      <c r="CK180" s="171" t="n"/>
      <c r="CL180" s="171" t="n"/>
    </row>
  </sheetData>
  <mergeCells count="93">
    <mergeCell ref="BB6:BH6"/>
    <mergeCell ref="BI102:BM102"/>
    <mergeCell ref="O53:P53"/>
    <mergeCell ref="AO102:AU102"/>
    <mergeCell ref="AB5:AC5"/>
    <mergeCell ref="AB78:AH78"/>
    <mergeCell ref="B149:C149"/>
    <mergeCell ref="I126:M126"/>
    <mergeCell ref="B77:C77"/>
    <mergeCell ref="O150:U150"/>
    <mergeCell ref="O102:U102"/>
    <mergeCell ref="AI6:AM6"/>
    <mergeCell ref="AO54:AU54"/>
    <mergeCell ref="BB5:BC5"/>
    <mergeCell ref="B101:C101"/>
    <mergeCell ref="BI78:BM78"/>
    <mergeCell ref="BB29:BC29"/>
    <mergeCell ref="AB54:AH54"/>
    <mergeCell ref="AV102:AZ102"/>
    <mergeCell ref="AI54:AM54"/>
    <mergeCell ref="AV30:AZ30"/>
    <mergeCell ref="AB126:AH126"/>
    <mergeCell ref="V78:Z78"/>
    <mergeCell ref="O29:P29"/>
    <mergeCell ref="AI30:AM30"/>
    <mergeCell ref="AO53:AP53"/>
    <mergeCell ref="I150:M150"/>
    <mergeCell ref="I102:M102"/>
    <mergeCell ref="BB78:BH78"/>
    <mergeCell ref="AB149:AC149"/>
    <mergeCell ref="AI126:AM126"/>
    <mergeCell ref="AB77:AC77"/>
    <mergeCell ref="BI30:BM30"/>
    <mergeCell ref="V54:Z54"/>
    <mergeCell ref="O30:U30"/>
    <mergeCell ref="BI6:BM6"/>
    <mergeCell ref="AI150:AM150"/>
    <mergeCell ref="AB101:AC101"/>
    <mergeCell ref="I78:M78"/>
    <mergeCell ref="BB54:BH54"/>
    <mergeCell ref="AB125:AC125"/>
    <mergeCell ref="AO150:AU150"/>
    <mergeCell ref="AO30:AU30"/>
    <mergeCell ref="BI54:BM54"/>
    <mergeCell ref="BB101:BC101"/>
    <mergeCell ref="O149:P149"/>
    <mergeCell ref="O101:P101"/>
    <mergeCell ref="V126:Z126"/>
    <mergeCell ref="B125:C125"/>
    <mergeCell ref="O77:P77"/>
    <mergeCell ref="V150:Z150"/>
    <mergeCell ref="AO6:AU6"/>
    <mergeCell ref="O5:P5"/>
    <mergeCell ref="O125:P125"/>
    <mergeCell ref="B126:H126"/>
    <mergeCell ref="BB126:BH126"/>
    <mergeCell ref="AB30:AH30"/>
    <mergeCell ref="AB6:AH6"/>
    <mergeCell ref="B150:H150"/>
    <mergeCell ref="AV78:AZ78"/>
    <mergeCell ref="AO29:AP29"/>
    <mergeCell ref="BB102:BH102"/>
    <mergeCell ref="AI102:AM102"/>
    <mergeCell ref="AB53:AC53"/>
    <mergeCell ref="BI126:BM126"/>
    <mergeCell ref="BB77:BC77"/>
    <mergeCell ref="AO126:AU126"/>
    <mergeCell ref="AV54:AZ54"/>
    <mergeCell ref="AI78:AM78"/>
    <mergeCell ref="O126:U126"/>
    <mergeCell ref="AB29:AC29"/>
    <mergeCell ref="BB125:BC125"/>
    <mergeCell ref="BB53:BC53"/>
    <mergeCell ref="V102:Z102"/>
    <mergeCell ref="AO149:AP149"/>
    <mergeCell ref="AO101:AP101"/>
    <mergeCell ref="AV126:AZ126"/>
    <mergeCell ref="AO77:AP77"/>
    <mergeCell ref="O78:U78"/>
    <mergeCell ref="AV150:AZ150"/>
    <mergeCell ref="O6:U6"/>
    <mergeCell ref="V30:Z30"/>
    <mergeCell ref="B102:H102"/>
    <mergeCell ref="V6:Z6"/>
    <mergeCell ref="AO5:AP5"/>
    <mergeCell ref="AO125:AP125"/>
    <mergeCell ref="AO78:AU78"/>
    <mergeCell ref="BB30:BH30"/>
    <mergeCell ref="O54:U54"/>
    <mergeCell ref="AB150:AH150"/>
    <mergeCell ref="AB102:AH102"/>
    <mergeCell ref="AV6:AZ6"/>
    <mergeCell ref="B78:H78"/>
  </mergeCells>
  <pageMargins left="0.7" right="0.7" top="0.75" bottom="0.75" header="0.3" footer="0.3"/>
  <pageSetup orientation="landscape" paperSize="8" fitToHeight="0" fitToWidth="1"/>
</worksheet>
</file>

<file path=xl/worksheets/sheet5.xml><?xml version="1.0" encoding="utf-8"?>
<worksheet xmlns="http://schemas.openxmlformats.org/spreadsheetml/2006/main">
  <sheetPr codeName="Sheet14">
    <tabColor rgb="007F7F7F"/>
    <outlinePr summaryBelow="1" summaryRight="1"/>
    <pageSetUpPr/>
  </sheetPr>
  <dimension ref="A1:N51"/>
  <sheetViews>
    <sheetView tabSelected="0" topLeftCell="A21" workbookViewId="0">
      <selection activeCell="K40" sqref="K40"/>
    </sheetView>
  </sheetViews>
  <sheetFormatPr baseColWidth="8" defaultRowHeight="17.4"/>
  <cols>
    <col width="34.88671875" customWidth="1" style="46" min="1" max="1"/>
    <col width="6" bestFit="1" customWidth="1" style="46" min="2" max="2"/>
    <col width="4.6640625" bestFit="1" customWidth="1" style="46" min="3" max="3"/>
    <col width="10.21875" bestFit="1" customWidth="1" style="46" min="4" max="4"/>
    <col width="11.44140625" bestFit="1" customWidth="1" style="46" min="5" max="9"/>
    <col width="4.6640625" bestFit="1" customWidth="1" style="46" min="10" max="10"/>
    <col width="5.77734375" bestFit="1" customWidth="1" style="46" min="11" max="13"/>
    <col width="11.44140625" bestFit="1" customWidth="1" style="46" min="14" max="14"/>
    <col width="8.88671875" customWidth="1" style="46" min="15" max="16384"/>
  </cols>
  <sheetData>
    <row r="1" ht="20.4" customHeight="1" s="22">
      <c r="A1" s="55" t="inlineStr">
        <is>
          <t>검사자별 월 실적 통계 (10_원데이터 기준 자동 집계)</t>
        </is>
      </c>
    </row>
    <row r="2">
      <c r="A2" s="46" t="inlineStr">
        <is>
          <t>연도</t>
        </is>
      </c>
      <c r="B2" s="56" t="n">
        <v>2026</v>
      </c>
    </row>
    <row r="3"/>
    <row r="4">
      <c r="A4" s="54" t="inlineStr">
        <is>
          <t>[건수]</t>
        </is>
      </c>
    </row>
    <row r="5">
      <c r="A5" s="57" t="inlineStr">
        <is>
          <t>검사자</t>
        </is>
      </c>
      <c r="B5" s="257" t="n">
        <v>1</v>
      </c>
      <c r="C5" s="257" t="n">
        <v>2</v>
      </c>
      <c r="D5" s="257" t="n">
        <v>3</v>
      </c>
      <c r="E5" s="257" t="n">
        <v>4</v>
      </c>
      <c r="F5" s="257" t="n">
        <v>5</v>
      </c>
      <c r="G5" s="257" t="n">
        <v>6</v>
      </c>
      <c r="H5" s="257" t="n">
        <v>7</v>
      </c>
      <c r="I5" s="257" t="n">
        <v>8</v>
      </c>
      <c r="J5" s="257" t="n">
        <v>9</v>
      </c>
      <c r="K5" s="257" t="n">
        <v>10</v>
      </c>
      <c r="L5" s="257" t="n">
        <v>11</v>
      </c>
      <c r="M5" s="257" t="n">
        <v>12</v>
      </c>
      <c r="N5" s="57" t="inlineStr">
        <is>
          <t>합계</t>
        </is>
      </c>
    </row>
    <row r="6">
      <c r="A6" s="46">
        <f>IF('01_검사자명단'!A2="","",'01_검사자명단'!A2)</f>
        <v/>
      </c>
      <c r="B6" s="46">
        <f>IF($A6="","",COUNTIFS(tblRaw[검사자],$A6,tblRaw[접수일자],"&gt;="&amp;DATE($B$2,B$5,1),tblRaw[접수일자],"&lt;"&amp;DATE($B$2,B$5+1,1)))</f>
        <v/>
      </c>
      <c r="C6" s="46">
        <f>IF($A6="","",COUNTIFS(tblRaw[검사자],$A6,tblRaw[접수일자],"&gt;="&amp;DATE($B$2,C$5,1),tblRaw[접수일자],"&lt;"&amp;DATE($B$2,C$5+1,1)))</f>
        <v/>
      </c>
      <c r="D6" s="46">
        <f>IF($A6="","",COUNTIFS(tblRaw[검사자],$A6,tblRaw[접수일자],"&gt;="&amp;DATE($B$2,D$5,1),tblRaw[접수일자],"&lt;"&amp;DATE($B$2,D$5+1,1)))</f>
        <v/>
      </c>
      <c r="E6" s="46">
        <f>IF($A6="","",COUNTIFS(tblRaw[검사자],$A6,tblRaw[접수일자],"&gt;="&amp;DATE($B$2,E$5,1),tblRaw[접수일자],"&lt;"&amp;DATE($B$2,E$5+1,1)))</f>
        <v/>
      </c>
      <c r="F6" s="46">
        <f>IF($A6="","",COUNTIFS(tblRaw[검사자],$A6,tblRaw[접수일자],"&gt;="&amp;DATE($B$2,F$5,1),tblRaw[접수일자],"&lt;"&amp;DATE($B$2,F$5+1,1)))</f>
        <v/>
      </c>
      <c r="G6" s="46">
        <f>IF($A6="","",COUNTIFS(tblRaw[검사자],$A6,tblRaw[접수일자],"&gt;="&amp;DATE($B$2,G$5,1),tblRaw[접수일자],"&lt;"&amp;DATE($B$2,G$5+1,1)))</f>
        <v/>
      </c>
      <c r="H6" s="46">
        <f>IF($A6="","",COUNTIFS(tblRaw[검사자],$A6,tblRaw[접수일자],"&gt;="&amp;DATE($B$2,H$5,1),tblRaw[접수일자],"&lt;"&amp;DATE($B$2,H$5+1,1)))</f>
        <v/>
      </c>
      <c r="I6" s="46">
        <f>IF($A6="","",COUNTIFS(tblRaw[검사자],$A6,tblRaw[접수일자],"&gt;="&amp;DATE($B$2,I$5,1),tblRaw[접수일자],"&lt;"&amp;DATE($B$2,I$5+1,1)))</f>
        <v/>
      </c>
      <c r="J6" s="46">
        <f>IF($A6="","",COUNTIFS(tblRaw[검사자],$A6,tblRaw[접수일자],"&gt;="&amp;DATE($B$2,J$5,1),tblRaw[접수일자],"&lt;"&amp;DATE($B$2,J$5+1,1)))</f>
        <v/>
      </c>
      <c r="K6" s="46">
        <f>IF($A6="","",COUNTIFS(tblRaw[검사자],$A6,tblRaw[접수일자],"&gt;="&amp;DATE($B$2,K$5,1),tblRaw[접수일자],"&lt;"&amp;DATE($B$2,K$5+1,1)))</f>
        <v/>
      </c>
      <c r="L6" s="46">
        <f>IF($A6="","",COUNTIFS(tblRaw[검사자],$A6,tblRaw[접수일자],"&gt;="&amp;DATE($B$2,L$5,1),tblRaw[접수일자],"&lt;"&amp;DATE($B$2,L$5+1,1)))</f>
        <v/>
      </c>
      <c r="M6" s="46">
        <f>IF($A6="","",COUNTIFS(tblRaw[검사자],$A6,tblRaw[접수일자],"&gt;="&amp;DATE($B$2,M$5,1),tblRaw[접수일자],"&lt;"&amp;DATE($B$2,M$5+1,1)))</f>
        <v/>
      </c>
      <c r="N6" s="46">
        <f>IF($A6="","",SUM(B6:M6))</f>
        <v/>
      </c>
    </row>
    <row r="7">
      <c r="A7" s="46">
        <f>IF('01_검사자명단'!A3="","",'01_검사자명단'!A3)</f>
        <v/>
      </c>
      <c r="B7" s="46">
        <f>IF($A7="","",COUNTIFS(tblRaw[검사자],$A7,tblRaw[접수일자],"&gt;="&amp;DATE($B$2,B$5,1),tblRaw[접수일자],"&lt;"&amp;DATE($B$2,B$5+1,1)))</f>
        <v/>
      </c>
      <c r="C7" s="46">
        <f>IF($A7="","",COUNTIFS(tblRaw[검사자],$A7,tblRaw[접수일자],"&gt;="&amp;DATE($B$2,C$5,1),tblRaw[접수일자],"&lt;"&amp;DATE($B$2,C$5+1,1)))</f>
        <v/>
      </c>
      <c r="D7" s="46">
        <f>IF($A7="","",COUNTIFS(tblRaw[검사자],$A7,tblRaw[접수일자],"&gt;="&amp;DATE($B$2,D$5,1),tblRaw[접수일자],"&lt;"&amp;DATE($B$2,D$5+1,1)))</f>
        <v/>
      </c>
      <c r="E7" s="46">
        <f>IF($A7="","",COUNTIFS(tblRaw[검사자],$A7,tblRaw[접수일자],"&gt;="&amp;DATE($B$2,E$5,1),tblRaw[접수일자],"&lt;"&amp;DATE($B$2,E$5+1,1)))</f>
        <v/>
      </c>
      <c r="F7" s="46">
        <f>IF($A7="","",COUNTIFS(tblRaw[검사자],$A7,tblRaw[접수일자],"&gt;="&amp;DATE($B$2,F$5,1),tblRaw[접수일자],"&lt;"&amp;DATE($B$2,F$5+1,1)))</f>
        <v/>
      </c>
      <c r="G7" s="46">
        <f>IF($A7="","",COUNTIFS(tblRaw[검사자],$A7,tblRaw[접수일자],"&gt;="&amp;DATE($B$2,G$5,1),tblRaw[접수일자],"&lt;"&amp;DATE($B$2,G$5+1,1)))</f>
        <v/>
      </c>
      <c r="H7" s="46">
        <f>IF($A7="","",COUNTIFS(tblRaw[검사자],$A7,tblRaw[접수일자],"&gt;="&amp;DATE($B$2,H$5,1),tblRaw[접수일자],"&lt;"&amp;DATE($B$2,H$5+1,1)))</f>
        <v/>
      </c>
      <c r="I7" s="46">
        <f>IF($A7="","",COUNTIFS(tblRaw[검사자],$A7,tblRaw[접수일자],"&gt;="&amp;DATE($B$2,I$5,1),tblRaw[접수일자],"&lt;"&amp;DATE($B$2,I$5+1,1)))</f>
        <v/>
      </c>
      <c r="J7" s="46">
        <f>IF($A7="","",COUNTIFS(tblRaw[검사자],$A7,tblRaw[접수일자],"&gt;="&amp;DATE($B$2,J$5,1),tblRaw[접수일자],"&lt;"&amp;DATE($B$2,J$5+1,1)))</f>
        <v/>
      </c>
      <c r="K7" s="46">
        <f>IF($A7="","",COUNTIFS(tblRaw[검사자],$A7,tblRaw[접수일자],"&gt;="&amp;DATE($B$2,K$5,1),tblRaw[접수일자],"&lt;"&amp;DATE($B$2,K$5+1,1)))</f>
        <v/>
      </c>
      <c r="L7" s="46">
        <f>IF($A7="","",COUNTIFS(tblRaw[검사자],$A7,tblRaw[접수일자],"&gt;="&amp;DATE($B$2,L$5,1),tblRaw[접수일자],"&lt;"&amp;DATE($B$2,L$5+1,1)))</f>
        <v/>
      </c>
      <c r="M7" s="46">
        <f>IF($A7="","",COUNTIFS(tblRaw[검사자],$A7,tblRaw[접수일자],"&gt;="&amp;DATE($B$2,M$5,1),tblRaw[접수일자],"&lt;"&amp;DATE($B$2,M$5+1,1)))</f>
        <v/>
      </c>
      <c r="N7" s="46">
        <f>IF($A7="","",SUM(B7:M7))</f>
        <v/>
      </c>
    </row>
    <row r="8">
      <c r="A8" s="46">
        <f>IF('01_검사자명단'!A4="","",'01_검사자명단'!A4)</f>
        <v/>
      </c>
      <c r="B8" s="46">
        <f>IF($A8="","",COUNTIFS(tblRaw[검사자],$A8,tblRaw[접수일자],"&gt;="&amp;DATE($B$2,B$5,1),tblRaw[접수일자],"&lt;"&amp;DATE($B$2,B$5+1,1)))</f>
        <v/>
      </c>
      <c r="C8" s="46">
        <f>IF($A8="","",COUNTIFS(tblRaw[검사자],$A8,tblRaw[접수일자],"&gt;="&amp;DATE($B$2,C$5,1),tblRaw[접수일자],"&lt;"&amp;DATE($B$2,C$5+1,1)))</f>
        <v/>
      </c>
      <c r="D8" s="46">
        <f>IF($A8="","",COUNTIFS(tblRaw[검사자],$A8,tblRaw[접수일자],"&gt;="&amp;DATE($B$2,D$5,1),tblRaw[접수일자],"&lt;"&amp;DATE($B$2,D$5+1,1)))</f>
        <v/>
      </c>
      <c r="E8" s="46">
        <f>IF($A8="","",COUNTIFS(tblRaw[검사자],$A8,tblRaw[접수일자],"&gt;="&amp;DATE($B$2,E$5,1),tblRaw[접수일자],"&lt;"&amp;DATE($B$2,E$5+1,1)))</f>
        <v/>
      </c>
      <c r="F8" s="46">
        <f>IF($A8="","",COUNTIFS(tblRaw[검사자],$A8,tblRaw[접수일자],"&gt;="&amp;DATE($B$2,F$5,1),tblRaw[접수일자],"&lt;"&amp;DATE($B$2,F$5+1,1)))</f>
        <v/>
      </c>
      <c r="G8" s="46">
        <f>IF($A8="","",COUNTIFS(tblRaw[검사자],$A8,tblRaw[접수일자],"&gt;="&amp;DATE($B$2,G$5,1),tblRaw[접수일자],"&lt;"&amp;DATE($B$2,G$5+1,1)))</f>
        <v/>
      </c>
      <c r="H8" s="46">
        <f>IF($A8="","",COUNTIFS(tblRaw[검사자],$A8,tblRaw[접수일자],"&gt;="&amp;DATE($B$2,H$5,1),tblRaw[접수일자],"&lt;"&amp;DATE($B$2,H$5+1,1)))</f>
        <v/>
      </c>
      <c r="I8" s="46">
        <f>IF($A8="","",COUNTIFS(tblRaw[검사자],$A8,tblRaw[접수일자],"&gt;="&amp;DATE($B$2,I$5,1),tblRaw[접수일자],"&lt;"&amp;DATE($B$2,I$5+1,1)))</f>
        <v/>
      </c>
      <c r="J8" s="46">
        <f>IF($A8="","",COUNTIFS(tblRaw[검사자],$A8,tblRaw[접수일자],"&gt;="&amp;DATE($B$2,J$5,1),tblRaw[접수일자],"&lt;"&amp;DATE($B$2,J$5+1,1)))</f>
        <v/>
      </c>
      <c r="K8" s="46">
        <f>IF($A8="","",COUNTIFS(tblRaw[검사자],$A8,tblRaw[접수일자],"&gt;="&amp;DATE($B$2,K$5,1),tblRaw[접수일자],"&lt;"&amp;DATE($B$2,K$5+1,1)))</f>
        <v/>
      </c>
      <c r="L8" s="46">
        <f>IF($A8="","",COUNTIFS(tblRaw[검사자],$A8,tblRaw[접수일자],"&gt;="&amp;DATE($B$2,L$5,1),tblRaw[접수일자],"&lt;"&amp;DATE($B$2,L$5+1,1)))</f>
        <v/>
      </c>
      <c r="M8" s="46">
        <f>IF($A8="","",COUNTIFS(tblRaw[검사자],$A8,tblRaw[접수일자],"&gt;="&amp;DATE($B$2,M$5,1),tblRaw[접수일자],"&lt;"&amp;DATE($B$2,M$5+1,1)))</f>
        <v/>
      </c>
      <c r="N8" s="46">
        <f>IF($A8="","",SUM(B8:M8))</f>
        <v/>
      </c>
    </row>
    <row r="9">
      <c r="A9" s="46">
        <f>IF('01_검사자명단'!A5="","",'01_검사자명단'!A5)</f>
        <v/>
      </c>
      <c r="B9" s="46">
        <f>IF($A9="","",COUNTIFS(tblRaw[검사자],$A9,tblRaw[접수일자],"&gt;="&amp;DATE($B$2,B$5,1),tblRaw[접수일자],"&lt;"&amp;DATE($B$2,B$5+1,1)))</f>
        <v/>
      </c>
      <c r="C9" s="46">
        <f>IF($A9="","",COUNTIFS(tblRaw[검사자],$A9,tblRaw[접수일자],"&gt;="&amp;DATE($B$2,C$5,1),tblRaw[접수일자],"&lt;"&amp;DATE($B$2,C$5+1,1)))</f>
        <v/>
      </c>
      <c r="D9" s="46">
        <f>IF($A9="","",COUNTIFS(tblRaw[검사자],$A9,tblRaw[접수일자],"&gt;="&amp;DATE($B$2,D$5,1),tblRaw[접수일자],"&lt;"&amp;DATE($B$2,D$5+1,1)))</f>
        <v/>
      </c>
      <c r="E9" s="46">
        <f>IF($A9="","",COUNTIFS(tblRaw[검사자],$A9,tblRaw[접수일자],"&gt;="&amp;DATE($B$2,E$5,1),tblRaw[접수일자],"&lt;"&amp;DATE($B$2,E$5+1,1)))</f>
        <v/>
      </c>
      <c r="F9" s="46">
        <f>IF($A9="","",COUNTIFS(tblRaw[검사자],$A9,tblRaw[접수일자],"&gt;="&amp;DATE($B$2,F$5,1),tblRaw[접수일자],"&lt;"&amp;DATE($B$2,F$5+1,1)))</f>
        <v/>
      </c>
      <c r="G9" s="46">
        <f>IF($A9="","",COUNTIFS(tblRaw[검사자],$A9,tblRaw[접수일자],"&gt;="&amp;DATE($B$2,G$5,1),tblRaw[접수일자],"&lt;"&amp;DATE($B$2,G$5+1,1)))</f>
        <v/>
      </c>
      <c r="H9" s="46">
        <f>IF($A9="","",COUNTIFS(tblRaw[검사자],$A9,tblRaw[접수일자],"&gt;="&amp;DATE($B$2,H$5,1),tblRaw[접수일자],"&lt;"&amp;DATE($B$2,H$5+1,1)))</f>
        <v/>
      </c>
      <c r="I9" s="46">
        <f>IF($A9="","",COUNTIFS(tblRaw[검사자],$A9,tblRaw[접수일자],"&gt;="&amp;DATE($B$2,I$5,1),tblRaw[접수일자],"&lt;"&amp;DATE($B$2,I$5+1,1)))</f>
        <v/>
      </c>
      <c r="J9" s="46">
        <f>IF($A9="","",COUNTIFS(tblRaw[검사자],$A9,tblRaw[접수일자],"&gt;="&amp;DATE($B$2,J$5,1),tblRaw[접수일자],"&lt;"&amp;DATE($B$2,J$5+1,1)))</f>
        <v/>
      </c>
      <c r="K9" s="46">
        <f>IF($A9="","",COUNTIFS(tblRaw[검사자],$A9,tblRaw[접수일자],"&gt;="&amp;DATE($B$2,K$5,1),tblRaw[접수일자],"&lt;"&amp;DATE($B$2,K$5+1,1)))</f>
        <v/>
      </c>
      <c r="L9" s="46">
        <f>IF($A9="","",COUNTIFS(tblRaw[검사자],$A9,tblRaw[접수일자],"&gt;="&amp;DATE($B$2,L$5,1),tblRaw[접수일자],"&lt;"&amp;DATE($B$2,L$5+1,1)))</f>
        <v/>
      </c>
      <c r="M9" s="46">
        <f>IF($A9="","",COUNTIFS(tblRaw[검사자],$A9,tblRaw[접수일자],"&gt;="&amp;DATE($B$2,M$5,1),tblRaw[접수일자],"&lt;"&amp;DATE($B$2,M$5+1,1)))</f>
        <v/>
      </c>
      <c r="N9" s="46">
        <f>IF($A9="","",SUM(B9:M9))</f>
        <v/>
      </c>
    </row>
    <row r="10">
      <c r="A10" s="46">
        <f>IF('01_검사자명단'!A6="","",'01_검사자명단'!A6)</f>
        <v/>
      </c>
      <c r="B10" s="46">
        <f>IF($A10="","",COUNTIFS(tblRaw[검사자],$A10,tblRaw[접수일자],"&gt;="&amp;DATE($B$2,B$5,1),tblRaw[접수일자],"&lt;"&amp;DATE($B$2,B$5+1,1)))</f>
        <v/>
      </c>
      <c r="C10" s="46">
        <f>IF($A10="","",COUNTIFS(tblRaw[검사자],$A10,tblRaw[접수일자],"&gt;="&amp;DATE($B$2,C$5,1),tblRaw[접수일자],"&lt;"&amp;DATE($B$2,C$5+1,1)))</f>
        <v/>
      </c>
      <c r="D10" s="46">
        <f>IF($A10="","",COUNTIFS(tblRaw[검사자],$A10,tblRaw[접수일자],"&gt;="&amp;DATE($B$2,D$5,1),tblRaw[접수일자],"&lt;"&amp;DATE($B$2,D$5+1,1)))</f>
        <v/>
      </c>
      <c r="E10" s="46">
        <f>IF($A10="","",COUNTIFS(tblRaw[검사자],$A10,tblRaw[접수일자],"&gt;="&amp;DATE($B$2,E$5,1),tblRaw[접수일자],"&lt;"&amp;DATE($B$2,E$5+1,1)))</f>
        <v/>
      </c>
      <c r="F10" s="46">
        <f>IF($A10="","",COUNTIFS(tblRaw[검사자],$A10,tblRaw[접수일자],"&gt;="&amp;DATE($B$2,F$5,1),tblRaw[접수일자],"&lt;"&amp;DATE($B$2,F$5+1,1)))</f>
        <v/>
      </c>
      <c r="G10" s="46">
        <f>IF($A10="","",COUNTIFS(tblRaw[검사자],$A10,tblRaw[접수일자],"&gt;="&amp;DATE($B$2,G$5,1),tblRaw[접수일자],"&lt;"&amp;DATE($B$2,G$5+1,1)))</f>
        <v/>
      </c>
      <c r="H10" s="46">
        <f>IF($A10="","",COUNTIFS(tblRaw[검사자],$A10,tblRaw[접수일자],"&gt;="&amp;DATE($B$2,H$5,1),tblRaw[접수일자],"&lt;"&amp;DATE($B$2,H$5+1,1)))</f>
        <v/>
      </c>
      <c r="I10" s="46">
        <f>IF($A10="","",COUNTIFS(tblRaw[검사자],$A10,tblRaw[접수일자],"&gt;="&amp;DATE($B$2,I$5,1),tblRaw[접수일자],"&lt;"&amp;DATE($B$2,I$5+1,1)))</f>
        <v/>
      </c>
      <c r="J10" s="46">
        <f>IF($A10="","",COUNTIFS(tblRaw[검사자],$A10,tblRaw[접수일자],"&gt;="&amp;DATE($B$2,J$5,1),tblRaw[접수일자],"&lt;"&amp;DATE($B$2,J$5+1,1)))</f>
        <v/>
      </c>
      <c r="K10" s="46">
        <f>IF($A10="","",COUNTIFS(tblRaw[검사자],$A10,tblRaw[접수일자],"&gt;="&amp;DATE($B$2,K$5,1),tblRaw[접수일자],"&lt;"&amp;DATE($B$2,K$5+1,1)))</f>
        <v/>
      </c>
      <c r="L10" s="46">
        <f>IF($A10="","",COUNTIFS(tblRaw[검사자],$A10,tblRaw[접수일자],"&gt;="&amp;DATE($B$2,L$5,1),tblRaw[접수일자],"&lt;"&amp;DATE($B$2,L$5+1,1)))</f>
        <v/>
      </c>
      <c r="M10" s="46">
        <f>IF($A10="","",COUNTIFS(tblRaw[검사자],$A10,tblRaw[접수일자],"&gt;="&amp;DATE($B$2,M$5,1),tblRaw[접수일자],"&lt;"&amp;DATE($B$2,M$5+1,1)))</f>
        <v/>
      </c>
      <c r="N10" s="46">
        <f>IF($A10="","",SUM(B10:M10))</f>
        <v/>
      </c>
    </row>
    <row r="11">
      <c r="A11" s="46">
        <f>IF('01_검사자명단'!A7="","",'01_검사자명단'!A7)</f>
        <v/>
      </c>
      <c r="B11" s="46">
        <f>IF($A11="","",COUNTIFS(tblRaw[검사자],$A11,tblRaw[접수일자],"&gt;="&amp;DATE($B$2,B$5,1),tblRaw[접수일자],"&lt;"&amp;DATE($B$2,B$5+1,1)))</f>
        <v/>
      </c>
      <c r="C11" s="46">
        <f>IF($A11="","",COUNTIFS(tblRaw[검사자],$A11,tblRaw[접수일자],"&gt;="&amp;DATE($B$2,C$5,1),tblRaw[접수일자],"&lt;"&amp;DATE($B$2,C$5+1,1)))</f>
        <v/>
      </c>
      <c r="D11" s="46">
        <f>IF($A11="","",COUNTIFS(tblRaw[검사자],$A11,tblRaw[접수일자],"&gt;="&amp;DATE($B$2,D$5,1),tblRaw[접수일자],"&lt;"&amp;DATE($B$2,D$5+1,1)))</f>
        <v/>
      </c>
      <c r="E11" s="46">
        <f>IF($A11="","",COUNTIFS(tblRaw[검사자],$A11,tblRaw[접수일자],"&gt;="&amp;DATE($B$2,E$5,1),tblRaw[접수일자],"&lt;"&amp;DATE($B$2,E$5+1,1)))</f>
        <v/>
      </c>
      <c r="F11" s="46">
        <f>IF($A11="","",COUNTIFS(tblRaw[검사자],$A11,tblRaw[접수일자],"&gt;="&amp;DATE($B$2,F$5,1),tblRaw[접수일자],"&lt;"&amp;DATE($B$2,F$5+1,1)))</f>
        <v/>
      </c>
      <c r="G11" s="46">
        <f>IF($A11="","",COUNTIFS(tblRaw[검사자],$A11,tblRaw[접수일자],"&gt;="&amp;DATE($B$2,G$5,1),tblRaw[접수일자],"&lt;"&amp;DATE($B$2,G$5+1,1)))</f>
        <v/>
      </c>
      <c r="H11" s="46">
        <f>IF($A11="","",COUNTIFS(tblRaw[검사자],$A11,tblRaw[접수일자],"&gt;="&amp;DATE($B$2,H$5,1),tblRaw[접수일자],"&lt;"&amp;DATE($B$2,H$5+1,1)))</f>
        <v/>
      </c>
      <c r="I11" s="46">
        <f>IF($A11="","",COUNTIFS(tblRaw[검사자],$A11,tblRaw[접수일자],"&gt;="&amp;DATE($B$2,I$5,1),tblRaw[접수일자],"&lt;"&amp;DATE($B$2,I$5+1,1)))</f>
        <v/>
      </c>
      <c r="J11" s="46">
        <f>IF($A11="","",COUNTIFS(tblRaw[검사자],$A11,tblRaw[접수일자],"&gt;="&amp;DATE($B$2,J$5,1),tblRaw[접수일자],"&lt;"&amp;DATE($B$2,J$5+1,1)))</f>
        <v/>
      </c>
      <c r="K11" s="46">
        <f>IF($A11="","",COUNTIFS(tblRaw[검사자],$A11,tblRaw[접수일자],"&gt;="&amp;DATE($B$2,K$5,1),tblRaw[접수일자],"&lt;"&amp;DATE($B$2,K$5+1,1)))</f>
        <v/>
      </c>
      <c r="L11" s="46">
        <f>IF($A11="","",COUNTIFS(tblRaw[검사자],$A11,tblRaw[접수일자],"&gt;="&amp;DATE($B$2,L$5,1),tblRaw[접수일자],"&lt;"&amp;DATE($B$2,L$5+1,1)))</f>
        <v/>
      </c>
      <c r="M11" s="46">
        <f>IF($A11="","",COUNTIFS(tblRaw[검사자],$A11,tblRaw[접수일자],"&gt;="&amp;DATE($B$2,M$5,1),tblRaw[접수일자],"&lt;"&amp;DATE($B$2,M$5+1,1)))</f>
        <v/>
      </c>
      <c r="N11" s="46">
        <f>IF($A11="","",SUM(B11:M11))</f>
        <v/>
      </c>
    </row>
    <row r="12">
      <c r="A12" s="46">
        <f>IF('01_검사자명단'!A8="","",'01_검사자명단'!A8)</f>
        <v/>
      </c>
      <c r="B12" s="46">
        <f>IF($A12="","",COUNTIFS(tblRaw[검사자],$A12,tblRaw[접수일자],"&gt;="&amp;DATE($B$2,B$5,1),tblRaw[접수일자],"&lt;"&amp;DATE($B$2,B$5+1,1)))</f>
        <v/>
      </c>
      <c r="C12" s="46">
        <f>IF($A12="","",COUNTIFS(tblRaw[검사자],$A12,tblRaw[접수일자],"&gt;="&amp;DATE($B$2,C$5,1),tblRaw[접수일자],"&lt;"&amp;DATE($B$2,C$5+1,1)))</f>
        <v/>
      </c>
      <c r="D12" s="46">
        <f>IF($A12="","",COUNTIFS(tblRaw[검사자],$A12,tblRaw[접수일자],"&gt;="&amp;DATE($B$2,D$5,1),tblRaw[접수일자],"&lt;"&amp;DATE($B$2,D$5+1,1)))</f>
        <v/>
      </c>
      <c r="E12" s="46">
        <f>IF($A12="","",COUNTIFS(tblRaw[검사자],$A12,tblRaw[접수일자],"&gt;="&amp;DATE($B$2,E$5,1),tblRaw[접수일자],"&lt;"&amp;DATE($B$2,E$5+1,1)))</f>
        <v/>
      </c>
      <c r="F12" s="46">
        <f>IF($A12="","",COUNTIFS(tblRaw[검사자],$A12,tblRaw[접수일자],"&gt;="&amp;DATE($B$2,F$5,1),tblRaw[접수일자],"&lt;"&amp;DATE($B$2,F$5+1,1)))</f>
        <v/>
      </c>
      <c r="G12" s="46">
        <f>IF($A12="","",COUNTIFS(tblRaw[검사자],$A12,tblRaw[접수일자],"&gt;="&amp;DATE($B$2,G$5,1),tblRaw[접수일자],"&lt;"&amp;DATE($B$2,G$5+1,1)))</f>
        <v/>
      </c>
      <c r="H12" s="46">
        <f>IF($A12="","",COUNTIFS(tblRaw[검사자],$A12,tblRaw[접수일자],"&gt;="&amp;DATE($B$2,H$5,1),tblRaw[접수일자],"&lt;"&amp;DATE($B$2,H$5+1,1)))</f>
        <v/>
      </c>
      <c r="I12" s="46">
        <f>IF($A12="","",COUNTIFS(tblRaw[검사자],$A12,tblRaw[접수일자],"&gt;="&amp;DATE($B$2,I$5,1),tblRaw[접수일자],"&lt;"&amp;DATE($B$2,I$5+1,1)))</f>
        <v/>
      </c>
      <c r="J12" s="46">
        <f>IF($A12="","",COUNTIFS(tblRaw[검사자],$A12,tblRaw[접수일자],"&gt;="&amp;DATE($B$2,J$5,1),tblRaw[접수일자],"&lt;"&amp;DATE($B$2,J$5+1,1)))</f>
        <v/>
      </c>
      <c r="K12" s="46">
        <f>IF($A12="","",COUNTIFS(tblRaw[검사자],$A12,tblRaw[접수일자],"&gt;="&amp;DATE($B$2,K$5,1),tblRaw[접수일자],"&lt;"&amp;DATE($B$2,K$5+1,1)))</f>
        <v/>
      </c>
      <c r="L12" s="46">
        <f>IF($A12="","",COUNTIFS(tblRaw[검사자],$A12,tblRaw[접수일자],"&gt;="&amp;DATE($B$2,L$5,1),tblRaw[접수일자],"&lt;"&amp;DATE($B$2,L$5+1,1)))</f>
        <v/>
      </c>
      <c r="M12" s="46">
        <f>IF($A12="","",COUNTIFS(tblRaw[검사자],$A12,tblRaw[접수일자],"&gt;="&amp;DATE($B$2,M$5,1),tblRaw[접수일자],"&lt;"&amp;DATE($B$2,M$5+1,1)))</f>
        <v/>
      </c>
      <c r="N12" s="46">
        <f>IF($A12="","",SUM(B12:M12))</f>
        <v/>
      </c>
    </row>
    <row r="13">
      <c r="A13" s="46">
        <f>IF('01_검사자명단'!A9="","",'01_검사자명단'!A9)</f>
        <v/>
      </c>
      <c r="B13" s="46">
        <f>IF($A13="","",COUNTIFS(tblRaw[검사자],$A13,tblRaw[접수일자],"&gt;="&amp;DATE($B$2,B$5,1),tblRaw[접수일자],"&lt;"&amp;DATE($B$2,B$5+1,1)))</f>
        <v/>
      </c>
      <c r="C13" s="46">
        <f>IF($A13="","",COUNTIFS(tblRaw[검사자],$A13,tblRaw[접수일자],"&gt;="&amp;DATE($B$2,C$5,1),tblRaw[접수일자],"&lt;"&amp;DATE($B$2,C$5+1,1)))</f>
        <v/>
      </c>
      <c r="D13" s="46">
        <f>IF($A13="","",COUNTIFS(tblRaw[검사자],$A13,tblRaw[접수일자],"&gt;="&amp;DATE($B$2,D$5,1),tblRaw[접수일자],"&lt;"&amp;DATE($B$2,D$5+1,1)))</f>
        <v/>
      </c>
      <c r="E13" s="46">
        <f>IF($A13="","",COUNTIFS(tblRaw[검사자],$A13,tblRaw[접수일자],"&gt;="&amp;DATE($B$2,E$5,1),tblRaw[접수일자],"&lt;"&amp;DATE($B$2,E$5+1,1)))</f>
        <v/>
      </c>
      <c r="F13" s="46">
        <f>IF($A13="","",COUNTIFS(tblRaw[검사자],$A13,tblRaw[접수일자],"&gt;="&amp;DATE($B$2,F$5,1),tblRaw[접수일자],"&lt;"&amp;DATE($B$2,F$5+1,1)))</f>
        <v/>
      </c>
      <c r="G13" s="46">
        <f>IF($A13="","",COUNTIFS(tblRaw[검사자],$A13,tblRaw[접수일자],"&gt;="&amp;DATE($B$2,G$5,1),tblRaw[접수일자],"&lt;"&amp;DATE($B$2,G$5+1,1)))</f>
        <v/>
      </c>
      <c r="H13" s="46">
        <f>IF($A13="","",COUNTIFS(tblRaw[검사자],$A13,tblRaw[접수일자],"&gt;="&amp;DATE($B$2,H$5,1),tblRaw[접수일자],"&lt;"&amp;DATE($B$2,H$5+1,1)))</f>
        <v/>
      </c>
      <c r="I13" s="46">
        <f>IF($A13="","",COUNTIFS(tblRaw[검사자],$A13,tblRaw[접수일자],"&gt;="&amp;DATE($B$2,I$5,1),tblRaw[접수일자],"&lt;"&amp;DATE($B$2,I$5+1,1)))</f>
        <v/>
      </c>
      <c r="J13" s="46">
        <f>IF($A13="","",COUNTIFS(tblRaw[검사자],$A13,tblRaw[접수일자],"&gt;="&amp;DATE($B$2,J$5,1),tblRaw[접수일자],"&lt;"&amp;DATE($B$2,J$5+1,1)))</f>
        <v/>
      </c>
      <c r="K13" s="46">
        <f>IF($A13="","",COUNTIFS(tblRaw[검사자],$A13,tblRaw[접수일자],"&gt;="&amp;DATE($B$2,K$5,1),tblRaw[접수일자],"&lt;"&amp;DATE($B$2,K$5+1,1)))</f>
        <v/>
      </c>
      <c r="L13" s="46">
        <f>IF($A13="","",COUNTIFS(tblRaw[검사자],$A13,tblRaw[접수일자],"&gt;="&amp;DATE($B$2,L$5,1),tblRaw[접수일자],"&lt;"&amp;DATE($B$2,L$5+1,1)))</f>
        <v/>
      </c>
      <c r="M13" s="46">
        <f>IF($A13="","",COUNTIFS(tblRaw[검사자],$A13,tblRaw[접수일자],"&gt;="&amp;DATE($B$2,M$5,1),tblRaw[접수일자],"&lt;"&amp;DATE($B$2,M$5+1,1)))</f>
        <v/>
      </c>
      <c r="N13" s="46">
        <f>IF($A13="","",SUM(B13:M13))</f>
        <v/>
      </c>
    </row>
    <row r="14">
      <c r="A14" s="46">
        <f>IF('01_검사자명단'!A10="","",'01_검사자명단'!A10)</f>
        <v/>
      </c>
      <c r="B14" s="46">
        <f>IF($A14="","",COUNTIFS(tblRaw[검사자],$A14,tblRaw[접수일자],"&gt;="&amp;DATE($B$2,B$5,1),tblRaw[접수일자],"&lt;"&amp;DATE($B$2,B$5+1,1)))</f>
        <v/>
      </c>
      <c r="C14" s="46">
        <f>IF($A14="","",COUNTIFS(tblRaw[검사자],$A14,tblRaw[접수일자],"&gt;="&amp;DATE($B$2,C$5,1),tblRaw[접수일자],"&lt;"&amp;DATE($B$2,C$5+1,1)))</f>
        <v/>
      </c>
      <c r="D14" s="46">
        <f>IF($A14="","",COUNTIFS(tblRaw[검사자],$A14,tblRaw[접수일자],"&gt;="&amp;DATE($B$2,D$5,1),tblRaw[접수일자],"&lt;"&amp;DATE($B$2,D$5+1,1)))</f>
        <v/>
      </c>
      <c r="E14" s="46">
        <f>IF($A14="","",COUNTIFS(tblRaw[검사자],$A14,tblRaw[접수일자],"&gt;="&amp;DATE($B$2,E$5,1),tblRaw[접수일자],"&lt;"&amp;DATE($B$2,E$5+1,1)))</f>
        <v/>
      </c>
      <c r="F14" s="46">
        <f>IF($A14="","",COUNTIFS(tblRaw[검사자],$A14,tblRaw[접수일자],"&gt;="&amp;DATE($B$2,F$5,1),tblRaw[접수일자],"&lt;"&amp;DATE($B$2,F$5+1,1)))</f>
        <v/>
      </c>
      <c r="G14" s="46">
        <f>IF($A14="","",COUNTIFS(tblRaw[검사자],$A14,tblRaw[접수일자],"&gt;="&amp;DATE($B$2,G$5,1),tblRaw[접수일자],"&lt;"&amp;DATE($B$2,G$5+1,1)))</f>
        <v/>
      </c>
      <c r="H14" s="46">
        <f>IF($A14="","",COUNTIFS(tblRaw[검사자],$A14,tblRaw[접수일자],"&gt;="&amp;DATE($B$2,H$5,1),tblRaw[접수일자],"&lt;"&amp;DATE($B$2,H$5+1,1)))</f>
        <v/>
      </c>
      <c r="I14" s="46">
        <f>IF($A14="","",COUNTIFS(tblRaw[검사자],$A14,tblRaw[접수일자],"&gt;="&amp;DATE($B$2,I$5,1),tblRaw[접수일자],"&lt;"&amp;DATE($B$2,I$5+1,1)))</f>
        <v/>
      </c>
      <c r="J14" s="46">
        <f>IF($A14="","",COUNTIFS(tblRaw[검사자],$A14,tblRaw[접수일자],"&gt;="&amp;DATE($B$2,J$5,1),tblRaw[접수일자],"&lt;"&amp;DATE($B$2,J$5+1,1)))</f>
        <v/>
      </c>
      <c r="K14" s="46">
        <f>IF($A14="","",COUNTIFS(tblRaw[검사자],$A14,tblRaw[접수일자],"&gt;="&amp;DATE($B$2,K$5,1),tblRaw[접수일자],"&lt;"&amp;DATE($B$2,K$5+1,1)))</f>
        <v/>
      </c>
      <c r="L14" s="46">
        <f>IF($A14="","",COUNTIFS(tblRaw[검사자],$A14,tblRaw[접수일자],"&gt;="&amp;DATE($B$2,L$5,1),tblRaw[접수일자],"&lt;"&amp;DATE($B$2,L$5+1,1)))</f>
        <v/>
      </c>
      <c r="M14" s="46">
        <f>IF($A14="","",COUNTIFS(tblRaw[검사자],$A14,tblRaw[접수일자],"&gt;="&amp;DATE($B$2,M$5,1),tblRaw[접수일자],"&lt;"&amp;DATE($B$2,M$5+1,1)))</f>
        <v/>
      </c>
      <c r="N14" s="46">
        <f>IF($A14="","",SUM(B14:M14))</f>
        <v/>
      </c>
    </row>
    <row r="15">
      <c r="A15" s="46">
        <f>IF('01_검사자명단'!A11="","",'01_검사자명단'!A11)</f>
        <v/>
      </c>
      <c r="B15" s="46">
        <f>IF($A15="","",COUNTIFS(tblRaw[검사자],$A15,tblRaw[접수일자],"&gt;="&amp;DATE($B$2,B$5,1),tblRaw[접수일자],"&lt;"&amp;DATE($B$2,B$5+1,1)))</f>
        <v/>
      </c>
      <c r="C15" s="46">
        <f>IF($A15="","",COUNTIFS(tblRaw[검사자],$A15,tblRaw[접수일자],"&gt;="&amp;DATE($B$2,C$5,1),tblRaw[접수일자],"&lt;"&amp;DATE($B$2,C$5+1,1)))</f>
        <v/>
      </c>
      <c r="D15" s="46">
        <f>IF($A15="","",COUNTIFS(tblRaw[검사자],$A15,tblRaw[접수일자],"&gt;="&amp;DATE($B$2,D$5,1),tblRaw[접수일자],"&lt;"&amp;DATE($B$2,D$5+1,1)))</f>
        <v/>
      </c>
      <c r="E15" s="46">
        <f>IF($A15="","",COUNTIFS(tblRaw[검사자],$A15,tblRaw[접수일자],"&gt;="&amp;DATE($B$2,E$5,1),tblRaw[접수일자],"&lt;"&amp;DATE($B$2,E$5+1,1)))</f>
        <v/>
      </c>
      <c r="F15" s="46">
        <f>IF($A15="","",COUNTIFS(tblRaw[검사자],$A15,tblRaw[접수일자],"&gt;="&amp;DATE($B$2,F$5,1),tblRaw[접수일자],"&lt;"&amp;DATE($B$2,F$5+1,1)))</f>
        <v/>
      </c>
      <c r="G15" s="46">
        <f>IF($A15="","",COUNTIFS(tblRaw[검사자],$A15,tblRaw[접수일자],"&gt;="&amp;DATE($B$2,G$5,1),tblRaw[접수일자],"&lt;"&amp;DATE($B$2,G$5+1,1)))</f>
        <v/>
      </c>
      <c r="H15" s="46">
        <f>IF($A15="","",COUNTIFS(tblRaw[검사자],$A15,tblRaw[접수일자],"&gt;="&amp;DATE($B$2,H$5,1),tblRaw[접수일자],"&lt;"&amp;DATE($B$2,H$5+1,1)))</f>
        <v/>
      </c>
      <c r="I15" s="46">
        <f>IF($A15="","",COUNTIFS(tblRaw[검사자],$A15,tblRaw[접수일자],"&gt;="&amp;DATE($B$2,I$5,1),tblRaw[접수일자],"&lt;"&amp;DATE($B$2,I$5+1,1)))</f>
        <v/>
      </c>
      <c r="J15" s="46">
        <f>IF($A15="","",COUNTIFS(tblRaw[검사자],$A15,tblRaw[접수일자],"&gt;="&amp;DATE($B$2,J$5,1),tblRaw[접수일자],"&lt;"&amp;DATE($B$2,J$5+1,1)))</f>
        <v/>
      </c>
      <c r="K15" s="46">
        <f>IF($A15="","",COUNTIFS(tblRaw[검사자],$A15,tblRaw[접수일자],"&gt;="&amp;DATE($B$2,K$5,1),tblRaw[접수일자],"&lt;"&amp;DATE($B$2,K$5+1,1)))</f>
        <v/>
      </c>
      <c r="L15" s="46">
        <f>IF($A15="","",COUNTIFS(tblRaw[검사자],$A15,tblRaw[접수일자],"&gt;="&amp;DATE($B$2,L$5,1),tblRaw[접수일자],"&lt;"&amp;DATE($B$2,L$5+1,1)))</f>
        <v/>
      </c>
      <c r="M15" s="46">
        <f>IF($A15="","",COUNTIFS(tblRaw[검사자],$A15,tblRaw[접수일자],"&gt;="&amp;DATE($B$2,M$5,1),tblRaw[접수일자],"&lt;"&amp;DATE($B$2,M$5+1,1)))</f>
        <v/>
      </c>
      <c r="N15" s="46">
        <f>IF($A15="","",SUM(B15:M15))</f>
        <v/>
      </c>
    </row>
    <row r="16">
      <c r="A16" s="46">
        <f>IF('01_검사자명단'!A12="","",'01_검사자명단'!A12)</f>
        <v/>
      </c>
      <c r="B16" s="46">
        <f>IF($A16="","",COUNTIFS(tblRaw[검사자],$A16,tblRaw[접수일자],"&gt;="&amp;DATE($B$2,B$5,1),tblRaw[접수일자],"&lt;"&amp;DATE($B$2,B$5+1,1)))</f>
        <v/>
      </c>
      <c r="C16" s="46">
        <f>IF($A16="","",COUNTIFS(tblRaw[검사자],$A16,tblRaw[접수일자],"&gt;="&amp;DATE($B$2,C$5,1),tblRaw[접수일자],"&lt;"&amp;DATE($B$2,C$5+1,1)))</f>
        <v/>
      </c>
      <c r="D16" s="46">
        <f>IF($A16="","",COUNTIFS(tblRaw[검사자],$A16,tblRaw[접수일자],"&gt;="&amp;DATE($B$2,D$5,1),tblRaw[접수일자],"&lt;"&amp;DATE($B$2,D$5+1,1)))</f>
        <v/>
      </c>
      <c r="E16" s="46">
        <f>IF($A16="","",COUNTIFS(tblRaw[검사자],$A16,tblRaw[접수일자],"&gt;="&amp;DATE($B$2,E$5,1),tblRaw[접수일자],"&lt;"&amp;DATE($B$2,E$5+1,1)))</f>
        <v/>
      </c>
      <c r="F16" s="46">
        <f>IF($A16="","",COUNTIFS(tblRaw[검사자],$A16,tblRaw[접수일자],"&gt;="&amp;DATE($B$2,F$5,1),tblRaw[접수일자],"&lt;"&amp;DATE($B$2,F$5+1,1)))</f>
        <v/>
      </c>
      <c r="G16" s="46">
        <f>IF($A16="","",COUNTIFS(tblRaw[검사자],$A16,tblRaw[접수일자],"&gt;="&amp;DATE($B$2,G$5,1),tblRaw[접수일자],"&lt;"&amp;DATE($B$2,G$5+1,1)))</f>
        <v/>
      </c>
      <c r="H16" s="46">
        <f>IF($A16="","",COUNTIFS(tblRaw[검사자],$A16,tblRaw[접수일자],"&gt;="&amp;DATE($B$2,H$5,1),tblRaw[접수일자],"&lt;"&amp;DATE($B$2,H$5+1,1)))</f>
        <v/>
      </c>
      <c r="I16" s="46">
        <f>IF($A16="","",COUNTIFS(tblRaw[검사자],$A16,tblRaw[접수일자],"&gt;="&amp;DATE($B$2,I$5,1),tblRaw[접수일자],"&lt;"&amp;DATE($B$2,I$5+1,1)))</f>
        <v/>
      </c>
      <c r="J16" s="46">
        <f>IF($A16="","",COUNTIFS(tblRaw[검사자],$A16,tblRaw[접수일자],"&gt;="&amp;DATE($B$2,J$5,1),tblRaw[접수일자],"&lt;"&amp;DATE($B$2,J$5+1,1)))</f>
        <v/>
      </c>
      <c r="K16" s="46">
        <f>IF($A16="","",COUNTIFS(tblRaw[검사자],$A16,tblRaw[접수일자],"&gt;="&amp;DATE($B$2,K$5,1),tblRaw[접수일자],"&lt;"&amp;DATE($B$2,K$5+1,1)))</f>
        <v/>
      </c>
      <c r="L16" s="46">
        <f>IF($A16="","",COUNTIFS(tblRaw[검사자],$A16,tblRaw[접수일자],"&gt;="&amp;DATE($B$2,L$5,1),tblRaw[접수일자],"&lt;"&amp;DATE($B$2,L$5+1,1)))</f>
        <v/>
      </c>
      <c r="M16" s="46">
        <f>IF($A16="","",COUNTIFS(tblRaw[검사자],$A16,tblRaw[접수일자],"&gt;="&amp;DATE($B$2,M$5,1),tblRaw[접수일자],"&lt;"&amp;DATE($B$2,M$5+1,1)))</f>
        <v/>
      </c>
      <c r="N16" s="46">
        <f>IF($A16="","",SUM(B16:M16))</f>
        <v/>
      </c>
    </row>
    <row r="17">
      <c r="A17" s="46">
        <f>IF('01_검사자명단'!A13="","",'01_검사자명단'!A13)</f>
        <v/>
      </c>
      <c r="B17" s="46">
        <f>IF($A17="","",COUNTIFS(tblRaw[검사자],$A17,tblRaw[접수일자],"&gt;="&amp;DATE($B$2,B$5,1),tblRaw[접수일자],"&lt;"&amp;DATE($B$2,B$5+1,1)))</f>
        <v/>
      </c>
      <c r="C17" s="46">
        <f>IF($A17="","",COUNTIFS(tblRaw[검사자],$A17,tblRaw[접수일자],"&gt;="&amp;DATE($B$2,C$5,1),tblRaw[접수일자],"&lt;"&amp;DATE($B$2,C$5+1,1)))</f>
        <v/>
      </c>
      <c r="D17" s="46">
        <f>IF($A17="","",COUNTIFS(tblRaw[검사자],$A17,tblRaw[접수일자],"&gt;="&amp;DATE($B$2,D$5,1),tblRaw[접수일자],"&lt;"&amp;DATE($B$2,D$5+1,1)))</f>
        <v/>
      </c>
      <c r="E17" s="46">
        <f>IF($A17="","",COUNTIFS(tblRaw[검사자],$A17,tblRaw[접수일자],"&gt;="&amp;DATE($B$2,E$5,1),tblRaw[접수일자],"&lt;"&amp;DATE($B$2,E$5+1,1)))</f>
        <v/>
      </c>
      <c r="F17" s="46">
        <f>IF($A17="","",COUNTIFS(tblRaw[검사자],$A17,tblRaw[접수일자],"&gt;="&amp;DATE($B$2,F$5,1),tblRaw[접수일자],"&lt;"&amp;DATE($B$2,F$5+1,1)))</f>
        <v/>
      </c>
      <c r="G17" s="46">
        <f>IF($A17="","",COUNTIFS(tblRaw[검사자],$A17,tblRaw[접수일자],"&gt;="&amp;DATE($B$2,G$5,1),tblRaw[접수일자],"&lt;"&amp;DATE($B$2,G$5+1,1)))</f>
        <v/>
      </c>
      <c r="H17" s="46">
        <f>IF($A17="","",COUNTIFS(tblRaw[검사자],$A17,tblRaw[접수일자],"&gt;="&amp;DATE($B$2,H$5,1),tblRaw[접수일자],"&lt;"&amp;DATE($B$2,H$5+1,1)))</f>
        <v/>
      </c>
      <c r="I17" s="46">
        <f>IF($A17="","",COUNTIFS(tblRaw[검사자],$A17,tblRaw[접수일자],"&gt;="&amp;DATE($B$2,I$5,1),tblRaw[접수일자],"&lt;"&amp;DATE($B$2,I$5+1,1)))</f>
        <v/>
      </c>
      <c r="J17" s="46">
        <f>IF($A17="","",COUNTIFS(tblRaw[검사자],$A17,tblRaw[접수일자],"&gt;="&amp;DATE($B$2,J$5,1),tblRaw[접수일자],"&lt;"&amp;DATE($B$2,J$5+1,1)))</f>
        <v/>
      </c>
      <c r="K17" s="46">
        <f>IF($A17="","",COUNTIFS(tblRaw[검사자],$A17,tblRaw[접수일자],"&gt;="&amp;DATE($B$2,K$5,1),tblRaw[접수일자],"&lt;"&amp;DATE($B$2,K$5+1,1)))</f>
        <v/>
      </c>
      <c r="L17" s="46">
        <f>IF($A17="","",COUNTIFS(tblRaw[검사자],$A17,tblRaw[접수일자],"&gt;="&amp;DATE($B$2,L$5,1),tblRaw[접수일자],"&lt;"&amp;DATE($B$2,L$5+1,1)))</f>
        <v/>
      </c>
      <c r="M17" s="46">
        <f>IF($A17="","",COUNTIFS(tblRaw[검사자],$A17,tblRaw[접수일자],"&gt;="&amp;DATE($B$2,M$5,1),tblRaw[접수일자],"&lt;"&amp;DATE($B$2,M$5+1,1)))</f>
        <v/>
      </c>
      <c r="N17" s="46">
        <f>IF($A17="","",SUM(B17:M17))</f>
        <v/>
      </c>
    </row>
    <row r="18">
      <c r="A18" s="46">
        <f>IF('01_검사자명단'!A14="","",'01_검사자명단'!A14)</f>
        <v/>
      </c>
      <c r="B18" s="46">
        <f>IF($A18="","",COUNTIFS(tblRaw[검사자],$A18,tblRaw[접수일자],"&gt;="&amp;DATE($B$2,B$5,1),tblRaw[접수일자],"&lt;"&amp;DATE($B$2,B$5+1,1)))</f>
        <v/>
      </c>
      <c r="C18" s="46">
        <f>IF($A18="","",COUNTIFS(tblRaw[검사자],$A18,tblRaw[접수일자],"&gt;="&amp;DATE($B$2,C$5,1),tblRaw[접수일자],"&lt;"&amp;DATE($B$2,C$5+1,1)))</f>
        <v/>
      </c>
      <c r="D18" s="46">
        <f>IF($A18="","",COUNTIFS(tblRaw[검사자],$A18,tblRaw[접수일자],"&gt;="&amp;DATE($B$2,D$5,1),tblRaw[접수일자],"&lt;"&amp;DATE($B$2,D$5+1,1)))</f>
        <v/>
      </c>
      <c r="E18" s="46">
        <f>IF($A18="","",COUNTIFS(tblRaw[검사자],$A18,tblRaw[접수일자],"&gt;="&amp;DATE($B$2,E$5,1),tblRaw[접수일자],"&lt;"&amp;DATE($B$2,E$5+1,1)))</f>
        <v/>
      </c>
      <c r="F18" s="46">
        <f>IF($A18="","",COUNTIFS(tblRaw[검사자],$A18,tblRaw[접수일자],"&gt;="&amp;DATE($B$2,F$5,1),tblRaw[접수일자],"&lt;"&amp;DATE($B$2,F$5+1,1)))</f>
        <v/>
      </c>
      <c r="G18" s="46">
        <f>IF($A18="","",COUNTIFS(tblRaw[검사자],$A18,tblRaw[접수일자],"&gt;="&amp;DATE($B$2,G$5,1),tblRaw[접수일자],"&lt;"&amp;DATE($B$2,G$5+1,1)))</f>
        <v/>
      </c>
      <c r="H18" s="46">
        <f>IF($A18="","",COUNTIFS(tblRaw[검사자],$A18,tblRaw[접수일자],"&gt;="&amp;DATE($B$2,H$5,1),tblRaw[접수일자],"&lt;"&amp;DATE($B$2,H$5+1,1)))</f>
        <v/>
      </c>
      <c r="I18" s="46">
        <f>IF($A18="","",COUNTIFS(tblRaw[검사자],$A18,tblRaw[접수일자],"&gt;="&amp;DATE($B$2,I$5,1),tblRaw[접수일자],"&lt;"&amp;DATE($B$2,I$5+1,1)))</f>
        <v/>
      </c>
      <c r="J18" s="46">
        <f>IF($A18="","",COUNTIFS(tblRaw[검사자],$A18,tblRaw[접수일자],"&gt;="&amp;DATE($B$2,J$5,1),tblRaw[접수일자],"&lt;"&amp;DATE($B$2,J$5+1,1)))</f>
        <v/>
      </c>
      <c r="K18" s="46">
        <f>IF($A18="","",COUNTIFS(tblRaw[검사자],$A18,tblRaw[접수일자],"&gt;="&amp;DATE($B$2,K$5,1),tblRaw[접수일자],"&lt;"&amp;DATE($B$2,K$5+1,1)))</f>
        <v/>
      </c>
      <c r="L18" s="46">
        <f>IF($A18="","",COUNTIFS(tblRaw[검사자],$A18,tblRaw[접수일자],"&gt;="&amp;DATE($B$2,L$5,1),tblRaw[접수일자],"&lt;"&amp;DATE($B$2,L$5+1,1)))</f>
        <v/>
      </c>
      <c r="M18" s="46">
        <f>IF($A18="","",COUNTIFS(tblRaw[검사자],$A18,tblRaw[접수일자],"&gt;="&amp;DATE($B$2,M$5,1),tblRaw[접수일자],"&lt;"&amp;DATE($B$2,M$5+1,1)))</f>
        <v/>
      </c>
      <c r="N18" s="46">
        <f>IF($A18="","",SUM(B18:M18))</f>
        <v/>
      </c>
    </row>
    <row r="19">
      <c r="A19" s="46">
        <f>IF('01_검사자명단'!A15="","",'01_검사자명단'!A15)</f>
        <v/>
      </c>
      <c r="B19" s="46">
        <f>IF($A19="","",COUNTIFS(tblRaw[검사자],$A19,tblRaw[접수일자],"&gt;="&amp;DATE($B$2,B$5,1),tblRaw[접수일자],"&lt;"&amp;DATE($B$2,B$5+1,1)))</f>
        <v/>
      </c>
      <c r="C19" s="46">
        <f>IF($A19="","",COUNTIFS(tblRaw[검사자],$A19,tblRaw[접수일자],"&gt;="&amp;DATE($B$2,C$5,1),tblRaw[접수일자],"&lt;"&amp;DATE($B$2,C$5+1,1)))</f>
        <v/>
      </c>
      <c r="D19" s="46">
        <f>IF($A19="","",COUNTIFS(tblRaw[검사자],$A19,tblRaw[접수일자],"&gt;="&amp;DATE($B$2,D$5,1),tblRaw[접수일자],"&lt;"&amp;DATE($B$2,D$5+1,1)))</f>
        <v/>
      </c>
      <c r="E19" s="46">
        <f>IF($A19="","",COUNTIFS(tblRaw[검사자],$A19,tblRaw[접수일자],"&gt;="&amp;DATE($B$2,E$5,1),tblRaw[접수일자],"&lt;"&amp;DATE($B$2,E$5+1,1)))</f>
        <v/>
      </c>
      <c r="F19" s="46">
        <f>IF($A19="","",COUNTIFS(tblRaw[검사자],$A19,tblRaw[접수일자],"&gt;="&amp;DATE($B$2,F$5,1),tblRaw[접수일자],"&lt;"&amp;DATE($B$2,F$5+1,1)))</f>
        <v/>
      </c>
      <c r="G19" s="46">
        <f>IF($A19="","",COUNTIFS(tblRaw[검사자],$A19,tblRaw[접수일자],"&gt;="&amp;DATE($B$2,G$5,1),tblRaw[접수일자],"&lt;"&amp;DATE($B$2,G$5+1,1)))</f>
        <v/>
      </c>
      <c r="H19" s="46">
        <f>IF($A19="","",COUNTIFS(tblRaw[검사자],$A19,tblRaw[접수일자],"&gt;="&amp;DATE($B$2,H$5,1),tblRaw[접수일자],"&lt;"&amp;DATE($B$2,H$5+1,1)))</f>
        <v/>
      </c>
      <c r="I19" s="46">
        <f>IF($A19="","",COUNTIFS(tblRaw[검사자],$A19,tblRaw[접수일자],"&gt;="&amp;DATE($B$2,I$5,1),tblRaw[접수일자],"&lt;"&amp;DATE($B$2,I$5+1,1)))</f>
        <v/>
      </c>
      <c r="J19" s="46">
        <f>IF($A19="","",COUNTIFS(tblRaw[검사자],$A19,tblRaw[접수일자],"&gt;="&amp;DATE($B$2,J$5,1),tblRaw[접수일자],"&lt;"&amp;DATE($B$2,J$5+1,1)))</f>
        <v/>
      </c>
      <c r="K19" s="46">
        <f>IF($A19="","",COUNTIFS(tblRaw[검사자],$A19,tblRaw[접수일자],"&gt;="&amp;DATE($B$2,K$5,1),tblRaw[접수일자],"&lt;"&amp;DATE($B$2,K$5+1,1)))</f>
        <v/>
      </c>
      <c r="L19" s="46">
        <f>IF($A19="","",COUNTIFS(tblRaw[검사자],$A19,tblRaw[접수일자],"&gt;="&amp;DATE($B$2,L$5,1),tblRaw[접수일자],"&lt;"&amp;DATE($B$2,L$5+1,1)))</f>
        <v/>
      </c>
      <c r="M19" s="46">
        <f>IF($A19="","",COUNTIFS(tblRaw[검사자],$A19,tblRaw[접수일자],"&gt;="&amp;DATE($B$2,M$5,1),tblRaw[접수일자],"&lt;"&amp;DATE($B$2,M$5+1,1)))</f>
        <v/>
      </c>
      <c r="N19" s="46">
        <f>IF($A19="","",SUM(B19:M19))</f>
        <v/>
      </c>
    </row>
    <row r="20">
      <c r="A20" s="46">
        <f>IF('01_검사자명단'!A16="","",'01_검사자명단'!A16)</f>
        <v/>
      </c>
      <c r="B20" s="46">
        <f>IF($A20="","",COUNTIFS(tblRaw[검사자],$A20,tblRaw[접수일자],"&gt;="&amp;DATE($B$2,B$5,1),tblRaw[접수일자],"&lt;"&amp;DATE($B$2,B$5+1,1)))</f>
        <v/>
      </c>
      <c r="C20" s="46">
        <f>IF($A20="","",COUNTIFS(tblRaw[검사자],$A20,tblRaw[접수일자],"&gt;="&amp;DATE($B$2,C$5,1),tblRaw[접수일자],"&lt;"&amp;DATE($B$2,C$5+1,1)))</f>
        <v/>
      </c>
      <c r="D20" s="46">
        <f>IF($A20="","",COUNTIFS(tblRaw[검사자],$A20,tblRaw[접수일자],"&gt;="&amp;DATE($B$2,D$5,1),tblRaw[접수일자],"&lt;"&amp;DATE($B$2,D$5+1,1)))</f>
        <v/>
      </c>
      <c r="E20" s="46">
        <f>IF($A20="","",COUNTIFS(tblRaw[검사자],$A20,tblRaw[접수일자],"&gt;="&amp;DATE($B$2,E$5,1),tblRaw[접수일자],"&lt;"&amp;DATE($B$2,E$5+1,1)))</f>
        <v/>
      </c>
      <c r="F20" s="46">
        <f>IF($A20="","",COUNTIFS(tblRaw[검사자],$A20,tblRaw[접수일자],"&gt;="&amp;DATE($B$2,F$5,1),tblRaw[접수일자],"&lt;"&amp;DATE($B$2,F$5+1,1)))</f>
        <v/>
      </c>
      <c r="G20" s="46">
        <f>IF($A20="","",COUNTIFS(tblRaw[검사자],$A20,tblRaw[접수일자],"&gt;="&amp;DATE($B$2,G$5,1),tblRaw[접수일자],"&lt;"&amp;DATE($B$2,G$5+1,1)))</f>
        <v/>
      </c>
      <c r="H20" s="46">
        <f>IF($A20="","",COUNTIFS(tblRaw[검사자],$A20,tblRaw[접수일자],"&gt;="&amp;DATE($B$2,H$5,1),tblRaw[접수일자],"&lt;"&amp;DATE($B$2,H$5+1,1)))</f>
        <v/>
      </c>
      <c r="I20" s="46">
        <f>IF($A20="","",COUNTIFS(tblRaw[검사자],$A20,tblRaw[접수일자],"&gt;="&amp;DATE($B$2,I$5,1),tblRaw[접수일자],"&lt;"&amp;DATE($B$2,I$5+1,1)))</f>
        <v/>
      </c>
      <c r="J20" s="46">
        <f>IF($A20="","",COUNTIFS(tblRaw[검사자],$A20,tblRaw[접수일자],"&gt;="&amp;DATE($B$2,J$5,1),tblRaw[접수일자],"&lt;"&amp;DATE($B$2,J$5+1,1)))</f>
        <v/>
      </c>
      <c r="K20" s="46">
        <f>IF($A20="","",COUNTIFS(tblRaw[검사자],$A20,tblRaw[접수일자],"&gt;="&amp;DATE($B$2,K$5,1),tblRaw[접수일자],"&lt;"&amp;DATE($B$2,K$5+1,1)))</f>
        <v/>
      </c>
      <c r="L20" s="46">
        <f>IF($A20="","",COUNTIFS(tblRaw[검사자],$A20,tblRaw[접수일자],"&gt;="&amp;DATE($B$2,L$5,1),tblRaw[접수일자],"&lt;"&amp;DATE($B$2,L$5+1,1)))</f>
        <v/>
      </c>
      <c r="M20" s="46">
        <f>IF($A20="","",COUNTIFS(tblRaw[검사자],$A20,tblRaw[접수일자],"&gt;="&amp;DATE($B$2,M$5,1),tblRaw[접수일자],"&lt;"&amp;DATE($B$2,M$5+1,1)))</f>
        <v/>
      </c>
      <c r="N20" s="46">
        <f>IF($A20="","",SUM(B20:M20))</f>
        <v/>
      </c>
    </row>
    <row r="21">
      <c r="A21" s="46">
        <f>IF('01_검사자명단'!A17="","",'01_검사자명단'!A17)</f>
        <v/>
      </c>
      <c r="B21" s="46">
        <f>IF($A21="","",COUNTIFS(tblRaw[검사자],$A21,tblRaw[접수일자],"&gt;="&amp;DATE($B$2,B$5,1),tblRaw[접수일자],"&lt;"&amp;DATE($B$2,B$5+1,1)))</f>
        <v/>
      </c>
      <c r="C21" s="46">
        <f>IF($A21="","",COUNTIFS(tblRaw[검사자],$A21,tblRaw[접수일자],"&gt;="&amp;DATE($B$2,C$5,1),tblRaw[접수일자],"&lt;"&amp;DATE($B$2,C$5+1,1)))</f>
        <v/>
      </c>
      <c r="D21" s="46">
        <f>IF($A21="","",COUNTIFS(tblRaw[검사자],$A21,tblRaw[접수일자],"&gt;="&amp;DATE($B$2,D$5,1),tblRaw[접수일자],"&lt;"&amp;DATE($B$2,D$5+1,1)))</f>
        <v/>
      </c>
      <c r="E21" s="46">
        <f>IF($A21="","",COUNTIFS(tblRaw[검사자],$A21,tblRaw[접수일자],"&gt;="&amp;DATE($B$2,E$5,1),tblRaw[접수일자],"&lt;"&amp;DATE($B$2,E$5+1,1)))</f>
        <v/>
      </c>
      <c r="F21" s="46">
        <f>IF($A21="","",COUNTIFS(tblRaw[검사자],$A21,tblRaw[접수일자],"&gt;="&amp;DATE($B$2,F$5,1),tblRaw[접수일자],"&lt;"&amp;DATE($B$2,F$5+1,1)))</f>
        <v/>
      </c>
      <c r="G21" s="46">
        <f>IF($A21="","",COUNTIFS(tblRaw[검사자],$A21,tblRaw[접수일자],"&gt;="&amp;DATE($B$2,G$5,1),tblRaw[접수일자],"&lt;"&amp;DATE($B$2,G$5+1,1)))</f>
        <v/>
      </c>
      <c r="H21" s="46">
        <f>IF($A21="","",COUNTIFS(tblRaw[검사자],$A21,tblRaw[접수일자],"&gt;="&amp;DATE($B$2,H$5,1),tblRaw[접수일자],"&lt;"&amp;DATE($B$2,H$5+1,1)))</f>
        <v/>
      </c>
      <c r="I21" s="46">
        <f>IF($A21="","",COUNTIFS(tblRaw[검사자],$A21,tblRaw[접수일자],"&gt;="&amp;DATE($B$2,I$5,1),tblRaw[접수일자],"&lt;"&amp;DATE($B$2,I$5+1,1)))</f>
        <v/>
      </c>
      <c r="J21" s="46">
        <f>IF($A21="","",COUNTIFS(tblRaw[검사자],$A21,tblRaw[접수일자],"&gt;="&amp;DATE($B$2,J$5,1),tblRaw[접수일자],"&lt;"&amp;DATE($B$2,J$5+1,1)))</f>
        <v/>
      </c>
      <c r="K21" s="46">
        <f>IF($A21="","",COUNTIFS(tblRaw[검사자],$A21,tblRaw[접수일자],"&gt;="&amp;DATE($B$2,K$5,1),tblRaw[접수일자],"&lt;"&amp;DATE($B$2,K$5+1,1)))</f>
        <v/>
      </c>
      <c r="L21" s="46">
        <f>IF($A21="","",COUNTIFS(tblRaw[검사자],$A21,tblRaw[접수일자],"&gt;="&amp;DATE($B$2,L$5,1),tblRaw[접수일자],"&lt;"&amp;DATE($B$2,L$5+1,1)))</f>
        <v/>
      </c>
      <c r="M21" s="46">
        <f>IF($A21="","",COUNTIFS(tblRaw[검사자],$A21,tblRaw[접수일자],"&gt;="&amp;DATE($B$2,M$5,1),tblRaw[접수일자],"&lt;"&amp;DATE($B$2,M$5+1,1)))</f>
        <v/>
      </c>
      <c r="N21" s="46">
        <f>IF($A21="","",SUM(B21:M21))</f>
        <v/>
      </c>
    </row>
    <row r="22">
      <c r="A22" s="46">
        <f>IF('01_검사자명단'!A18="","",'01_검사자명단'!A18)</f>
        <v/>
      </c>
      <c r="B22" s="46">
        <f>IF($A22="","",COUNTIFS(tblRaw[검사자],$A22,tblRaw[접수일자],"&gt;="&amp;DATE($B$2,B$5,1),tblRaw[접수일자],"&lt;"&amp;DATE($B$2,B$5+1,1)))</f>
        <v/>
      </c>
      <c r="C22" s="46">
        <f>IF($A22="","",COUNTIFS(tblRaw[검사자],$A22,tblRaw[접수일자],"&gt;="&amp;DATE($B$2,C$5,1),tblRaw[접수일자],"&lt;"&amp;DATE($B$2,C$5+1,1)))</f>
        <v/>
      </c>
      <c r="D22" s="46">
        <f>IF($A22="","",COUNTIFS(tblRaw[검사자],$A22,tblRaw[접수일자],"&gt;="&amp;DATE($B$2,D$5,1),tblRaw[접수일자],"&lt;"&amp;DATE($B$2,D$5+1,1)))</f>
        <v/>
      </c>
      <c r="E22" s="46">
        <f>IF($A22="","",COUNTIFS(tblRaw[검사자],$A22,tblRaw[접수일자],"&gt;="&amp;DATE($B$2,E$5,1),tblRaw[접수일자],"&lt;"&amp;DATE($B$2,E$5+1,1)))</f>
        <v/>
      </c>
      <c r="F22" s="46">
        <f>IF($A22="","",COUNTIFS(tblRaw[검사자],$A22,tblRaw[접수일자],"&gt;="&amp;DATE($B$2,F$5,1),tblRaw[접수일자],"&lt;"&amp;DATE($B$2,F$5+1,1)))</f>
        <v/>
      </c>
      <c r="G22" s="46">
        <f>IF($A22="","",COUNTIFS(tblRaw[검사자],$A22,tblRaw[접수일자],"&gt;="&amp;DATE($B$2,G$5,1),tblRaw[접수일자],"&lt;"&amp;DATE($B$2,G$5+1,1)))</f>
        <v/>
      </c>
      <c r="H22" s="46">
        <f>IF($A22="","",COUNTIFS(tblRaw[검사자],$A22,tblRaw[접수일자],"&gt;="&amp;DATE($B$2,H$5,1),tblRaw[접수일자],"&lt;"&amp;DATE($B$2,H$5+1,1)))</f>
        <v/>
      </c>
      <c r="I22" s="46">
        <f>IF($A22="","",COUNTIFS(tblRaw[검사자],$A22,tblRaw[접수일자],"&gt;="&amp;DATE($B$2,I$5,1),tblRaw[접수일자],"&lt;"&amp;DATE($B$2,I$5+1,1)))</f>
        <v/>
      </c>
      <c r="J22" s="46">
        <f>IF($A22="","",COUNTIFS(tblRaw[검사자],$A22,tblRaw[접수일자],"&gt;="&amp;DATE($B$2,J$5,1),tblRaw[접수일자],"&lt;"&amp;DATE($B$2,J$5+1,1)))</f>
        <v/>
      </c>
      <c r="K22" s="46">
        <f>IF($A22="","",COUNTIFS(tblRaw[검사자],$A22,tblRaw[접수일자],"&gt;="&amp;DATE($B$2,K$5,1),tblRaw[접수일자],"&lt;"&amp;DATE($B$2,K$5+1,1)))</f>
        <v/>
      </c>
      <c r="L22" s="46">
        <f>IF($A22="","",COUNTIFS(tblRaw[검사자],$A22,tblRaw[접수일자],"&gt;="&amp;DATE($B$2,L$5,1),tblRaw[접수일자],"&lt;"&amp;DATE($B$2,L$5+1,1)))</f>
        <v/>
      </c>
      <c r="M22" s="46">
        <f>IF($A22="","",COUNTIFS(tblRaw[검사자],$A22,tblRaw[접수일자],"&gt;="&amp;DATE($B$2,M$5,1),tblRaw[접수일자],"&lt;"&amp;DATE($B$2,M$5+1,1)))</f>
        <v/>
      </c>
      <c r="N22" s="46">
        <f>IF($A22="","",SUM(B22:M22))</f>
        <v/>
      </c>
    </row>
    <row r="23">
      <c r="A23" s="46">
        <f>IF('01_검사자명단'!A19="","",'01_검사자명단'!A19)</f>
        <v/>
      </c>
      <c r="B23" s="46">
        <f>IF($A23="","",COUNTIFS(tblRaw[검사자],$A23,tblRaw[접수일자],"&gt;="&amp;DATE($B$2,B$5,1),tblRaw[접수일자],"&lt;"&amp;DATE($B$2,B$5+1,1)))</f>
        <v/>
      </c>
      <c r="C23" s="46">
        <f>IF($A23="","",COUNTIFS(tblRaw[검사자],$A23,tblRaw[접수일자],"&gt;="&amp;DATE($B$2,C$5,1),tblRaw[접수일자],"&lt;"&amp;DATE($B$2,C$5+1,1)))</f>
        <v/>
      </c>
      <c r="D23" s="46">
        <f>IF($A23="","",COUNTIFS(tblRaw[검사자],$A23,tblRaw[접수일자],"&gt;="&amp;DATE($B$2,D$5,1),tblRaw[접수일자],"&lt;"&amp;DATE($B$2,D$5+1,1)))</f>
        <v/>
      </c>
      <c r="E23" s="46">
        <f>IF($A23="","",COUNTIFS(tblRaw[검사자],$A23,tblRaw[접수일자],"&gt;="&amp;DATE($B$2,E$5,1),tblRaw[접수일자],"&lt;"&amp;DATE($B$2,E$5+1,1)))</f>
        <v/>
      </c>
      <c r="F23" s="46">
        <f>IF($A23="","",COUNTIFS(tblRaw[검사자],$A23,tblRaw[접수일자],"&gt;="&amp;DATE($B$2,F$5,1),tblRaw[접수일자],"&lt;"&amp;DATE($B$2,F$5+1,1)))</f>
        <v/>
      </c>
      <c r="G23" s="46">
        <f>IF($A23="","",COUNTIFS(tblRaw[검사자],$A23,tblRaw[접수일자],"&gt;="&amp;DATE($B$2,G$5,1),tblRaw[접수일자],"&lt;"&amp;DATE($B$2,G$5+1,1)))</f>
        <v/>
      </c>
      <c r="H23" s="46">
        <f>IF($A23="","",COUNTIFS(tblRaw[검사자],$A23,tblRaw[접수일자],"&gt;="&amp;DATE($B$2,H$5,1),tblRaw[접수일자],"&lt;"&amp;DATE($B$2,H$5+1,1)))</f>
        <v/>
      </c>
      <c r="I23" s="46">
        <f>IF($A23="","",COUNTIFS(tblRaw[검사자],$A23,tblRaw[접수일자],"&gt;="&amp;DATE($B$2,I$5,1),tblRaw[접수일자],"&lt;"&amp;DATE($B$2,I$5+1,1)))</f>
        <v/>
      </c>
      <c r="J23" s="46">
        <f>IF($A23="","",COUNTIFS(tblRaw[검사자],$A23,tblRaw[접수일자],"&gt;="&amp;DATE($B$2,J$5,1),tblRaw[접수일자],"&lt;"&amp;DATE($B$2,J$5+1,1)))</f>
        <v/>
      </c>
      <c r="K23" s="46">
        <f>IF($A23="","",COUNTIFS(tblRaw[검사자],$A23,tblRaw[접수일자],"&gt;="&amp;DATE($B$2,K$5,1),tblRaw[접수일자],"&lt;"&amp;DATE($B$2,K$5+1,1)))</f>
        <v/>
      </c>
      <c r="L23" s="46">
        <f>IF($A23="","",COUNTIFS(tblRaw[검사자],$A23,tblRaw[접수일자],"&gt;="&amp;DATE($B$2,L$5,1),tblRaw[접수일자],"&lt;"&amp;DATE($B$2,L$5+1,1)))</f>
        <v/>
      </c>
      <c r="M23" s="46">
        <f>IF($A23="","",COUNTIFS(tblRaw[검사자],$A23,tblRaw[접수일자],"&gt;="&amp;DATE($B$2,M$5,1),tblRaw[접수일자],"&lt;"&amp;DATE($B$2,M$5+1,1)))</f>
        <v/>
      </c>
      <c r="N23" s="46">
        <f>IF($A23="","",SUM(B23:M23))</f>
        <v/>
      </c>
    </row>
    <row r="24">
      <c r="A24" s="46">
        <f>IF('01_검사자명단'!A20="","",'01_검사자명단'!A20)</f>
        <v/>
      </c>
      <c r="B24" s="46">
        <f>IF($A24="","",COUNTIFS(tblRaw[검사자],$A24,tblRaw[접수일자],"&gt;="&amp;DATE($B$2,B$5,1),tblRaw[접수일자],"&lt;"&amp;DATE($B$2,B$5+1,1)))</f>
        <v/>
      </c>
      <c r="C24" s="46">
        <f>IF($A24="","",COUNTIFS(tblRaw[검사자],$A24,tblRaw[접수일자],"&gt;="&amp;DATE($B$2,C$5,1),tblRaw[접수일자],"&lt;"&amp;DATE($B$2,C$5+1,1)))</f>
        <v/>
      </c>
      <c r="D24" s="46">
        <f>IF($A24="","",COUNTIFS(tblRaw[검사자],$A24,tblRaw[접수일자],"&gt;="&amp;DATE($B$2,D$5,1),tblRaw[접수일자],"&lt;"&amp;DATE($B$2,D$5+1,1)))</f>
        <v/>
      </c>
      <c r="E24" s="46">
        <f>IF($A24="","",COUNTIFS(tblRaw[검사자],$A24,tblRaw[접수일자],"&gt;="&amp;DATE($B$2,E$5,1),tblRaw[접수일자],"&lt;"&amp;DATE($B$2,E$5+1,1)))</f>
        <v/>
      </c>
      <c r="F24" s="46">
        <f>IF($A24="","",COUNTIFS(tblRaw[검사자],$A24,tblRaw[접수일자],"&gt;="&amp;DATE($B$2,F$5,1),tblRaw[접수일자],"&lt;"&amp;DATE($B$2,F$5+1,1)))</f>
        <v/>
      </c>
      <c r="G24" s="46">
        <f>IF($A24="","",COUNTIFS(tblRaw[검사자],$A24,tblRaw[접수일자],"&gt;="&amp;DATE($B$2,G$5,1),tblRaw[접수일자],"&lt;"&amp;DATE($B$2,G$5+1,1)))</f>
        <v/>
      </c>
      <c r="H24" s="46">
        <f>IF($A24="","",COUNTIFS(tblRaw[검사자],$A24,tblRaw[접수일자],"&gt;="&amp;DATE($B$2,H$5,1),tblRaw[접수일자],"&lt;"&amp;DATE($B$2,H$5+1,1)))</f>
        <v/>
      </c>
      <c r="I24" s="46">
        <f>IF($A24="","",COUNTIFS(tblRaw[검사자],$A24,tblRaw[접수일자],"&gt;="&amp;DATE($B$2,I$5,1),tblRaw[접수일자],"&lt;"&amp;DATE($B$2,I$5+1,1)))</f>
        <v/>
      </c>
      <c r="J24" s="46">
        <f>IF($A24="","",COUNTIFS(tblRaw[검사자],$A24,tblRaw[접수일자],"&gt;="&amp;DATE($B$2,J$5,1),tblRaw[접수일자],"&lt;"&amp;DATE($B$2,J$5+1,1)))</f>
        <v/>
      </c>
      <c r="K24" s="46">
        <f>IF($A24="","",COUNTIFS(tblRaw[검사자],$A24,tblRaw[접수일자],"&gt;="&amp;DATE($B$2,K$5,1),tblRaw[접수일자],"&lt;"&amp;DATE($B$2,K$5+1,1)))</f>
        <v/>
      </c>
      <c r="L24" s="46">
        <f>IF($A24="","",COUNTIFS(tblRaw[검사자],$A24,tblRaw[접수일자],"&gt;="&amp;DATE($B$2,L$5,1),tblRaw[접수일자],"&lt;"&amp;DATE($B$2,L$5+1,1)))</f>
        <v/>
      </c>
      <c r="M24" s="46">
        <f>IF($A24="","",COUNTIFS(tblRaw[검사자],$A24,tblRaw[접수일자],"&gt;="&amp;DATE($B$2,M$5,1),tblRaw[접수일자],"&lt;"&amp;DATE($B$2,M$5+1,1)))</f>
        <v/>
      </c>
      <c r="N24" s="46">
        <f>IF($A24="","",SUM(B24:M24))</f>
        <v/>
      </c>
    </row>
    <row r="25">
      <c r="A25" s="54" t="inlineStr">
        <is>
          <t>전체(정기+사용전, 메모 제외)</t>
        </is>
      </c>
      <c r="B25" s="54">
        <f>COUNTIFS(tblRaw[구분],"&lt;&gt;메모",tblRaw[접수일자],"&gt;="&amp;DATE($B$2,B$5,1),tblRaw[접수일자],"&lt;"&amp;DATE($B$2,B$5+1,1))</f>
        <v/>
      </c>
      <c r="C25" s="54">
        <f>COUNTIFS(tblRaw[구분],"&lt;&gt;메모",tblRaw[접수일자],"&gt;="&amp;DATE($B$2,C$5,1),tblRaw[접수일자],"&lt;"&amp;DATE($B$2,C$5+1,1))</f>
        <v/>
      </c>
      <c r="D25" s="54">
        <f>COUNTIFS(tblRaw[구분],"&lt;&gt;메모",tblRaw[접수일자],"&gt;="&amp;DATE($B$2,D$5,1),tblRaw[접수일자],"&lt;"&amp;DATE($B$2,D$5+1,1))</f>
        <v/>
      </c>
      <c r="E25" s="54">
        <f>COUNTIFS(tblRaw[구분],"&lt;&gt;메모",tblRaw[접수일자],"&gt;="&amp;DATE($B$2,E$5,1),tblRaw[접수일자],"&lt;"&amp;DATE($B$2,E$5+1,1))</f>
        <v/>
      </c>
      <c r="F25" s="54">
        <f>COUNTIFS(tblRaw[구분],"&lt;&gt;메모",tblRaw[접수일자],"&gt;="&amp;DATE($B$2,F$5,1),tblRaw[접수일자],"&lt;"&amp;DATE($B$2,F$5+1,1))</f>
        <v/>
      </c>
      <c r="G25" s="54">
        <f>COUNTIFS(tblRaw[구분],"&lt;&gt;메모",tblRaw[접수일자],"&gt;="&amp;DATE($B$2,G$5,1),tblRaw[접수일자],"&lt;"&amp;DATE($B$2,G$5+1,1))</f>
        <v/>
      </c>
      <c r="H25" s="54">
        <f>COUNTIFS(tblRaw[구분],"&lt;&gt;메모",tblRaw[접수일자],"&gt;="&amp;DATE($B$2,H$5,1),tblRaw[접수일자],"&lt;"&amp;DATE($B$2,H$5+1,1))</f>
        <v/>
      </c>
      <c r="I25" s="54">
        <f>COUNTIFS(tblRaw[구분],"&lt;&gt;메모",tblRaw[접수일자],"&gt;="&amp;DATE($B$2,I$5,1),tblRaw[접수일자],"&lt;"&amp;DATE($B$2,I$5+1,1))</f>
        <v/>
      </c>
      <c r="J25" s="54">
        <f>COUNTIFS(tblRaw[구분],"&lt;&gt;메모",tblRaw[접수일자],"&gt;="&amp;DATE($B$2,J$5,1),tblRaw[접수일자],"&lt;"&amp;DATE($B$2,J$5+1,1))</f>
        <v/>
      </c>
      <c r="K25" s="54">
        <f>COUNTIFS(tblRaw[구분],"&lt;&gt;메모",tblRaw[접수일자],"&gt;="&amp;DATE($B$2,K$5,1),tblRaw[접수일자],"&lt;"&amp;DATE($B$2,K$5+1,1))</f>
        <v/>
      </c>
      <c r="L25" s="54">
        <f>COUNTIFS(tblRaw[구분],"&lt;&gt;메모",tblRaw[접수일자],"&gt;="&amp;DATE($B$2,L$5,1),tblRaw[접수일자],"&lt;"&amp;DATE($B$2,L$5+1,1))</f>
        <v/>
      </c>
      <c r="M25" s="54">
        <f>COUNTIFS(tblRaw[구분],"&lt;&gt;메모",tblRaw[접수일자],"&gt;="&amp;DATE($B$2,M$5,1),tblRaw[접수일자],"&lt;"&amp;DATE($B$2,M$5+1,1))</f>
        <v/>
      </c>
      <c r="N25" s="54">
        <f>SUM(B25:M25)</f>
        <v/>
      </c>
    </row>
    <row r="26">
      <c r="A26" s="46" t="inlineStr">
        <is>
          <t xml:space="preserve">  정기검사</t>
        </is>
      </c>
      <c r="B26" s="46">
        <f>COUNTIFS(tblRaw[구분],"정기검사",tblRaw[접수일자],"&gt;="&amp;DATE($B$2,B$5,1),tblRaw[접수일자],"&lt;"&amp;DATE($B$2,B$5+1,1))</f>
        <v/>
      </c>
      <c r="C26" s="46">
        <f>COUNTIFS(tblRaw[구분],"정기검사",tblRaw[접수일자],"&gt;="&amp;DATE($B$2,C$5,1),tblRaw[접수일자],"&lt;"&amp;DATE($B$2,C$5+1,1))</f>
        <v/>
      </c>
      <c r="D26" s="46">
        <f>COUNTIFS(tblRaw[구분],"정기검사",tblRaw[접수일자],"&gt;="&amp;DATE($B$2,D$5,1),tblRaw[접수일자],"&lt;"&amp;DATE($B$2,D$5+1,1))</f>
        <v/>
      </c>
      <c r="E26" s="46">
        <f>COUNTIFS(tblRaw[구분],"정기검사",tblRaw[접수일자],"&gt;="&amp;DATE($B$2,E$5,1),tblRaw[접수일자],"&lt;"&amp;DATE($B$2,E$5+1,1))</f>
        <v/>
      </c>
      <c r="F26" s="46">
        <f>COUNTIFS(tblRaw[구분],"정기검사",tblRaw[접수일자],"&gt;="&amp;DATE($B$2,F$5,1),tblRaw[접수일자],"&lt;"&amp;DATE($B$2,F$5+1,1))</f>
        <v/>
      </c>
      <c r="G26" s="46">
        <f>COUNTIFS(tblRaw[구분],"정기검사",tblRaw[접수일자],"&gt;="&amp;DATE($B$2,G$5,1),tblRaw[접수일자],"&lt;"&amp;DATE($B$2,G$5+1,1))</f>
        <v/>
      </c>
      <c r="H26" s="46">
        <f>COUNTIFS(tblRaw[구분],"정기검사",tblRaw[접수일자],"&gt;="&amp;DATE($B$2,H$5,1),tblRaw[접수일자],"&lt;"&amp;DATE($B$2,H$5+1,1))</f>
        <v/>
      </c>
      <c r="I26" s="46">
        <f>COUNTIFS(tblRaw[구분],"정기검사",tblRaw[접수일자],"&gt;="&amp;DATE($B$2,I$5,1),tblRaw[접수일자],"&lt;"&amp;DATE($B$2,I$5+1,1))</f>
        <v/>
      </c>
      <c r="J26" s="46">
        <f>COUNTIFS(tblRaw[구분],"정기검사",tblRaw[접수일자],"&gt;="&amp;DATE($B$2,J$5,1),tblRaw[접수일자],"&lt;"&amp;DATE($B$2,J$5+1,1))</f>
        <v/>
      </c>
      <c r="K26" s="46">
        <f>COUNTIFS(tblRaw[구분],"정기검사",tblRaw[접수일자],"&gt;="&amp;DATE($B$2,K$5,1),tblRaw[접수일자],"&lt;"&amp;DATE($B$2,K$5+1,1))</f>
        <v/>
      </c>
      <c r="L26" s="46">
        <f>COUNTIFS(tblRaw[구분],"정기검사",tblRaw[접수일자],"&gt;="&amp;DATE($B$2,L$5,1),tblRaw[접수일자],"&lt;"&amp;DATE($B$2,L$5+1,1))</f>
        <v/>
      </c>
      <c r="M26" s="46">
        <f>COUNTIFS(tblRaw[구분],"정기검사",tblRaw[접수일자],"&gt;="&amp;DATE($B$2,M$5,1),tblRaw[접수일자],"&lt;"&amp;DATE($B$2,M$5+1,1))</f>
        <v/>
      </c>
      <c r="N26" s="46">
        <f>SUM(B26:M26)</f>
        <v/>
      </c>
    </row>
    <row r="27">
      <c r="A27" s="46" t="inlineStr">
        <is>
          <t xml:space="preserve">  사용전검사</t>
        </is>
      </c>
      <c r="B27" s="46">
        <f>COUNTIFS(tblRaw[구분],"사용전검사",tblRaw[접수일자],"&gt;="&amp;DATE($B$2,B$5,1),tblRaw[접수일자],"&lt;"&amp;DATE($B$2,B$5+1,1))</f>
        <v/>
      </c>
      <c r="C27" s="46">
        <f>COUNTIFS(tblRaw[구분],"사용전검사",tblRaw[접수일자],"&gt;="&amp;DATE($B$2,C$5,1),tblRaw[접수일자],"&lt;"&amp;DATE($B$2,C$5+1,1))</f>
        <v/>
      </c>
      <c r="D27" s="46">
        <f>COUNTIFS(tblRaw[구분],"사용전검사",tblRaw[접수일자],"&gt;="&amp;DATE($B$2,D$5,1),tblRaw[접수일자],"&lt;"&amp;DATE($B$2,D$5+1,1))</f>
        <v/>
      </c>
      <c r="E27" s="46">
        <f>COUNTIFS(tblRaw[구분],"사용전검사",tblRaw[접수일자],"&gt;="&amp;DATE($B$2,E$5,1),tblRaw[접수일자],"&lt;"&amp;DATE($B$2,E$5+1,1))</f>
        <v/>
      </c>
      <c r="F27" s="46">
        <f>COUNTIFS(tblRaw[구분],"사용전검사",tblRaw[접수일자],"&gt;="&amp;DATE($B$2,F$5,1),tblRaw[접수일자],"&lt;"&amp;DATE($B$2,F$5+1,1))</f>
        <v/>
      </c>
      <c r="G27" s="46">
        <f>COUNTIFS(tblRaw[구분],"사용전검사",tblRaw[접수일자],"&gt;="&amp;DATE($B$2,G$5,1),tblRaw[접수일자],"&lt;"&amp;DATE($B$2,G$5+1,1))</f>
        <v/>
      </c>
      <c r="H27" s="46">
        <f>COUNTIFS(tblRaw[구분],"사용전검사",tblRaw[접수일자],"&gt;="&amp;DATE($B$2,H$5,1),tblRaw[접수일자],"&lt;"&amp;DATE($B$2,H$5+1,1))</f>
        <v/>
      </c>
      <c r="I27" s="46">
        <f>COUNTIFS(tblRaw[구분],"사용전검사",tblRaw[접수일자],"&gt;="&amp;DATE($B$2,I$5,1),tblRaw[접수일자],"&lt;"&amp;DATE($B$2,I$5+1,1))</f>
        <v/>
      </c>
      <c r="J27" s="46">
        <f>COUNTIFS(tblRaw[구분],"사용전검사",tblRaw[접수일자],"&gt;="&amp;DATE($B$2,J$5,1),tblRaw[접수일자],"&lt;"&amp;DATE($B$2,J$5+1,1))</f>
        <v/>
      </c>
      <c r="K27" s="46">
        <f>COUNTIFS(tblRaw[구분],"사용전검사",tblRaw[접수일자],"&gt;="&amp;DATE($B$2,K$5,1),tblRaw[접수일자],"&lt;"&amp;DATE($B$2,K$5+1,1))</f>
        <v/>
      </c>
      <c r="L27" s="46">
        <f>COUNTIFS(tblRaw[구분],"사용전검사",tblRaw[접수일자],"&gt;="&amp;DATE($B$2,L$5,1),tblRaw[접수일자],"&lt;"&amp;DATE($B$2,L$5+1,1))</f>
        <v/>
      </c>
      <c r="M27" s="46">
        <f>COUNTIFS(tblRaw[구분],"사용전검사",tblRaw[접수일자],"&gt;="&amp;DATE($B$2,M$5,1),tblRaw[접수일자],"&lt;"&amp;DATE($B$2,M$5+1,1))</f>
        <v/>
      </c>
      <c r="N27" s="46">
        <f>SUM(B27:M27)</f>
        <v/>
      </c>
    </row>
    <row r="28">
      <c r="A28" s="46" t="inlineStr">
        <is>
          <t>검사자 미기재/확인 필요(메모 제외)</t>
        </is>
      </c>
      <c r="B28" s="46">
        <f>B25-SUM(B6:B24)</f>
        <v/>
      </c>
      <c r="C28" s="46">
        <f>C25-SUM(C6:C24)</f>
        <v/>
      </c>
      <c r="D28" s="46">
        <f>D25-SUM(D6:D24)</f>
        <v/>
      </c>
      <c r="E28" s="46">
        <f>E25-SUM(E6:E24)</f>
        <v/>
      </c>
      <c r="F28" s="46">
        <f>F25-SUM(F6:F24)</f>
        <v/>
      </c>
      <c r="G28" s="46">
        <f>G25-SUM(G6:G24)</f>
        <v/>
      </c>
      <c r="H28" s="46">
        <f>H25-SUM(H6:H24)</f>
        <v/>
      </c>
      <c r="I28" s="46">
        <f>I25-SUM(I6:I24)</f>
        <v/>
      </c>
      <c r="J28" s="46">
        <f>J25-SUM(J6:J24)</f>
        <v/>
      </c>
      <c r="K28" s="46">
        <f>K25-SUM(K6:K24)</f>
        <v/>
      </c>
      <c r="L28" s="46">
        <f>L25-SUM(L6:L24)</f>
        <v/>
      </c>
      <c r="M28" s="46">
        <f>M25-SUM(M6:M24)</f>
        <v/>
      </c>
      <c r="N28" s="46">
        <f>SUM(B28:M28)</f>
        <v/>
      </c>
    </row>
    <row r="29"/>
    <row r="30"/>
    <row r="31">
      <c r="A31" s="54" t="inlineStr">
        <is>
          <t>[정기검사 수수료 합계(원)]</t>
        </is>
      </c>
    </row>
    <row r="32">
      <c r="A32" s="57" t="inlineStr">
        <is>
          <t>검사자</t>
        </is>
      </c>
      <c r="B32" s="257" t="n">
        <v>1</v>
      </c>
      <c r="C32" s="257" t="n">
        <v>2</v>
      </c>
      <c r="D32" s="257" t="n">
        <v>3</v>
      </c>
      <c r="E32" s="257" t="n">
        <v>4</v>
      </c>
      <c r="F32" s="257" t="n">
        <v>5</v>
      </c>
      <c r="G32" s="257" t="n">
        <v>6</v>
      </c>
      <c r="H32" s="257" t="n">
        <v>7</v>
      </c>
      <c r="I32" s="257" t="n">
        <v>8</v>
      </c>
      <c r="J32" s="257" t="n">
        <v>9</v>
      </c>
      <c r="K32" s="257" t="n">
        <v>10</v>
      </c>
      <c r="L32" s="257" t="n">
        <v>11</v>
      </c>
      <c r="M32" s="257" t="n">
        <v>12</v>
      </c>
      <c r="N32" s="57" t="inlineStr">
        <is>
          <t>합계</t>
        </is>
      </c>
    </row>
    <row r="33">
      <c r="A33" s="46">
        <f>A6</f>
        <v/>
      </c>
      <c r="B33" s="51">
        <f>IF($A33="","",SUMIFS(tblRaw[수수료],tblRaw[검사자],$A33,tblRaw[접수일자],"&gt;="&amp;DATE($B$2,B$32,1),tblRaw[접수일자],"&lt;"&amp;DATE($B$2,B$32+1,1)))</f>
        <v/>
      </c>
      <c r="C33" s="51">
        <f>IF($A33="","",SUMIFS(tblRaw[수수료],tblRaw[검사자],$A33,tblRaw[접수일자],"&gt;="&amp;DATE($B$2,C$32,1),tblRaw[접수일자],"&lt;"&amp;DATE($B$2,C$32+1,1)))</f>
        <v/>
      </c>
      <c r="D33" s="51">
        <f>IF($A33="","",SUMIFS(tblRaw[수수료],tblRaw[검사자],$A33,tblRaw[접수일자],"&gt;="&amp;DATE($B$2,D$32,1),tblRaw[접수일자],"&lt;"&amp;DATE($B$2,D$32+1,1)))</f>
        <v/>
      </c>
      <c r="E33" s="51">
        <f>IF($A33="","",SUMIFS(tblRaw[수수료],tblRaw[검사자],$A33,tblRaw[접수일자],"&gt;="&amp;DATE($B$2,E$32,1),tblRaw[접수일자],"&lt;"&amp;DATE($B$2,E$32+1,1)))</f>
        <v/>
      </c>
      <c r="F33" s="51">
        <f>IF($A33="","",SUMIFS(tblRaw[수수료],tblRaw[검사자],$A33,tblRaw[접수일자],"&gt;="&amp;DATE($B$2,F$32,1),tblRaw[접수일자],"&lt;"&amp;DATE($B$2,F$32+1,1)))</f>
        <v/>
      </c>
      <c r="G33" s="51">
        <f>IF($A33="","",SUMIFS(tblRaw[수수료],tblRaw[검사자],$A33,tblRaw[접수일자],"&gt;="&amp;DATE($B$2,G$32,1),tblRaw[접수일자],"&lt;"&amp;DATE($B$2,G$32+1,1)))</f>
        <v/>
      </c>
      <c r="H33" s="51">
        <f>IF($A33="","",SUMIFS(tblRaw[수수료],tblRaw[검사자],$A33,tblRaw[접수일자],"&gt;="&amp;DATE($B$2,H$32,1),tblRaw[접수일자],"&lt;"&amp;DATE($B$2,H$32+1,1)))</f>
        <v/>
      </c>
      <c r="I33" s="51">
        <f>IF($A33="","",SUMIFS(tblRaw[수수료],tblRaw[검사자],$A33,tblRaw[접수일자],"&gt;="&amp;DATE($B$2,I$32,1),tblRaw[접수일자],"&lt;"&amp;DATE($B$2,I$32+1,1)))</f>
        <v/>
      </c>
      <c r="J33" s="51">
        <f>IF($A33="","",SUMIFS(tblRaw[수수료],tblRaw[검사자],$A33,tblRaw[접수일자],"&gt;="&amp;DATE($B$2,J$32,1),tblRaw[접수일자],"&lt;"&amp;DATE($B$2,J$32+1,1)))</f>
        <v/>
      </c>
      <c r="K33" s="51">
        <f>IF($A33="","",SUMIFS(tblRaw[수수료],tblRaw[검사자],$A33,tblRaw[접수일자],"&gt;="&amp;DATE($B$2,K$32,1),tblRaw[접수일자],"&lt;"&amp;DATE($B$2,K$32+1,1)))</f>
        <v/>
      </c>
      <c r="L33" s="51">
        <f>IF($A33="","",SUMIFS(tblRaw[수수료],tblRaw[검사자],$A33,tblRaw[접수일자],"&gt;="&amp;DATE($B$2,L$32,1),tblRaw[접수일자],"&lt;"&amp;DATE($B$2,L$32+1,1)))</f>
        <v/>
      </c>
      <c r="M33" s="51">
        <f>IF($A33="","",SUMIFS(tblRaw[수수료],tblRaw[검사자],$A33,tblRaw[접수일자],"&gt;="&amp;DATE($B$2,M$32,1),tblRaw[접수일자],"&lt;"&amp;DATE($B$2,M$32+1,1)))</f>
        <v/>
      </c>
      <c r="N33" s="51">
        <f>IF($A33="","",SUM(B33:M33))</f>
        <v/>
      </c>
    </row>
    <row r="34">
      <c r="A34" s="46">
        <f>A7</f>
        <v/>
      </c>
      <c r="B34" s="51">
        <f>IF($A34="","",SUMIFS(tblRaw[수수료],tblRaw[검사자],$A34,tblRaw[접수일자],"&gt;="&amp;DATE($B$2,B$32,1),tblRaw[접수일자],"&lt;"&amp;DATE($B$2,B$32+1,1)))</f>
        <v/>
      </c>
      <c r="C34" s="51">
        <f>IF($A34="","",SUMIFS(tblRaw[수수료],tblRaw[검사자],$A34,tblRaw[접수일자],"&gt;="&amp;DATE($B$2,C$32,1),tblRaw[접수일자],"&lt;"&amp;DATE($B$2,C$32+1,1)))</f>
        <v/>
      </c>
      <c r="D34" s="51">
        <f>IF($A34="","",SUMIFS(tblRaw[수수료],tblRaw[검사자],$A34,tblRaw[접수일자],"&gt;="&amp;DATE($B$2,D$32,1),tblRaw[접수일자],"&lt;"&amp;DATE($B$2,D$32+1,1)))</f>
        <v/>
      </c>
      <c r="E34" s="51">
        <f>IF($A34="","",SUMIFS(tblRaw[수수료],tblRaw[검사자],$A34,tblRaw[접수일자],"&gt;="&amp;DATE($B$2,E$32,1),tblRaw[접수일자],"&lt;"&amp;DATE($B$2,E$32+1,1)))</f>
        <v/>
      </c>
      <c r="F34" s="51">
        <f>IF($A34="","",SUMIFS(tblRaw[수수료],tblRaw[검사자],$A34,tblRaw[접수일자],"&gt;="&amp;DATE($B$2,F$32,1),tblRaw[접수일자],"&lt;"&amp;DATE($B$2,F$32+1,1)))</f>
        <v/>
      </c>
      <c r="G34" s="51">
        <f>IF($A34="","",SUMIFS(tblRaw[수수료],tblRaw[검사자],$A34,tblRaw[접수일자],"&gt;="&amp;DATE($B$2,G$32,1),tblRaw[접수일자],"&lt;"&amp;DATE($B$2,G$32+1,1)))</f>
        <v/>
      </c>
      <c r="H34" s="51">
        <f>IF($A34="","",SUMIFS(tblRaw[수수료],tblRaw[검사자],$A34,tblRaw[접수일자],"&gt;="&amp;DATE($B$2,H$32,1),tblRaw[접수일자],"&lt;"&amp;DATE($B$2,H$32+1,1)))</f>
        <v/>
      </c>
      <c r="I34" s="51">
        <f>IF($A34="","",SUMIFS(tblRaw[수수료],tblRaw[검사자],$A34,tblRaw[접수일자],"&gt;="&amp;DATE($B$2,I$32,1),tblRaw[접수일자],"&lt;"&amp;DATE($B$2,I$32+1,1)))</f>
        <v/>
      </c>
      <c r="J34" s="51">
        <f>IF($A34="","",SUMIFS(tblRaw[수수료],tblRaw[검사자],$A34,tblRaw[접수일자],"&gt;="&amp;DATE($B$2,J$32,1),tblRaw[접수일자],"&lt;"&amp;DATE($B$2,J$32+1,1)))</f>
        <v/>
      </c>
      <c r="K34" s="51">
        <f>IF($A34="","",SUMIFS(tblRaw[수수료],tblRaw[검사자],$A34,tblRaw[접수일자],"&gt;="&amp;DATE($B$2,K$32,1),tblRaw[접수일자],"&lt;"&amp;DATE($B$2,K$32+1,1)))</f>
        <v/>
      </c>
      <c r="L34" s="51">
        <f>IF($A34="","",SUMIFS(tblRaw[수수료],tblRaw[검사자],$A34,tblRaw[접수일자],"&gt;="&amp;DATE($B$2,L$32,1),tblRaw[접수일자],"&lt;"&amp;DATE($B$2,L$32+1,1)))</f>
        <v/>
      </c>
      <c r="M34" s="51">
        <f>IF($A34="","",SUMIFS(tblRaw[수수료],tblRaw[검사자],$A34,tblRaw[접수일자],"&gt;="&amp;DATE($B$2,M$32,1),tblRaw[접수일자],"&lt;"&amp;DATE($B$2,M$32+1,1)))</f>
        <v/>
      </c>
      <c r="N34" s="51">
        <f>IF($A34="","",SUM(B34:M34))</f>
        <v/>
      </c>
    </row>
    <row r="35">
      <c r="A35" s="46">
        <f>A8</f>
        <v/>
      </c>
      <c r="B35" s="51">
        <f>IF($A35="","",SUMIFS(tblRaw[수수료],tblRaw[검사자],$A35,tblRaw[접수일자],"&gt;="&amp;DATE($B$2,B$32,1),tblRaw[접수일자],"&lt;"&amp;DATE($B$2,B$32+1,1)))</f>
        <v/>
      </c>
      <c r="C35" s="51">
        <f>IF($A35="","",SUMIFS(tblRaw[수수료],tblRaw[검사자],$A35,tblRaw[접수일자],"&gt;="&amp;DATE($B$2,C$32,1),tblRaw[접수일자],"&lt;"&amp;DATE($B$2,C$32+1,1)))</f>
        <v/>
      </c>
      <c r="D35" s="51">
        <f>IF($A35="","",SUMIFS(tblRaw[수수료],tblRaw[검사자],$A35,tblRaw[접수일자],"&gt;="&amp;DATE($B$2,D$32,1),tblRaw[접수일자],"&lt;"&amp;DATE($B$2,D$32+1,1)))</f>
        <v/>
      </c>
      <c r="E35" s="51">
        <f>IF($A35="","",SUMIFS(tblRaw[수수료],tblRaw[검사자],$A35,tblRaw[접수일자],"&gt;="&amp;DATE($B$2,E$32,1),tblRaw[접수일자],"&lt;"&amp;DATE($B$2,E$32+1,1)))</f>
        <v/>
      </c>
      <c r="F35" s="51">
        <f>IF($A35="","",SUMIFS(tblRaw[수수료],tblRaw[검사자],$A35,tblRaw[접수일자],"&gt;="&amp;DATE($B$2,F$32,1),tblRaw[접수일자],"&lt;"&amp;DATE($B$2,F$32+1,1)))</f>
        <v/>
      </c>
      <c r="G35" s="51">
        <f>IF($A35="","",SUMIFS(tblRaw[수수료],tblRaw[검사자],$A35,tblRaw[접수일자],"&gt;="&amp;DATE($B$2,G$32,1),tblRaw[접수일자],"&lt;"&amp;DATE($B$2,G$32+1,1)))</f>
        <v/>
      </c>
      <c r="H35" s="51">
        <f>IF($A35="","",SUMIFS(tblRaw[수수료],tblRaw[검사자],$A35,tblRaw[접수일자],"&gt;="&amp;DATE($B$2,H$32,1),tblRaw[접수일자],"&lt;"&amp;DATE($B$2,H$32+1,1)))</f>
        <v/>
      </c>
      <c r="I35" s="51">
        <f>IF($A35="","",SUMIFS(tblRaw[수수료],tblRaw[검사자],$A35,tblRaw[접수일자],"&gt;="&amp;DATE($B$2,I$32,1),tblRaw[접수일자],"&lt;"&amp;DATE($B$2,I$32+1,1)))</f>
        <v/>
      </c>
      <c r="J35" s="51">
        <f>IF($A35="","",SUMIFS(tblRaw[수수료],tblRaw[검사자],$A35,tblRaw[접수일자],"&gt;="&amp;DATE($B$2,J$32,1),tblRaw[접수일자],"&lt;"&amp;DATE($B$2,J$32+1,1)))</f>
        <v/>
      </c>
      <c r="K35" s="51">
        <f>IF($A35="","",SUMIFS(tblRaw[수수료],tblRaw[검사자],$A35,tblRaw[접수일자],"&gt;="&amp;DATE($B$2,K$32,1),tblRaw[접수일자],"&lt;"&amp;DATE($B$2,K$32+1,1)))</f>
        <v/>
      </c>
      <c r="L35" s="51">
        <f>IF($A35="","",SUMIFS(tblRaw[수수료],tblRaw[검사자],$A35,tblRaw[접수일자],"&gt;="&amp;DATE($B$2,L$32,1),tblRaw[접수일자],"&lt;"&amp;DATE($B$2,L$32+1,1)))</f>
        <v/>
      </c>
      <c r="M35" s="51">
        <f>IF($A35="","",SUMIFS(tblRaw[수수료],tblRaw[검사자],$A35,tblRaw[접수일자],"&gt;="&amp;DATE($B$2,M$32,1),tblRaw[접수일자],"&lt;"&amp;DATE($B$2,M$32+1,1)))</f>
        <v/>
      </c>
      <c r="N35" s="51">
        <f>IF($A35="","",SUM(B35:M35))</f>
        <v/>
      </c>
    </row>
    <row r="36">
      <c r="A36" s="46">
        <f>A9</f>
        <v/>
      </c>
      <c r="B36" s="51">
        <f>IF($A36="","",SUMIFS(tblRaw[수수료],tblRaw[검사자],$A36,tblRaw[접수일자],"&gt;="&amp;DATE($B$2,B$32,1),tblRaw[접수일자],"&lt;"&amp;DATE($B$2,B$32+1,1)))</f>
        <v/>
      </c>
      <c r="C36" s="51">
        <f>IF($A36="","",SUMIFS(tblRaw[수수료],tblRaw[검사자],$A36,tblRaw[접수일자],"&gt;="&amp;DATE($B$2,C$32,1),tblRaw[접수일자],"&lt;"&amp;DATE($B$2,C$32+1,1)))</f>
        <v/>
      </c>
      <c r="D36" s="51">
        <f>IF($A36="","",SUMIFS(tblRaw[수수료],tblRaw[검사자],$A36,tblRaw[접수일자],"&gt;="&amp;DATE($B$2,D$32,1),tblRaw[접수일자],"&lt;"&amp;DATE($B$2,D$32+1,1)))</f>
        <v/>
      </c>
      <c r="E36" s="51">
        <f>IF($A36="","",SUMIFS(tblRaw[수수료],tblRaw[검사자],$A36,tblRaw[접수일자],"&gt;="&amp;DATE($B$2,E$32,1),tblRaw[접수일자],"&lt;"&amp;DATE($B$2,E$32+1,1)))</f>
        <v/>
      </c>
      <c r="F36" s="51">
        <f>IF($A36="","",SUMIFS(tblRaw[수수료],tblRaw[검사자],$A36,tblRaw[접수일자],"&gt;="&amp;DATE($B$2,F$32,1),tblRaw[접수일자],"&lt;"&amp;DATE($B$2,F$32+1,1)))</f>
        <v/>
      </c>
      <c r="G36" s="51">
        <f>IF($A36="","",SUMIFS(tblRaw[수수료],tblRaw[검사자],$A36,tblRaw[접수일자],"&gt;="&amp;DATE($B$2,G$32,1),tblRaw[접수일자],"&lt;"&amp;DATE($B$2,G$32+1,1)))</f>
        <v/>
      </c>
      <c r="H36" s="51">
        <f>IF($A36="","",SUMIFS(tblRaw[수수료],tblRaw[검사자],$A36,tblRaw[접수일자],"&gt;="&amp;DATE($B$2,H$32,1),tblRaw[접수일자],"&lt;"&amp;DATE($B$2,H$32+1,1)))</f>
        <v/>
      </c>
      <c r="I36" s="51">
        <f>IF($A36="","",SUMIFS(tblRaw[수수료],tblRaw[검사자],$A36,tblRaw[접수일자],"&gt;="&amp;DATE($B$2,I$32,1),tblRaw[접수일자],"&lt;"&amp;DATE($B$2,I$32+1,1)))</f>
        <v/>
      </c>
      <c r="J36" s="51">
        <f>IF($A36="","",SUMIFS(tblRaw[수수료],tblRaw[검사자],$A36,tblRaw[접수일자],"&gt;="&amp;DATE($B$2,J$32,1),tblRaw[접수일자],"&lt;"&amp;DATE($B$2,J$32+1,1)))</f>
        <v/>
      </c>
      <c r="K36" s="51">
        <f>IF($A36="","",SUMIFS(tblRaw[수수료],tblRaw[검사자],$A36,tblRaw[접수일자],"&gt;="&amp;DATE($B$2,K$32,1),tblRaw[접수일자],"&lt;"&amp;DATE($B$2,K$32+1,1)))</f>
        <v/>
      </c>
      <c r="L36" s="51">
        <f>IF($A36="","",SUMIFS(tblRaw[수수료],tblRaw[검사자],$A36,tblRaw[접수일자],"&gt;="&amp;DATE($B$2,L$32,1),tblRaw[접수일자],"&lt;"&amp;DATE($B$2,L$32+1,1)))</f>
        <v/>
      </c>
      <c r="M36" s="51">
        <f>IF($A36="","",SUMIFS(tblRaw[수수료],tblRaw[검사자],$A36,tblRaw[접수일자],"&gt;="&amp;DATE($B$2,M$32,1),tblRaw[접수일자],"&lt;"&amp;DATE($B$2,M$32+1,1)))</f>
        <v/>
      </c>
      <c r="N36" s="51">
        <f>IF($A36="","",SUM(B36:M36))</f>
        <v/>
      </c>
    </row>
    <row r="37">
      <c r="A37" s="46">
        <f>A10</f>
        <v/>
      </c>
      <c r="B37" s="51">
        <f>IF($A37="","",SUMIFS(tblRaw[수수료],tblRaw[검사자],$A37,tblRaw[접수일자],"&gt;="&amp;DATE($B$2,B$32,1),tblRaw[접수일자],"&lt;"&amp;DATE($B$2,B$32+1,1)))</f>
        <v/>
      </c>
      <c r="C37" s="51">
        <f>IF($A37="","",SUMIFS(tblRaw[수수료],tblRaw[검사자],$A37,tblRaw[접수일자],"&gt;="&amp;DATE($B$2,C$32,1),tblRaw[접수일자],"&lt;"&amp;DATE($B$2,C$32+1,1)))</f>
        <v/>
      </c>
      <c r="D37" s="51">
        <f>IF($A37="","",SUMIFS(tblRaw[수수료],tblRaw[검사자],$A37,tblRaw[접수일자],"&gt;="&amp;DATE($B$2,D$32,1),tblRaw[접수일자],"&lt;"&amp;DATE($B$2,D$32+1,1)))</f>
        <v/>
      </c>
      <c r="E37" s="51">
        <f>IF($A37="","",SUMIFS(tblRaw[수수료],tblRaw[검사자],$A37,tblRaw[접수일자],"&gt;="&amp;DATE($B$2,E$32,1),tblRaw[접수일자],"&lt;"&amp;DATE($B$2,E$32+1,1)))</f>
        <v/>
      </c>
      <c r="F37" s="51">
        <f>IF($A37="","",SUMIFS(tblRaw[수수료],tblRaw[검사자],$A37,tblRaw[접수일자],"&gt;="&amp;DATE($B$2,F$32,1),tblRaw[접수일자],"&lt;"&amp;DATE($B$2,F$32+1,1)))</f>
        <v/>
      </c>
      <c r="G37" s="51">
        <f>IF($A37="","",SUMIFS(tblRaw[수수료],tblRaw[검사자],$A37,tblRaw[접수일자],"&gt;="&amp;DATE($B$2,G$32,1),tblRaw[접수일자],"&lt;"&amp;DATE($B$2,G$32+1,1)))</f>
        <v/>
      </c>
      <c r="H37" s="51">
        <f>IF($A37="","",SUMIFS(tblRaw[수수료],tblRaw[검사자],$A37,tblRaw[접수일자],"&gt;="&amp;DATE($B$2,H$32,1),tblRaw[접수일자],"&lt;"&amp;DATE($B$2,H$32+1,1)))</f>
        <v/>
      </c>
      <c r="I37" s="51">
        <f>IF($A37="","",SUMIFS(tblRaw[수수료],tblRaw[검사자],$A37,tblRaw[접수일자],"&gt;="&amp;DATE($B$2,I$32,1),tblRaw[접수일자],"&lt;"&amp;DATE($B$2,I$32+1,1)))</f>
        <v/>
      </c>
      <c r="J37" s="51">
        <f>IF($A37="","",SUMIFS(tblRaw[수수료],tblRaw[검사자],$A37,tblRaw[접수일자],"&gt;="&amp;DATE($B$2,J$32,1),tblRaw[접수일자],"&lt;"&amp;DATE($B$2,J$32+1,1)))</f>
        <v/>
      </c>
      <c r="K37" s="51">
        <f>IF($A37="","",SUMIFS(tblRaw[수수료],tblRaw[검사자],$A37,tblRaw[접수일자],"&gt;="&amp;DATE($B$2,K$32,1),tblRaw[접수일자],"&lt;"&amp;DATE($B$2,K$32+1,1)))</f>
        <v/>
      </c>
      <c r="L37" s="51">
        <f>IF($A37="","",SUMIFS(tblRaw[수수료],tblRaw[검사자],$A37,tblRaw[접수일자],"&gt;="&amp;DATE($B$2,L$32,1),tblRaw[접수일자],"&lt;"&amp;DATE($B$2,L$32+1,1)))</f>
        <v/>
      </c>
      <c r="M37" s="51">
        <f>IF($A37="","",SUMIFS(tblRaw[수수료],tblRaw[검사자],$A37,tblRaw[접수일자],"&gt;="&amp;DATE($B$2,M$32,1),tblRaw[접수일자],"&lt;"&amp;DATE($B$2,M$32+1,1)))</f>
        <v/>
      </c>
      <c r="N37" s="51">
        <f>IF($A37="","",SUM(B37:M37))</f>
        <v/>
      </c>
    </row>
    <row r="38">
      <c r="A38" s="46">
        <f>A11</f>
        <v/>
      </c>
      <c r="B38" s="51">
        <f>IF($A38="","",SUMIFS(tblRaw[수수료],tblRaw[검사자],$A38,tblRaw[접수일자],"&gt;="&amp;DATE($B$2,B$32,1),tblRaw[접수일자],"&lt;"&amp;DATE($B$2,B$32+1,1)))</f>
        <v/>
      </c>
      <c r="C38" s="51">
        <f>IF($A38="","",SUMIFS(tblRaw[수수료],tblRaw[검사자],$A38,tblRaw[접수일자],"&gt;="&amp;DATE($B$2,C$32,1),tblRaw[접수일자],"&lt;"&amp;DATE($B$2,C$32+1,1)))</f>
        <v/>
      </c>
      <c r="D38" s="51">
        <f>IF($A38="","",SUMIFS(tblRaw[수수료],tblRaw[검사자],$A38,tblRaw[접수일자],"&gt;="&amp;DATE($B$2,D$32,1),tblRaw[접수일자],"&lt;"&amp;DATE($B$2,D$32+1,1)))</f>
        <v/>
      </c>
      <c r="E38" s="51">
        <f>IF($A38="","",SUMIFS(tblRaw[수수료],tblRaw[검사자],$A38,tblRaw[접수일자],"&gt;="&amp;DATE($B$2,E$32,1),tblRaw[접수일자],"&lt;"&amp;DATE($B$2,E$32+1,1)))</f>
        <v/>
      </c>
      <c r="F38" s="51">
        <f>IF($A38="","",SUMIFS(tblRaw[수수료],tblRaw[검사자],$A38,tblRaw[접수일자],"&gt;="&amp;DATE($B$2,F$32,1),tblRaw[접수일자],"&lt;"&amp;DATE($B$2,F$32+1,1)))</f>
        <v/>
      </c>
      <c r="G38" s="51">
        <f>IF($A38="","",SUMIFS(tblRaw[수수료],tblRaw[검사자],$A38,tblRaw[접수일자],"&gt;="&amp;DATE($B$2,G$32,1),tblRaw[접수일자],"&lt;"&amp;DATE($B$2,G$32+1,1)))</f>
        <v/>
      </c>
      <c r="H38" s="51">
        <f>IF($A38="","",SUMIFS(tblRaw[수수료],tblRaw[검사자],$A38,tblRaw[접수일자],"&gt;="&amp;DATE($B$2,H$32,1),tblRaw[접수일자],"&lt;"&amp;DATE($B$2,H$32+1,1)))</f>
        <v/>
      </c>
      <c r="I38" s="51">
        <f>IF($A38="","",SUMIFS(tblRaw[수수료],tblRaw[검사자],$A38,tblRaw[접수일자],"&gt;="&amp;DATE($B$2,I$32,1),tblRaw[접수일자],"&lt;"&amp;DATE($B$2,I$32+1,1)))</f>
        <v/>
      </c>
      <c r="J38" s="51">
        <f>IF($A38="","",SUMIFS(tblRaw[수수료],tblRaw[검사자],$A38,tblRaw[접수일자],"&gt;="&amp;DATE($B$2,J$32,1),tblRaw[접수일자],"&lt;"&amp;DATE($B$2,J$32+1,1)))</f>
        <v/>
      </c>
      <c r="K38" s="51">
        <f>IF($A38="","",SUMIFS(tblRaw[수수료],tblRaw[검사자],$A38,tblRaw[접수일자],"&gt;="&amp;DATE($B$2,K$32,1),tblRaw[접수일자],"&lt;"&amp;DATE($B$2,K$32+1,1)))</f>
        <v/>
      </c>
      <c r="L38" s="51">
        <f>IF($A38="","",SUMIFS(tblRaw[수수료],tblRaw[검사자],$A38,tblRaw[접수일자],"&gt;="&amp;DATE($B$2,L$32,1),tblRaw[접수일자],"&lt;"&amp;DATE($B$2,L$32+1,1)))</f>
        <v/>
      </c>
      <c r="M38" s="51">
        <f>IF($A38="","",SUMIFS(tblRaw[수수료],tblRaw[검사자],$A38,tblRaw[접수일자],"&gt;="&amp;DATE($B$2,M$32,1),tblRaw[접수일자],"&lt;"&amp;DATE($B$2,M$32+1,1)))</f>
        <v/>
      </c>
      <c r="N38" s="51">
        <f>IF($A38="","",SUM(B38:M38))</f>
        <v/>
      </c>
    </row>
    <row r="39">
      <c r="A39" s="46">
        <f>A12</f>
        <v/>
      </c>
      <c r="B39" s="51">
        <f>IF($A39="","",SUMIFS(tblRaw[수수료],tblRaw[검사자],$A39,tblRaw[접수일자],"&gt;="&amp;DATE($B$2,B$32,1),tblRaw[접수일자],"&lt;"&amp;DATE($B$2,B$32+1,1)))</f>
        <v/>
      </c>
      <c r="C39" s="51">
        <f>IF($A39="","",SUMIFS(tblRaw[수수료],tblRaw[검사자],$A39,tblRaw[접수일자],"&gt;="&amp;DATE($B$2,C$32,1),tblRaw[접수일자],"&lt;"&amp;DATE($B$2,C$32+1,1)))</f>
        <v/>
      </c>
      <c r="D39" s="51">
        <f>IF($A39="","",SUMIFS(tblRaw[수수료],tblRaw[검사자],$A39,tblRaw[접수일자],"&gt;="&amp;DATE($B$2,D$32,1),tblRaw[접수일자],"&lt;"&amp;DATE($B$2,D$32+1,1)))</f>
        <v/>
      </c>
      <c r="E39" s="51">
        <f>IF($A39="","",SUMIFS(tblRaw[수수료],tblRaw[검사자],$A39,tblRaw[접수일자],"&gt;="&amp;DATE($B$2,E$32,1),tblRaw[접수일자],"&lt;"&amp;DATE($B$2,E$32+1,1)))</f>
        <v/>
      </c>
      <c r="F39" s="51">
        <f>IF($A39="","",SUMIFS(tblRaw[수수료],tblRaw[검사자],$A39,tblRaw[접수일자],"&gt;="&amp;DATE($B$2,F$32,1),tblRaw[접수일자],"&lt;"&amp;DATE($B$2,F$32+1,1)))</f>
        <v/>
      </c>
      <c r="G39" s="51">
        <f>IF($A39="","",SUMIFS(tblRaw[수수료],tblRaw[검사자],$A39,tblRaw[접수일자],"&gt;="&amp;DATE($B$2,G$32,1),tblRaw[접수일자],"&lt;"&amp;DATE($B$2,G$32+1,1)))</f>
        <v/>
      </c>
      <c r="H39" s="51">
        <f>IF($A39="","",SUMIFS(tblRaw[수수료],tblRaw[검사자],$A39,tblRaw[접수일자],"&gt;="&amp;DATE($B$2,H$32,1),tblRaw[접수일자],"&lt;"&amp;DATE($B$2,H$32+1,1)))</f>
        <v/>
      </c>
      <c r="I39" s="51">
        <f>IF($A39="","",SUMIFS(tblRaw[수수료],tblRaw[검사자],$A39,tblRaw[접수일자],"&gt;="&amp;DATE($B$2,I$32,1),tblRaw[접수일자],"&lt;"&amp;DATE($B$2,I$32+1,1)))</f>
        <v/>
      </c>
      <c r="J39" s="51">
        <f>IF($A39="","",SUMIFS(tblRaw[수수료],tblRaw[검사자],$A39,tblRaw[접수일자],"&gt;="&amp;DATE($B$2,J$32,1),tblRaw[접수일자],"&lt;"&amp;DATE($B$2,J$32+1,1)))</f>
        <v/>
      </c>
      <c r="K39" s="51">
        <f>IF($A39="","",SUMIFS(tblRaw[수수료],tblRaw[검사자],$A39,tblRaw[접수일자],"&gt;="&amp;DATE($B$2,K$32,1),tblRaw[접수일자],"&lt;"&amp;DATE($B$2,K$32+1,1)))</f>
        <v/>
      </c>
      <c r="L39" s="51">
        <f>IF($A39="","",SUMIFS(tblRaw[수수료],tblRaw[검사자],$A39,tblRaw[접수일자],"&gt;="&amp;DATE($B$2,L$32,1),tblRaw[접수일자],"&lt;"&amp;DATE($B$2,L$32+1,1)))</f>
        <v/>
      </c>
      <c r="M39" s="51">
        <f>IF($A39="","",SUMIFS(tblRaw[수수료],tblRaw[검사자],$A39,tblRaw[접수일자],"&gt;="&amp;DATE($B$2,M$32,1),tblRaw[접수일자],"&lt;"&amp;DATE($B$2,M$32+1,1)))</f>
        <v/>
      </c>
      <c r="N39" s="51">
        <f>IF($A39="","",SUM(B39:M39))</f>
        <v/>
      </c>
    </row>
    <row r="40">
      <c r="A40" s="46">
        <f>A13</f>
        <v/>
      </c>
      <c r="B40" s="51">
        <f>IF($A40="","",SUMIFS(tblRaw[수수료],tblRaw[검사자],$A40,tblRaw[접수일자],"&gt;="&amp;DATE($B$2,B$32,1),tblRaw[접수일자],"&lt;"&amp;DATE($B$2,B$32+1,1)))</f>
        <v/>
      </c>
      <c r="C40" s="51">
        <f>IF($A40="","",SUMIFS(tblRaw[수수료],tblRaw[검사자],$A40,tblRaw[접수일자],"&gt;="&amp;DATE($B$2,C$32,1),tblRaw[접수일자],"&lt;"&amp;DATE($B$2,C$32+1,1)))</f>
        <v/>
      </c>
      <c r="D40" s="51">
        <f>IF($A40="","",SUMIFS(tblRaw[수수료],tblRaw[검사자],$A40,tblRaw[접수일자],"&gt;="&amp;DATE($B$2,D$32,1),tblRaw[접수일자],"&lt;"&amp;DATE($B$2,D$32+1,1)))</f>
        <v/>
      </c>
      <c r="E40" s="51">
        <f>IF($A40="","",SUMIFS(tblRaw[수수료],tblRaw[검사자],$A40,tblRaw[접수일자],"&gt;="&amp;DATE($B$2,E$32,1),tblRaw[접수일자],"&lt;"&amp;DATE($B$2,E$32+1,1)))</f>
        <v/>
      </c>
      <c r="F40" s="51">
        <f>IF($A40="","",SUMIFS(tblRaw[수수료],tblRaw[검사자],$A40,tblRaw[접수일자],"&gt;="&amp;DATE($B$2,F$32,1),tblRaw[접수일자],"&lt;"&amp;DATE($B$2,F$32+1,1)))</f>
        <v/>
      </c>
      <c r="G40" s="51">
        <f>IF($A40="","",SUMIFS(tblRaw[수수료],tblRaw[검사자],$A40,tblRaw[접수일자],"&gt;="&amp;DATE($B$2,G$32,1),tblRaw[접수일자],"&lt;"&amp;DATE($B$2,G$32+1,1)))</f>
        <v/>
      </c>
      <c r="H40" s="51">
        <f>IF($A40="","",SUMIFS(tblRaw[수수료],tblRaw[검사자],$A40,tblRaw[접수일자],"&gt;="&amp;DATE($B$2,H$32,1),tblRaw[접수일자],"&lt;"&amp;DATE($B$2,H$32+1,1)))</f>
        <v/>
      </c>
      <c r="I40" s="51">
        <f>IF($A40="","",SUMIFS(tblRaw[수수료],tblRaw[검사자],$A40,tblRaw[접수일자],"&gt;="&amp;DATE($B$2,I$32,1),tblRaw[접수일자],"&lt;"&amp;DATE($B$2,I$32+1,1)))</f>
        <v/>
      </c>
      <c r="J40" s="51">
        <f>IF($A40="","",SUMIFS(tblRaw[수수료],tblRaw[검사자],$A40,tblRaw[접수일자],"&gt;="&amp;DATE($B$2,J$32,1),tblRaw[접수일자],"&lt;"&amp;DATE($B$2,J$32+1,1)))</f>
        <v/>
      </c>
      <c r="K40" s="51">
        <f>IF($A40="","",SUMIFS(tblRaw[수수료],tblRaw[검사자],$A40,tblRaw[접수일자],"&gt;="&amp;DATE($B$2,K$32,1),tblRaw[접수일자],"&lt;"&amp;DATE($B$2,K$32+1,1)))</f>
        <v/>
      </c>
      <c r="L40" s="51">
        <f>IF($A40="","",SUMIFS(tblRaw[수수료],tblRaw[검사자],$A40,tblRaw[접수일자],"&gt;="&amp;DATE($B$2,L$32,1),tblRaw[접수일자],"&lt;"&amp;DATE($B$2,L$32+1,1)))</f>
        <v/>
      </c>
      <c r="M40" s="51">
        <f>IF($A40="","",SUMIFS(tblRaw[수수료],tblRaw[검사자],$A40,tblRaw[접수일자],"&gt;="&amp;DATE($B$2,M$32,1),tblRaw[접수일자],"&lt;"&amp;DATE($B$2,M$32+1,1)))</f>
        <v/>
      </c>
      <c r="N40" s="51">
        <f>IF($A40="","",SUM(B40:M40))</f>
        <v/>
      </c>
    </row>
    <row r="41">
      <c r="A41" s="46">
        <f>A14</f>
        <v/>
      </c>
      <c r="B41" s="51">
        <f>IF($A41="","",SUMIFS(tblRaw[수수료],tblRaw[검사자],$A41,tblRaw[접수일자],"&gt;="&amp;DATE($B$2,B$32,1),tblRaw[접수일자],"&lt;"&amp;DATE($B$2,B$32+1,1)))</f>
        <v/>
      </c>
      <c r="C41" s="51">
        <f>IF($A41="","",SUMIFS(tblRaw[수수료],tblRaw[검사자],$A41,tblRaw[접수일자],"&gt;="&amp;DATE($B$2,C$32,1),tblRaw[접수일자],"&lt;"&amp;DATE($B$2,C$32+1,1)))</f>
        <v/>
      </c>
      <c r="D41" s="51">
        <f>IF($A41="","",SUMIFS(tblRaw[수수료],tblRaw[검사자],$A41,tblRaw[접수일자],"&gt;="&amp;DATE($B$2,D$32,1),tblRaw[접수일자],"&lt;"&amp;DATE($B$2,D$32+1,1)))</f>
        <v/>
      </c>
      <c r="E41" s="51">
        <f>IF($A41="","",SUMIFS(tblRaw[수수료],tblRaw[검사자],$A41,tblRaw[접수일자],"&gt;="&amp;DATE($B$2,E$32,1),tblRaw[접수일자],"&lt;"&amp;DATE($B$2,E$32+1,1)))</f>
        <v/>
      </c>
      <c r="F41" s="51">
        <f>IF($A41="","",SUMIFS(tblRaw[수수료],tblRaw[검사자],$A41,tblRaw[접수일자],"&gt;="&amp;DATE($B$2,F$32,1),tblRaw[접수일자],"&lt;"&amp;DATE($B$2,F$32+1,1)))</f>
        <v/>
      </c>
      <c r="G41" s="51">
        <f>IF($A41="","",SUMIFS(tblRaw[수수료],tblRaw[검사자],$A41,tblRaw[접수일자],"&gt;="&amp;DATE($B$2,G$32,1),tblRaw[접수일자],"&lt;"&amp;DATE($B$2,G$32+1,1)))</f>
        <v/>
      </c>
      <c r="H41" s="51">
        <f>IF($A41="","",SUMIFS(tblRaw[수수료],tblRaw[검사자],$A41,tblRaw[접수일자],"&gt;="&amp;DATE($B$2,H$32,1),tblRaw[접수일자],"&lt;"&amp;DATE($B$2,H$32+1,1)))</f>
        <v/>
      </c>
      <c r="I41" s="51">
        <f>IF($A41="","",SUMIFS(tblRaw[수수료],tblRaw[검사자],$A41,tblRaw[접수일자],"&gt;="&amp;DATE($B$2,I$32,1),tblRaw[접수일자],"&lt;"&amp;DATE($B$2,I$32+1,1)))</f>
        <v/>
      </c>
      <c r="J41" s="51">
        <f>IF($A41="","",SUMIFS(tblRaw[수수료],tblRaw[검사자],$A41,tblRaw[접수일자],"&gt;="&amp;DATE($B$2,J$32,1),tblRaw[접수일자],"&lt;"&amp;DATE($B$2,J$32+1,1)))</f>
        <v/>
      </c>
      <c r="K41" s="51">
        <f>IF($A41="","",SUMIFS(tblRaw[수수료],tblRaw[검사자],$A41,tblRaw[접수일자],"&gt;="&amp;DATE($B$2,K$32,1),tblRaw[접수일자],"&lt;"&amp;DATE($B$2,K$32+1,1)))</f>
        <v/>
      </c>
      <c r="L41" s="51">
        <f>IF($A41="","",SUMIFS(tblRaw[수수료],tblRaw[검사자],$A41,tblRaw[접수일자],"&gt;="&amp;DATE($B$2,L$32,1),tblRaw[접수일자],"&lt;"&amp;DATE($B$2,L$32+1,1)))</f>
        <v/>
      </c>
      <c r="M41" s="51">
        <f>IF($A41="","",SUMIFS(tblRaw[수수료],tblRaw[검사자],$A41,tblRaw[접수일자],"&gt;="&amp;DATE($B$2,M$32,1),tblRaw[접수일자],"&lt;"&amp;DATE($B$2,M$32+1,1)))</f>
        <v/>
      </c>
      <c r="N41" s="51">
        <f>IF($A41="","",SUM(B41:M41))</f>
        <v/>
      </c>
    </row>
    <row r="42">
      <c r="A42" s="46">
        <f>A15</f>
        <v/>
      </c>
      <c r="B42" s="51">
        <f>IF($A42="","",SUMIFS(tblRaw[수수료],tblRaw[검사자],$A42,tblRaw[접수일자],"&gt;="&amp;DATE($B$2,B$32,1),tblRaw[접수일자],"&lt;"&amp;DATE($B$2,B$32+1,1)))</f>
        <v/>
      </c>
      <c r="C42" s="51">
        <f>IF($A42="","",SUMIFS(tblRaw[수수료],tblRaw[검사자],$A42,tblRaw[접수일자],"&gt;="&amp;DATE($B$2,C$32,1),tblRaw[접수일자],"&lt;"&amp;DATE($B$2,C$32+1,1)))</f>
        <v/>
      </c>
      <c r="D42" s="51">
        <f>IF($A42="","",SUMIFS(tblRaw[수수료],tblRaw[검사자],$A42,tblRaw[접수일자],"&gt;="&amp;DATE($B$2,D$32,1),tblRaw[접수일자],"&lt;"&amp;DATE($B$2,D$32+1,1)))</f>
        <v/>
      </c>
      <c r="E42" s="51">
        <f>IF($A42="","",SUMIFS(tblRaw[수수료],tblRaw[검사자],$A42,tblRaw[접수일자],"&gt;="&amp;DATE($B$2,E$32,1),tblRaw[접수일자],"&lt;"&amp;DATE($B$2,E$32+1,1)))</f>
        <v/>
      </c>
      <c r="F42" s="51">
        <f>IF($A42="","",SUMIFS(tblRaw[수수료],tblRaw[검사자],$A42,tblRaw[접수일자],"&gt;="&amp;DATE($B$2,F$32,1),tblRaw[접수일자],"&lt;"&amp;DATE($B$2,F$32+1,1)))</f>
        <v/>
      </c>
      <c r="G42" s="51">
        <f>IF($A42="","",SUMIFS(tblRaw[수수료],tblRaw[검사자],$A42,tblRaw[접수일자],"&gt;="&amp;DATE($B$2,G$32,1),tblRaw[접수일자],"&lt;"&amp;DATE($B$2,G$32+1,1)))</f>
        <v/>
      </c>
      <c r="H42" s="51">
        <f>IF($A42="","",SUMIFS(tblRaw[수수료],tblRaw[검사자],$A42,tblRaw[접수일자],"&gt;="&amp;DATE($B$2,H$32,1),tblRaw[접수일자],"&lt;"&amp;DATE($B$2,H$32+1,1)))</f>
        <v/>
      </c>
      <c r="I42" s="51">
        <f>IF($A42="","",SUMIFS(tblRaw[수수료],tblRaw[검사자],$A42,tblRaw[접수일자],"&gt;="&amp;DATE($B$2,I$32,1),tblRaw[접수일자],"&lt;"&amp;DATE($B$2,I$32+1,1)))</f>
        <v/>
      </c>
      <c r="J42" s="51">
        <f>IF($A42="","",SUMIFS(tblRaw[수수료],tblRaw[검사자],$A42,tblRaw[접수일자],"&gt;="&amp;DATE($B$2,J$32,1),tblRaw[접수일자],"&lt;"&amp;DATE($B$2,J$32+1,1)))</f>
        <v/>
      </c>
      <c r="K42" s="51">
        <f>IF($A42="","",SUMIFS(tblRaw[수수료],tblRaw[검사자],$A42,tblRaw[접수일자],"&gt;="&amp;DATE($B$2,K$32,1),tblRaw[접수일자],"&lt;"&amp;DATE($B$2,K$32+1,1)))</f>
        <v/>
      </c>
      <c r="L42" s="51">
        <f>IF($A42="","",SUMIFS(tblRaw[수수료],tblRaw[검사자],$A42,tblRaw[접수일자],"&gt;="&amp;DATE($B$2,L$32,1),tblRaw[접수일자],"&lt;"&amp;DATE($B$2,L$32+1,1)))</f>
        <v/>
      </c>
      <c r="M42" s="51">
        <f>IF($A42="","",SUMIFS(tblRaw[수수료],tblRaw[검사자],$A42,tblRaw[접수일자],"&gt;="&amp;DATE($B$2,M$32,1),tblRaw[접수일자],"&lt;"&amp;DATE($B$2,M$32+1,1)))</f>
        <v/>
      </c>
      <c r="N42" s="51">
        <f>IF($A42="","",SUM(B42:M42))</f>
        <v/>
      </c>
    </row>
    <row r="43">
      <c r="A43" s="46">
        <f>A16</f>
        <v/>
      </c>
      <c r="B43" s="51">
        <f>IF($A43="","",SUMIFS(tblRaw[수수료],tblRaw[검사자],$A43,tblRaw[접수일자],"&gt;="&amp;DATE($B$2,B$32,1),tblRaw[접수일자],"&lt;"&amp;DATE($B$2,B$32+1,1)))</f>
        <v/>
      </c>
      <c r="C43" s="51">
        <f>IF($A43="","",SUMIFS(tblRaw[수수료],tblRaw[검사자],$A43,tblRaw[접수일자],"&gt;="&amp;DATE($B$2,C$32,1),tblRaw[접수일자],"&lt;"&amp;DATE($B$2,C$32+1,1)))</f>
        <v/>
      </c>
      <c r="D43" s="51">
        <f>IF($A43="","",SUMIFS(tblRaw[수수료],tblRaw[검사자],$A43,tblRaw[접수일자],"&gt;="&amp;DATE($B$2,D$32,1),tblRaw[접수일자],"&lt;"&amp;DATE($B$2,D$32+1,1)))</f>
        <v/>
      </c>
      <c r="E43" s="51">
        <f>IF($A43="","",SUMIFS(tblRaw[수수료],tblRaw[검사자],$A43,tblRaw[접수일자],"&gt;="&amp;DATE($B$2,E$32,1),tblRaw[접수일자],"&lt;"&amp;DATE($B$2,E$32+1,1)))</f>
        <v/>
      </c>
      <c r="F43" s="51">
        <f>IF($A43="","",SUMIFS(tblRaw[수수료],tblRaw[검사자],$A43,tblRaw[접수일자],"&gt;="&amp;DATE($B$2,F$32,1),tblRaw[접수일자],"&lt;"&amp;DATE($B$2,F$32+1,1)))</f>
        <v/>
      </c>
      <c r="G43" s="51">
        <f>IF($A43="","",SUMIFS(tblRaw[수수료],tblRaw[검사자],$A43,tblRaw[접수일자],"&gt;="&amp;DATE($B$2,G$32,1),tblRaw[접수일자],"&lt;"&amp;DATE($B$2,G$32+1,1)))</f>
        <v/>
      </c>
      <c r="H43" s="51">
        <f>IF($A43="","",SUMIFS(tblRaw[수수료],tblRaw[검사자],$A43,tblRaw[접수일자],"&gt;="&amp;DATE($B$2,H$32,1),tblRaw[접수일자],"&lt;"&amp;DATE($B$2,H$32+1,1)))</f>
        <v/>
      </c>
      <c r="I43" s="51">
        <f>IF($A43="","",SUMIFS(tblRaw[수수료],tblRaw[검사자],$A43,tblRaw[접수일자],"&gt;="&amp;DATE($B$2,I$32,1),tblRaw[접수일자],"&lt;"&amp;DATE($B$2,I$32+1,1)))</f>
        <v/>
      </c>
      <c r="J43" s="51">
        <f>IF($A43="","",SUMIFS(tblRaw[수수료],tblRaw[검사자],$A43,tblRaw[접수일자],"&gt;="&amp;DATE($B$2,J$32,1),tblRaw[접수일자],"&lt;"&amp;DATE($B$2,J$32+1,1)))</f>
        <v/>
      </c>
      <c r="K43" s="51">
        <f>IF($A43="","",SUMIFS(tblRaw[수수료],tblRaw[검사자],$A43,tblRaw[접수일자],"&gt;="&amp;DATE($B$2,K$32,1),tblRaw[접수일자],"&lt;"&amp;DATE($B$2,K$32+1,1)))</f>
        <v/>
      </c>
      <c r="L43" s="51">
        <f>IF($A43="","",SUMIFS(tblRaw[수수료],tblRaw[검사자],$A43,tblRaw[접수일자],"&gt;="&amp;DATE($B$2,L$32,1),tblRaw[접수일자],"&lt;"&amp;DATE($B$2,L$32+1,1)))</f>
        <v/>
      </c>
      <c r="M43" s="51">
        <f>IF($A43="","",SUMIFS(tblRaw[수수료],tblRaw[검사자],$A43,tblRaw[접수일자],"&gt;="&amp;DATE($B$2,M$32,1),tblRaw[접수일자],"&lt;"&amp;DATE($B$2,M$32+1,1)))</f>
        <v/>
      </c>
      <c r="N43" s="51">
        <f>IF($A43="","",SUM(B43:M43))</f>
        <v/>
      </c>
    </row>
    <row r="44">
      <c r="A44" s="46">
        <f>A17</f>
        <v/>
      </c>
      <c r="B44" s="51">
        <f>IF($A44="","",SUMIFS(tblRaw[수수료],tblRaw[검사자],$A44,tblRaw[접수일자],"&gt;="&amp;DATE($B$2,B$32,1),tblRaw[접수일자],"&lt;"&amp;DATE($B$2,B$32+1,1)))</f>
        <v/>
      </c>
      <c r="C44" s="51">
        <f>IF($A44="","",SUMIFS(tblRaw[수수료],tblRaw[검사자],$A44,tblRaw[접수일자],"&gt;="&amp;DATE($B$2,C$32,1),tblRaw[접수일자],"&lt;"&amp;DATE($B$2,C$32+1,1)))</f>
        <v/>
      </c>
      <c r="D44" s="51">
        <f>IF($A44="","",SUMIFS(tblRaw[수수료],tblRaw[검사자],$A44,tblRaw[접수일자],"&gt;="&amp;DATE($B$2,D$32,1),tblRaw[접수일자],"&lt;"&amp;DATE($B$2,D$32+1,1)))</f>
        <v/>
      </c>
      <c r="E44" s="51">
        <f>IF($A44="","",SUMIFS(tblRaw[수수료],tblRaw[검사자],$A44,tblRaw[접수일자],"&gt;="&amp;DATE($B$2,E$32,1),tblRaw[접수일자],"&lt;"&amp;DATE($B$2,E$32+1,1)))</f>
        <v/>
      </c>
      <c r="F44" s="51">
        <f>IF($A44="","",SUMIFS(tblRaw[수수료],tblRaw[검사자],$A44,tblRaw[접수일자],"&gt;="&amp;DATE($B$2,F$32,1),tblRaw[접수일자],"&lt;"&amp;DATE($B$2,F$32+1,1)))</f>
        <v/>
      </c>
      <c r="G44" s="51">
        <f>IF($A44="","",SUMIFS(tblRaw[수수료],tblRaw[검사자],$A44,tblRaw[접수일자],"&gt;="&amp;DATE($B$2,G$32,1),tblRaw[접수일자],"&lt;"&amp;DATE($B$2,G$32+1,1)))</f>
        <v/>
      </c>
      <c r="H44" s="51">
        <f>IF($A44="","",SUMIFS(tblRaw[수수료],tblRaw[검사자],$A44,tblRaw[접수일자],"&gt;="&amp;DATE($B$2,H$32,1),tblRaw[접수일자],"&lt;"&amp;DATE($B$2,H$32+1,1)))</f>
        <v/>
      </c>
      <c r="I44" s="51">
        <f>IF($A44="","",SUMIFS(tblRaw[수수료],tblRaw[검사자],$A44,tblRaw[접수일자],"&gt;="&amp;DATE($B$2,I$32,1),tblRaw[접수일자],"&lt;"&amp;DATE($B$2,I$32+1,1)))</f>
        <v/>
      </c>
      <c r="J44" s="51">
        <f>IF($A44="","",SUMIFS(tblRaw[수수료],tblRaw[검사자],$A44,tblRaw[접수일자],"&gt;="&amp;DATE($B$2,J$32,1),tblRaw[접수일자],"&lt;"&amp;DATE($B$2,J$32+1,1)))</f>
        <v/>
      </c>
      <c r="K44" s="51">
        <f>IF($A44="","",SUMIFS(tblRaw[수수료],tblRaw[검사자],$A44,tblRaw[접수일자],"&gt;="&amp;DATE($B$2,K$32,1),tblRaw[접수일자],"&lt;"&amp;DATE($B$2,K$32+1,1)))</f>
        <v/>
      </c>
      <c r="L44" s="51">
        <f>IF($A44="","",SUMIFS(tblRaw[수수료],tblRaw[검사자],$A44,tblRaw[접수일자],"&gt;="&amp;DATE($B$2,L$32,1),tblRaw[접수일자],"&lt;"&amp;DATE($B$2,L$32+1,1)))</f>
        <v/>
      </c>
      <c r="M44" s="51">
        <f>IF($A44="","",SUMIFS(tblRaw[수수료],tblRaw[검사자],$A44,tblRaw[접수일자],"&gt;="&amp;DATE($B$2,M$32,1),tblRaw[접수일자],"&lt;"&amp;DATE($B$2,M$32+1,1)))</f>
        <v/>
      </c>
      <c r="N44" s="51">
        <f>IF($A44="","",SUM(B44:M44))</f>
        <v/>
      </c>
    </row>
    <row r="45">
      <c r="A45" s="46">
        <f>A18</f>
        <v/>
      </c>
      <c r="B45" s="51">
        <f>IF($A45="","",SUMIFS(tblRaw[수수료],tblRaw[검사자],$A45,tblRaw[접수일자],"&gt;="&amp;DATE($B$2,B$32,1),tblRaw[접수일자],"&lt;"&amp;DATE($B$2,B$32+1,1)))</f>
        <v/>
      </c>
      <c r="C45" s="51">
        <f>IF($A45="","",SUMIFS(tblRaw[수수료],tblRaw[검사자],$A45,tblRaw[접수일자],"&gt;="&amp;DATE($B$2,C$32,1),tblRaw[접수일자],"&lt;"&amp;DATE($B$2,C$32+1,1)))</f>
        <v/>
      </c>
      <c r="D45" s="51">
        <f>IF($A45="","",SUMIFS(tblRaw[수수료],tblRaw[검사자],$A45,tblRaw[접수일자],"&gt;="&amp;DATE($B$2,D$32,1),tblRaw[접수일자],"&lt;"&amp;DATE($B$2,D$32+1,1)))</f>
        <v/>
      </c>
      <c r="E45" s="51">
        <f>IF($A45="","",SUMIFS(tblRaw[수수료],tblRaw[검사자],$A45,tblRaw[접수일자],"&gt;="&amp;DATE($B$2,E$32,1),tblRaw[접수일자],"&lt;"&amp;DATE($B$2,E$32+1,1)))</f>
        <v/>
      </c>
      <c r="F45" s="51">
        <f>IF($A45="","",SUMIFS(tblRaw[수수료],tblRaw[검사자],$A45,tblRaw[접수일자],"&gt;="&amp;DATE($B$2,F$32,1),tblRaw[접수일자],"&lt;"&amp;DATE($B$2,F$32+1,1)))</f>
        <v/>
      </c>
      <c r="G45" s="51">
        <f>IF($A45="","",SUMIFS(tblRaw[수수료],tblRaw[검사자],$A45,tblRaw[접수일자],"&gt;="&amp;DATE($B$2,G$32,1),tblRaw[접수일자],"&lt;"&amp;DATE($B$2,G$32+1,1)))</f>
        <v/>
      </c>
      <c r="H45" s="51">
        <f>IF($A45="","",SUMIFS(tblRaw[수수료],tblRaw[검사자],$A45,tblRaw[접수일자],"&gt;="&amp;DATE($B$2,H$32,1),tblRaw[접수일자],"&lt;"&amp;DATE($B$2,H$32+1,1)))</f>
        <v/>
      </c>
      <c r="I45" s="51">
        <f>IF($A45="","",SUMIFS(tblRaw[수수료],tblRaw[검사자],$A45,tblRaw[접수일자],"&gt;="&amp;DATE($B$2,I$32,1),tblRaw[접수일자],"&lt;"&amp;DATE($B$2,I$32+1,1)))</f>
        <v/>
      </c>
      <c r="J45" s="51">
        <f>IF($A45="","",SUMIFS(tblRaw[수수료],tblRaw[검사자],$A45,tblRaw[접수일자],"&gt;="&amp;DATE($B$2,J$32,1),tblRaw[접수일자],"&lt;"&amp;DATE($B$2,J$32+1,1)))</f>
        <v/>
      </c>
      <c r="K45" s="51">
        <f>IF($A45="","",SUMIFS(tblRaw[수수료],tblRaw[검사자],$A45,tblRaw[접수일자],"&gt;="&amp;DATE($B$2,K$32,1),tblRaw[접수일자],"&lt;"&amp;DATE($B$2,K$32+1,1)))</f>
        <v/>
      </c>
      <c r="L45" s="51">
        <f>IF($A45="","",SUMIFS(tblRaw[수수료],tblRaw[검사자],$A45,tblRaw[접수일자],"&gt;="&amp;DATE($B$2,L$32,1),tblRaw[접수일자],"&lt;"&amp;DATE($B$2,L$32+1,1)))</f>
        <v/>
      </c>
      <c r="M45" s="51">
        <f>IF($A45="","",SUMIFS(tblRaw[수수료],tblRaw[검사자],$A45,tblRaw[접수일자],"&gt;="&amp;DATE($B$2,M$32,1),tblRaw[접수일자],"&lt;"&amp;DATE($B$2,M$32+1,1)))</f>
        <v/>
      </c>
      <c r="N45" s="51">
        <f>IF($A45="","",SUM(B45:M45))</f>
        <v/>
      </c>
    </row>
    <row r="46">
      <c r="A46" s="46">
        <f>A19</f>
        <v/>
      </c>
      <c r="B46" s="51">
        <f>IF($A46="","",SUMIFS(tblRaw[수수료],tblRaw[검사자],$A46,tblRaw[접수일자],"&gt;="&amp;DATE($B$2,B$32,1),tblRaw[접수일자],"&lt;"&amp;DATE($B$2,B$32+1,1)))</f>
        <v/>
      </c>
      <c r="C46" s="51">
        <f>IF($A46="","",SUMIFS(tblRaw[수수료],tblRaw[검사자],$A46,tblRaw[접수일자],"&gt;="&amp;DATE($B$2,C$32,1),tblRaw[접수일자],"&lt;"&amp;DATE($B$2,C$32+1,1)))</f>
        <v/>
      </c>
      <c r="D46" s="51">
        <f>IF($A46="","",SUMIFS(tblRaw[수수료],tblRaw[검사자],$A46,tblRaw[접수일자],"&gt;="&amp;DATE($B$2,D$32,1),tblRaw[접수일자],"&lt;"&amp;DATE($B$2,D$32+1,1)))</f>
        <v/>
      </c>
      <c r="E46" s="51">
        <f>IF($A46="","",SUMIFS(tblRaw[수수료],tblRaw[검사자],$A46,tblRaw[접수일자],"&gt;="&amp;DATE($B$2,E$32,1),tblRaw[접수일자],"&lt;"&amp;DATE($B$2,E$32+1,1)))</f>
        <v/>
      </c>
      <c r="F46" s="51">
        <f>IF($A46="","",SUMIFS(tblRaw[수수료],tblRaw[검사자],$A46,tblRaw[접수일자],"&gt;="&amp;DATE($B$2,F$32,1),tblRaw[접수일자],"&lt;"&amp;DATE($B$2,F$32+1,1)))</f>
        <v/>
      </c>
      <c r="G46" s="51">
        <f>IF($A46="","",SUMIFS(tblRaw[수수료],tblRaw[검사자],$A46,tblRaw[접수일자],"&gt;="&amp;DATE($B$2,G$32,1),tblRaw[접수일자],"&lt;"&amp;DATE($B$2,G$32+1,1)))</f>
        <v/>
      </c>
      <c r="H46" s="51">
        <f>IF($A46="","",SUMIFS(tblRaw[수수료],tblRaw[검사자],$A46,tblRaw[접수일자],"&gt;="&amp;DATE($B$2,H$32,1),tblRaw[접수일자],"&lt;"&amp;DATE($B$2,H$32+1,1)))</f>
        <v/>
      </c>
      <c r="I46" s="51">
        <f>IF($A46="","",SUMIFS(tblRaw[수수료],tblRaw[검사자],$A46,tblRaw[접수일자],"&gt;="&amp;DATE($B$2,I$32,1),tblRaw[접수일자],"&lt;"&amp;DATE($B$2,I$32+1,1)))</f>
        <v/>
      </c>
      <c r="J46" s="51">
        <f>IF($A46="","",SUMIFS(tblRaw[수수료],tblRaw[검사자],$A46,tblRaw[접수일자],"&gt;="&amp;DATE($B$2,J$32,1),tblRaw[접수일자],"&lt;"&amp;DATE($B$2,J$32+1,1)))</f>
        <v/>
      </c>
      <c r="K46" s="51">
        <f>IF($A46="","",SUMIFS(tblRaw[수수료],tblRaw[검사자],$A46,tblRaw[접수일자],"&gt;="&amp;DATE($B$2,K$32,1),tblRaw[접수일자],"&lt;"&amp;DATE($B$2,K$32+1,1)))</f>
        <v/>
      </c>
      <c r="L46" s="51">
        <f>IF($A46="","",SUMIFS(tblRaw[수수료],tblRaw[검사자],$A46,tblRaw[접수일자],"&gt;="&amp;DATE($B$2,L$32,1),tblRaw[접수일자],"&lt;"&amp;DATE($B$2,L$32+1,1)))</f>
        <v/>
      </c>
      <c r="M46" s="51">
        <f>IF($A46="","",SUMIFS(tblRaw[수수료],tblRaw[검사자],$A46,tblRaw[접수일자],"&gt;="&amp;DATE($B$2,M$32,1),tblRaw[접수일자],"&lt;"&amp;DATE($B$2,M$32+1,1)))</f>
        <v/>
      </c>
      <c r="N46" s="51">
        <f>IF($A46="","",SUM(B46:M46))</f>
        <v/>
      </c>
    </row>
    <row r="47">
      <c r="A47" s="46">
        <f>A20</f>
        <v/>
      </c>
      <c r="B47" s="51">
        <f>IF($A47="","",SUMIFS(tblRaw[수수료],tblRaw[검사자],$A47,tblRaw[접수일자],"&gt;="&amp;DATE($B$2,B$32,1),tblRaw[접수일자],"&lt;"&amp;DATE($B$2,B$32+1,1)))</f>
        <v/>
      </c>
      <c r="C47" s="51">
        <f>IF($A47="","",SUMIFS(tblRaw[수수료],tblRaw[검사자],$A47,tblRaw[접수일자],"&gt;="&amp;DATE($B$2,C$32,1),tblRaw[접수일자],"&lt;"&amp;DATE($B$2,C$32+1,1)))</f>
        <v/>
      </c>
      <c r="D47" s="51">
        <f>IF($A47="","",SUMIFS(tblRaw[수수료],tblRaw[검사자],$A47,tblRaw[접수일자],"&gt;="&amp;DATE($B$2,D$32,1),tblRaw[접수일자],"&lt;"&amp;DATE($B$2,D$32+1,1)))</f>
        <v/>
      </c>
      <c r="E47" s="51">
        <f>IF($A47="","",SUMIFS(tblRaw[수수료],tblRaw[검사자],$A47,tblRaw[접수일자],"&gt;="&amp;DATE($B$2,E$32,1),tblRaw[접수일자],"&lt;"&amp;DATE($B$2,E$32+1,1)))</f>
        <v/>
      </c>
      <c r="F47" s="51">
        <f>IF($A47="","",SUMIFS(tblRaw[수수료],tblRaw[검사자],$A47,tblRaw[접수일자],"&gt;="&amp;DATE($B$2,F$32,1),tblRaw[접수일자],"&lt;"&amp;DATE($B$2,F$32+1,1)))</f>
        <v/>
      </c>
      <c r="G47" s="51">
        <f>IF($A47="","",SUMIFS(tblRaw[수수료],tblRaw[검사자],$A47,tblRaw[접수일자],"&gt;="&amp;DATE($B$2,G$32,1),tblRaw[접수일자],"&lt;"&amp;DATE($B$2,G$32+1,1)))</f>
        <v/>
      </c>
      <c r="H47" s="51">
        <f>IF($A47="","",SUMIFS(tblRaw[수수료],tblRaw[검사자],$A47,tblRaw[접수일자],"&gt;="&amp;DATE($B$2,H$32,1),tblRaw[접수일자],"&lt;"&amp;DATE($B$2,H$32+1,1)))</f>
        <v/>
      </c>
      <c r="I47" s="51">
        <f>IF($A47="","",SUMIFS(tblRaw[수수료],tblRaw[검사자],$A47,tblRaw[접수일자],"&gt;="&amp;DATE($B$2,I$32,1),tblRaw[접수일자],"&lt;"&amp;DATE($B$2,I$32+1,1)))</f>
        <v/>
      </c>
      <c r="J47" s="51">
        <f>IF($A47="","",SUMIFS(tblRaw[수수료],tblRaw[검사자],$A47,tblRaw[접수일자],"&gt;="&amp;DATE($B$2,J$32,1),tblRaw[접수일자],"&lt;"&amp;DATE($B$2,J$32+1,1)))</f>
        <v/>
      </c>
      <c r="K47" s="51">
        <f>IF($A47="","",SUMIFS(tblRaw[수수료],tblRaw[검사자],$A47,tblRaw[접수일자],"&gt;="&amp;DATE($B$2,K$32,1),tblRaw[접수일자],"&lt;"&amp;DATE($B$2,K$32+1,1)))</f>
        <v/>
      </c>
      <c r="L47" s="51">
        <f>IF($A47="","",SUMIFS(tblRaw[수수료],tblRaw[검사자],$A47,tblRaw[접수일자],"&gt;="&amp;DATE($B$2,L$32,1),tblRaw[접수일자],"&lt;"&amp;DATE($B$2,L$32+1,1)))</f>
        <v/>
      </c>
      <c r="M47" s="51">
        <f>IF($A47="","",SUMIFS(tblRaw[수수료],tblRaw[검사자],$A47,tblRaw[접수일자],"&gt;="&amp;DATE($B$2,M$32,1),tblRaw[접수일자],"&lt;"&amp;DATE($B$2,M$32+1,1)))</f>
        <v/>
      </c>
      <c r="N47" s="51">
        <f>IF($A47="","",SUM(B47:M47))</f>
        <v/>
      </c>
    </row>
    <row r="48">
      <c r="A48" s="46">
        <f>A21</f>
        <v/>
      </c>
      <c r="B48" s="51">
        <f>IF($A48="","",SUMIFS(tblRaw[수수료],tblRaw[검사자],$A48,tblRaw[접수일자],"&gt;="&amp;DATE($B$2,B$32,1),tblRaw[접수일자],"&lt;"&amp;DATE($B$2,B$32+1,1)))</f>
        <v/>
      </c>
      <c r="C48" s="51">
        <f>IF($A48="","",SUMIFS(tblRaw[수수료],tblRaw[검사자],$A48,tblRaw[접수일자],"&gt;="&amp;DATE($B$2,C$32,1),tblRaw[접수일자],"&lt;"&amp;DATE($B$2,C$32+1,1)))</f>
        <v/>
      </c>
      <c r="D48" s="51">
        <f>IF($A48="","",SUMIFS(tblRaw[수수료],tblRaw[검사자],$A48,tblRaw[접수일자],"&gt;="&amp;DATE($B$2,D$32,1),tblRaw[접수일자],"&lt;"&amp;DATE($B$2,D$32+1,1)))</f>
        <v/>
      </c>
      <c r="E48" s="51">
        <f>IF($A48="","",SUMIFS(tblRaw[수수료],tblRaw[검사자],$A48,tblRaw[접수일자],"&gt;="&amp;DATE($B$2,E$32,1),tblRaw[접수일자],"&lt;"&amp;DATE($B$2,E$32+1,1)))</f>
        <v/>
      </c>
      <c r="F48" s="51">
        <f>IF($A48="","",SUMIFS(tblRaw[수수료],tblRaw[검사자],$A48,tblRaw[접수일자],"&gt;="&amp;DATE($B$2,F$32,1),tblRaw[접수일자],"&lt;"&amp;DATE($B$2,F$32+1,1)))</f>
        <v/>
      </c>
      <c r="G48" s="51">
        <f>IF($A48="","",SUMIFS(tblRaw[수수료],tblRaw[검사자],$A48,tblRaw[접수일자],"&gt;="&amp;DATE($B$2,G$32,1),tblRaw[접수일자],"&lt;"&amp;DATE($B$2,G$32+1,1)))</f>
        <v/>
      </c>
      <c r="H48" s="51">
        <f>IF($A48="","",SUMIFS(tblRaw[수수료],tblRaw[검사자],$A48,tblRaw[접수일자],"&gt;="&amp;DATE($B$2,H$32,1),tblRaw[접수일자],"&lt;"&amp;DATE($B$2,H$32+1,1)))</f>
        <v/>
      </c>
      <c r="I48" s="51">
        <f>IF($A48="","",SUMIFS(tblRaw[수수료],tblRaw[검사자],$A48,tblRaw[접수일자],"&gt;="&amp;DATE($B$2,I$32,1),tblRaw[접수일자],"&lt;"&amp;DATE($B$2,I$32+1,1)))</f>
        <v/>
      </c>
      <c r="J48" s="51">
        <f>IF($A48="","",SUMIFS(tblRaw[수수료],tblRaw[검사자],$A48,tblRaw[접수일자],"&gt;="&amp;DATE($B$2,J$32,1),tblRaw[접수일자],"&lt;"&amp;DATE($B$2,J$32+1,1)))</f>
        <v/>
      </c>
      <c r="K48" s="51">
        <f>IF($A48="","",SUMIFS(tblRaw[수수료],tblRaw[검사자],$A48,tblRaw[접수일자],"&gt;="&amp;DATE($B$2,K$32,1),tblRaw[접수일자],"&lt;"&amp;DATE($B$2,K$32+1,1)))</f>
        <v/>
      </c>
      <c r="L48" s="51">
        <f>IF($A48="","",SUMIFS(tblRaw[수수료],tblRaw[검사자],$A48,tblRaw[접수일자],"&gt;="&amp;DATE($B$2,L$32,1),tblRaw[접수일자],"&lt;"&amp;DATE($B$2,L$32+1,1)))</f>
        <v/>
      </c>
      <c r="M48" s="51">
        <f>IF($A48="","",SUMIFS(tblRaw[수수료],tblRaw[검사자],$A48,tblRaw[접수일자],"&gt;="&amp;DATE($B$2,M$32,1),tblRaw[접수일자],"&lt;"&amp;DATE($B$2,M$32+1,1)))</f>
        <v/>
      </c>
      <c r="N48" s="51">
        <f>IF($A48="","",SUM(B48:M48))</f>
        <v/>
      </c>
    </row>
    <row r="49">
      <c r="A49" s="46">
        <f>A22</f>
        <v/>
      </c>
      <c r="B49" s="51">
        <f>IF($A49="","",SUMIFS(tblRaw[수수료],tblRaw[검사자],$A49,tblRaw[접수일자],"&gt;="&amp;DATE($B$2,B$32,1),tblRaw[접수일자],"&lt;"&amp;DATE($B$2,B$32+1,1)))</f>
        <v/>
      </c>
      <c r="C49" s="51">
        <f>IF($A49="","",SUMIFS(tblRaw[수수료],tblRaw[검사자],$A49,tblRaw[접수일자],"&gt;="&amp;DATE($B$2,C$32,1),tblRaw[접수일자],"&lt;"&amp;DATE($B$2,C$32+1,1)))</f>
        <v/>
      </c>
      <c r="D49" s="51">
        <f>IF($A49="","",SUMIFS(tblRaw[수수료],tblRaw[검사자],$A49,tblRaw[접수일자],"&gt;="&amp;DATE($B$2,D$32,1),tblRaw[접수일자],"&lt;"&amp;DATE($B$2,D$32+1,1)))</f>
        <v/>
      </c>
      <c r="E49" s="51">
        <f>IF($A49="","",SUMIFS(tblRaw[수수료],tblRaw[검사자],$A49,tblRaw[접수일자],"&gt;="&amp;DATE($B$2,E$32,1),tblRaw[접수일자],"&lt;"&amp;DATE($B$2,E$32+1,1)))</f>
        <v/>
      </c>
      <c r="F49" s="51">
        <f>IF($A49="","",SUMIFS(tblRaw[수수료],tblRaw[검사자],$A49,tblRaw[접수일자],"&gt;="&amp;DATE($B$2,F$32,1),tblRaw[접수일자],"&lt;"&amp;DATE($B$2,F$32+1,1)))</f>
        <v/>
      </c>
      <c r="G49" s="51">
        <f>IF($A49="","",SUMIFS(tblRaw[수수료],tblRaw[검사자],$A49,tblRaw[접수일자],"&gt;="&amp;DATE($B$2,G$32,1),tblRaw[접수일자],"&lt;"&amp;DATE($B$2,G$32+1,1)))</f>
        <v/>
      </c>
      <c r="H49" s="51">
        <f>IF($A49="","",SUMIFS(tblRaw[수수료],tblRaw[검사자],$A49,tblRaw[접수일자],"&gt;="&amp;DATE($B$2,H$32,1),tblRaw[접수일자],"&lt;"&amp;DATE($B$2,H$32+1,1)))</f>
        <v/>
      </c>
      <c r="I49" s="51">
        <f>IF($A49="","",SUMIFS(tblRaw[수수료],tblRaw[검사자],$A49,tblRaw[접수일자],"&gt;="&amp;DATE($B$2,I$32,1),tblRaw[접수일자],"&lt;"&amp;DATE($B$2,I$32+1,1)))</f>
        <v/>
      </c>
      <c r="J49" s="51">
        <f>IF($A49="","",SUMIFS(tblRaw[수수료],tblRaw[검사자],$A49,tblRaw[접수일자],"&gt;="&amp;DATE($B$2,J$32,1),tblRaw[접수일자],"&lt;"&amp;DATE($B$2,J$32+1,1)))</f>
        <v/>
      </c>
      <c r="K49" s="51">
        <f>IF($A49="","",SUMIFS(tblRaw[수수료],tblRaw[검사자],$A49,tblRaw[접수일자],"&gt;="&amp;DATE($B$2,K$32,1),tblRaw[접수일자],"&lt;"&amp;DATE($B$2,K$32+1,1)))</f>
        <v/>
      </c>
      <c r="L49" s="51">
        <f>IF($A49="","",SUMIFS(tblRaw[수수료],tblRaw[검사자],$A49,tblRaw[접수일자],"&gt;="&amp;DATE($B$2,L$32,1),tblRaw[접수일자],"&lt;"&amp;DATE($B$2,L$32+1,1)))</f>
        <v/>
      </c>
      <c r="M49" s="51">
        <f>IF($A49="","",SUMIFS(tblRaw[수수료],tblRaw[검사자],$A49,tblRaw[접수일자],"&gt;="&amp;DATE($B$2,M$32,1),tblRaw[접수일자],"&lt;"&amp;DATE($B$2,M$32+1,1)))</f>
        <v/>
      </c>
      <c r="N49" s="51">
        <f>IF($A49="","",SUM(B49:M49))</f>
        <v/>
      </c>
    </row>
    <row r="50">
      <c r="A50" s="46">
        <f>A23</f>
        <v/>
      </c>
      <c r="B50" s="51">
        <f>IF($A50="","",SUMIFS(tblRaw[수수료],tblRaw[검사자],$A50,tblRaw[접수일자],"&gt;="&amp;DATE($B$2,B$32,1),tblRaw[접수일자],"&lt;"&amp;DATE($B$2,B$32+1,1)))</f>
        <v/>
      </c>
      <c r="C50" s="51">
        <f>IF($A50="","",SUMIFS(tblRaw[수수료],tblRaw[검사자],$A50,tblRaw[접수일자],"&gt;="&amp;DATE($B$2,C$32,1),tblRaw[접수일자],"&lt;"&amp;DATE($B$2,C$32+1,1)))</f>
        <v/>
      </c>
      <c r="D50" s="51">
        <f>IF($A50="","",SUMIFS(tblRaw[수수료],tblRaw[검사자],$A50,tblRaw[접수일자],"&gt;="&amp;DATE($B$2,D$32,1),tblRaw[접수일자],"&lt;"&amp;DATE($B$2,D$32+1,1)))</f>
        <v/>
      </c>
      <c r="E50" s="51">
        <f>IF($A50="","",SUMIFS(tblRaw[수수료],tblRaw[검사자],$A50,tblRaw[접수일자],"&gt;="&amp;DATE($B$2,E$32,1),tblRaw[접수일자],"&lt;"&amp;DATE($B$2,E$32+1,1)))</f>
        <v/>
      </c>
      <c r="F50" s="51">
        <f>IF($A50="","",SUMIFS(tblRaw[수수료],tblRaw[검사자],$A50,tblRaw[접수일자],"&gt;="&amp;DATE($B$2,F$32,1),tblRaw[접수일자],"&lt;"&amp;DATE($B$2,F$32+1,1)))</f>
        <v/>
      </c>
      <c r="G50" s="51">
        <f>IF($A50="","",SUMIFS(tblRaw[수수료],tblRaw[검사자],$A50,tblRaw[접수일자],"&gt;="&amp;DATE($B$2,G$32,1),tblRaw[접수일자],"&lt;"&amp;DATE($B$2,G$32+1,1)))</f>
        <v/>
      </c>
      <c r="H50" s="51">
        <f>IF($A50="","",SUMIFS(tblRaw[수수료],tblRaw[검사자],$A50,tblRaw[접수일자],"&gt;="&amp;DATE($B$2,H$32,1),tblRaw[접수일자],"&lt;"&amp;DATE($B$2,H$32+1,1)))</f>
        <v/>
      </c>
      <c r="I50" s="51">
        <f>IF($A50="","",SUMIFS(tblRaw[수수료],tblRaw[검사자],$A50,tblRaw[접수일자],"&gt;="&amp;DATE($B$2,I$32,1),tblRaw[접수일자],"&lt;"&amp;DATE($B$2,I$32+1,1)))</f>
        <v/>
      </c>
      <c r="J50" s="51">
        <f>IF($A50="","",SUMIFS(tblRaw[수수료],tblRaw[검사자],$A50,tblRaw[접수일자],"&gt;="&amp;DATE($B$2,J$32,1),tblRaw[접수일자],"&lt;"&amp;DATE($B$2,J$32+1,1)))</f>
        <v/>
      </c>
      <c r="K50" s="51">
        <f>IF($A50="","",SUMIFS(tblRaw[수수료],tblRaw[검사자],$A50,tblRaw[접수일자],"&gt;="&amp;DATE($B$2,K$32,1),tblRaw[접수일자],"&lt;"&amp;DATE($B$2,K$32+1,1)))</f>
        <v/>
      </c>
      <c r="L50" s="51">
        <f>IF($A50="","",SUMIFS(tblRaw[수수료],tblRaw[검사자],$A50,tblRaw[접수일자],"&gt;="&amp;DATE($B$2,L$32,1),tblRaw[접수일자],"&lt;"&amp;DATE($B$2,L$32+1,1)))</f>
        <v/>
      </c>
      <c r="M50" s="51">
        <f>IF($A50="","",SUMIFS(tblRaw[수수료],tblRaw[검사자],$A50,tblRaw[접수일자],"&gt;="&amp;DATE($B$2,M$32,1),tblRaw[접수일자],"&lt;"&amp;DATE($B$2,M$32+1,1)))</f>
        <v/>
      </c>
      <c r="N50" s="51">
        <f>IF($A50="","",SUM(B50:M50))</f>
        <v/>
      </c>
    </row>
    <row r="51">
      <c r="A51" s="46">
        <f>A24</f>
        <v/>
      </c>
      <c r="B51" s="51">
        <f>IF($A51="","",SUMIFS(tblRaw[수수료],tblRaw[검사자],$A51,tblRaw[접수일자],"&gt;="&amp;DATE($B$2,B$32,1),tblRaw[접수일자],"&lt;"&amp;DATE($B$2,B$32+1,1)))</f>
        <v/>
      </c>
      <c r="C51" s="51">
        <f>IF($A51="","",SUMIFS(tblRaw[수수료],tblRaw[검사자],$A51,tblRaw[접수일자],"&gt;="&amp;DATE($B$2,C$32,1),tblRaw[접수일자],"&lt;"&amp;DATE($B$2,C$32+1,1)))</f>
        <v/>
      </c>
      <c r="D51" s="51">
        <f>IF($A51="","",SUMIFS(tblRaw[수수료],tblRaw[검사자],$A51,tblRaw[접수일자],"&gt;="&amp;DATE($B$2,D$32,1),tblRaw[접수일자],"&lt;"&amp;DATE($B$2,D$32+1,1)))</f>
        <v/>
      </c>
      <c r="E51" s="51">
        <f>IF($A51="","",SUMIFS(tblRaw[수수료],tblRaw[검사자],$A51,tblRaw[접수일자],"&gt;="&amp;DATE($B$2,E$32,1),tblRaw[접수일자],"&lt;"&amp;DATE($B$2,E$32+1,1)))</f>
        <v/>
      </c>
      <c r="F51" s="51">
        <f>IF($A51="","",SUMIFS(tblRaw[수수료],tblRaw[검사자],$A51,tblRaw[접수일자],"&gt;="&amp;DATE($B$2,F$32,1),tblRaw[접수일자],"&lt;"&amp;DATE($B$2,F$32+1,1)))</f>
        <v/>
      </c>
      <c r="G51" s="51">
        <f>IF($A51="","",SUMIFS(tblRaw[수수료],tblRaw[검사자],$A51,tblRaw[접수일자],"&gt;="&amp;DATE($B$2,G$32,1),tblRaw[접수일자],"&lt;"&amp;DATE($B$2,G$32+1,1)))</f>
        <v/>
      </c>
      <c r="H51" s="51">
        <f>IF($A51="","",SUMIFS(tblRaw[수수료],tblRaw[검사자],$A51,tblRaw[접수일자],"&gt;="&amp;DATE($B$2,H$32,1),tblRaw[접수일자],"&lt;"&amp;DATE($B$2,H$32+1,1)))</f>
        <v/>
      </c>
      <c r="I51" s="51">
        <f>IF($A51="","",SUMIFS(tblRaw[수수료],tblRaw[검사자],$A51,tblRaw[접수일자],"&gt;="&amp;DATE($B$2,I$32,1),tblRaw[접수일자],"&lt;"&amp;DATE($B$2,I$32+1,1)))</f>
        <v/>
      </c>
      <c r="J51" s="51">
        <f>IF($A51="","",SUMIFS(tblRaw[수수료],tblRaw[검사자],$A51,tblRaw[접수일자],"&gt;="&amp;DATE($B$2,J$32,1),tblRaw[접수일자],"&lt;"&amp;DATE($B$2,J$32+1,1)))</f>
        <v/>
      </c>
      <c r="K51" s="51">
        <f>IF($A51="","",SUMIFS(tblRaw[수수료],tblRaw[검사자],$A51,tblRaw[접수일자],"&gt;="&amp;DATE($B$2,K$32,1),tblRaw[접수일자],"&lt;"&amp;DATE($B$2,K$32+1,1)))</f>
        <v/>
      </c>
      <c r="L51" s="51">
        <f>IF($A51="","",SUMIFS(tblRaw[수수료],tblRaw[검사자],$A51,tblRaw[접수일자],"&gt;="&amp;DATE($B$2,L$32,1),tblRaw[접수일자],"&lt;"&amp;DATE($B$2,L$32+1,1)))</f>
        <v/>
      </c>
      <c r="M51" s="51">
        <f>IF($A51="","",SUMIFS(tblRaw[수수료],tblRaw[검사자],$A51,tblRaw[접수일자],"&gt;="&amp;DATE($B$2,M$32,1),tblRaw[접수일자],"&lt;"&amp;DATE($B$2,M$32+1,1)))</f>
        <v/>
      </c>
      <c r="N51" s="51">
        <f>IF($A51="","",SUM(B51:M51))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I24"/>
  <sheetViews>
    <sheetView tabSelected="0" zoomScaleNormal="100" workbookViewId="0">
      <pane ySplit="1" topLeftCell="A2" activePane="bottomLeft" state="frozen"/>
      <selection pane="bottomLeft" activeCell="D29" sqref="D29"/>
    </sheetView>
  </sheetViews>
  <sheetFormatPr baseColWidth="8" defaultColWidth="8.6640625" defaultRowHeight="14.4"/>
  <cols>
    <col width="14" customWidth="1" style="22" min="1" max="1"/>
    <col width="9" customWidth="1" style="22" min="2" max="2"/>
    <col width="10" customWidth="1" style="22" min="3" max="3"/>
    <col width="10" customWidth="1" style="22" min="4" max="4"/>
    <col width="10" customWidth="1" style="22" min="5" max="5"/>
    <col width="62" customWidth="1" style="22" min="6" max="6"/>
    <col width="2" customWidth="1" style="22" min="7" max="7"/>
    <col width="18" customWidth="1" style="22" min="8" max="8"/>
    <col width="16" customWidth="1" style="22" min="9" max="9"/>
  </cols>
  <sheetData>
    <row r="1" ht="22" customHeight="1" s="22">
      <c r="A1" s="258" t="inlineStr">
        <is>
          <t>검사자명</t>
        </is>
      </c>
      <c r="B1" s="258" t="inlineStr">
        <is>
          <t>상태</t>
        </is>
      </c>
      <c r="C1" s="258" t="inlineStr">
        <is>
          <t>오늘근무</t>
        </is>
      </c>
      <c r="D1" s="259" t="n">
        <v>46266</v>
      </c>
      <c r="E1" s="259" t="n">
        <v>46296</v>
      </c>
      <c r="F1" s="258" t="inlineStr">
        <is>
          <t>비고</t>
        </is>
      </c>
      <c r="H1" s="258" t="inlineStr">
        <is>
          <t>별칭(오기/약칭)</t>
        </is>
      </c>
      <c r="I1" s="258" t="inlineStr">
        <is>
          <t>정규 검사자명</t>
        </is>
      </c>
    </row>
    <row r="2">
      <c r="A2" s="260" t="inlineStr">
        <is>
          <t>송낙명</t>
        </is>
      </c>
      <c r="B2" s="261" t="inlineStr">
        <is>
          <t>활성</t>
        </is>
      </c>
      <c r="C2" s="261" t="b">
        <v>1</v>
      </c>
      <c r="D2" s="261">
        <f>COUNTIFS(tblRaw[검사자],$A2,tblRaw[접수일자],"&gt;="&amp;D$1,tblRaw[접수일자],"&lt;"&amp;EDATE(D$1,1))</f>
        <v/>
      </c>
      <c r="E2" s="261">
        <f>COUNTIFS(tblRaw[검사자],$A2,tblRaw[접수일자],"&gt;="&amp;E$1,tblRaw[접수일자],"&lt;"&amp;EDATE(E$1,1))</f>
        <v/>
      </c>
      <c r="F2" s="262" t="inlineStr">
        <is>
          <t>9~10월 접수대장 기준 활성</t>
        </is>
      </c>
      <c r="H2" s="263" t="inlineStr">
        <is>
          <t>옹승환</t>
        </is>
      </c>
      <c r="I2" s="263" t="inlineStr">
        <is>
          <t>옹승완</t>
        </is>
      </c>
    </row>
    <row r="3">
      <c r="A3" s="260" t="inlineStr">
        <is>
          <t>허록종</t>
        </is>
      </c>
      <c r="B3" s="261" t="inlineStr">
        <is>
          <t>활성</t>
        </is>
      </c>
      <c r="C3" s="261" t="b">
        <v>1</v>
      </c>
      <c r="D3" s="261">
        <f>COUNTIFS(tblRaw[검사자],$A3,tblRaw[접수일자],"&gt;="&amp;D$1,tblRaw[접수일자],"&lt;"&amp;EDATE(D$1,1))</f>
        <v/>
      </c>
      <c r="E3" s="261">
        <f>COUNTIFS(tblRaw[검사자],$A3,tblRaw[접수일자],"&gt;="&amp;E$1,tblRaw[접수일자],"&lt;"&amp;EDATE(E$1,1))</f>
        <v/>
      </c>
      <c r="F3" s="262" t="inlineStr">
        <is>
          <t>9~10월 접수대장 기준 활성</t>
        </is>
      </c>
      <c r="H3" s="263" t="inlineStr">
        <is>
          <t>온승완</t>
        </is>
      </c>
      <c r="I3" s="263" t="inlineStr">
        <is>
          <t>옹승완</t>
        </is>
      </c>
    </row>
    <row r="4">
      <c r="A4" s="260" t="inlineStr">
        <is>
          <t>이덕기</t>
        </is>
      </c>
      <c r="B4" s="261" t="inlineStr">
        <is>
          <t>활성</t>
        </is>
      </c>
      <c r="C4" s="261" t="b">
        <v>1</v>
      </c>
      <c r="D4" s="261">
        <f>COUNTIFS(tblRaw[검사자],$A4,tblRaw[접수일자],"&gt;="&amp;D$1,tblRaw[접수일자],"&lt;"&amp;EDATE(D$1,1))</f>
        <v/>
      </c>
      <c r="E4" s="261">
        <f>COUNTIFS(tblRaw[검사자],$A4,tblRaw[접수일자],"&gt;="&amp;E$1,tblRaw[접수일자],"&lt;"&amp;EDATE(E$1,1))</f>
        <v/>
      </c>
      <c r="F4" s="262" t="inlineStr">
        <is>
          <t>9~10월 접수대장 기준 활성</t>
        </is>
      </c>
      <c r="H4" s="263" t="inlineStr">
        <is>
          <t>온승환</t>
        </is>
      </c>
      <c r="I4" s="263" t="inlineStr">
        <is>
          <t>옹승완</t>
        </is>
      </c>
    </row>
    <row r="5">
      <c r="A5" s="260" t="inlineStr">
        <is>
          <t>허창수</t>
        </is>
      </c>
      <c r="B5" s="261" t="inlineStr">
        <is>
          <t>활성</t>
        </is>
      </c>
      <c r="C5" s="261" t="b">
        <v>1</v>
      </c>
      <c r="D5" s="261">
        <f>COUNTIFS(tblRaw[검사자],$A5,tblRaw[접수일자],"&gt;="&amp;D$1,tblRaw[접수일자],"&lt;"&amp;EDATE(D$1,1))</f>
        <v/>
      </c>
      <c r="E5" s="261">
        <f>COUNTIFS(tblRaw[검사자],$A5,tblRaw[접수일자],"&gt;="&amp;E$1,tblRaw[접수일자],"&lt;"&amp;EDATE(E$1,1))</f>
        <v/>
      </c>
      <c r="F5" s="262" t="inlineStr">
        <is>
          <t>9~10월 접수대장 기준 활성</t>
        </is>
      </c>
      <c r="H5" s="263" t="inlineStr">
        <is>
          <t>옹승안</t>
        </is>
      </c>
      <c r="I5" s="263" t="inlineStr">
        <is>
          <t>옹승완</t>
        </is>
      </c>
    </row>
    <row r="6">
      <c r="A6" s="260" t="inlineStr">
        <is>
          <t>민재홍</t>
        </is>
      </c>
      <c r="B6" s="261" t="inlineStr">
        <is>
          <t>활성</t>
        </is>
      </c>
      <c r="C6" s="261" t="b">
        <v>1</v>
      </c>
      <c r="D6" s="261">
        <f>COUNTIFS(tblRaw[검사자],$A6,tblRaw[접수일자],"&gt;="&amp;D$1,tblRaw[접수일자],"&lt;"&amp;EDATE(D$1,1))</f>
        <v/>
      </c>
      <c r="E6" s="261">
        <f>COUNTIFS(tblRaw[검사자],$A6,tblRaw[접수일자],"&gt;="&amp;E$1,tblRaw[접수일자],"&lt;"&amp;EDATE(E$1,1))</f>
        <v/>
      </c>
      <c r="F6" s="262" t="inlineStr">
        <is>
          <t>9~10월 접수대장 기준 활성</t>
        </is>
      </c>
      <c r="H6" s="263" t="inlineStr">
        <is>
          <t>한태의</t>
        </is>
      </c>
      <c r="I6" s="263" t="inlineStr">
        <is>
          <t>한태희</t>
        </is>
      </c>
    </row>
    <row r="7">
      <c r="A7" s="260" t="inlineStr">
        <is>
          <t>이종석</t>
        </is>
      </c>
      <c r="B7" s="261" t="inlineStr">
        <is>
          <t>활성</t>
        </is>
      </c>
      <c r="C7" s="261" t="b">
        <v>1</v>
      </c>
      <c r="D7" s="261">
        <f>COUNTIFS(tblRaw[검사자],$A7,tblRaw[접수일자],"&gt;="&amp;D$1,tblRaw[접수일자],"&lt;"&amp;EDATE(D$1,1))</f>
        <v/>
      </c>
      <c r="E7" s="261">
        <f>COUNTIFS(tblRaw[검사자],$A7,tblRaw[접수일자],"&gt;="&amp;E$1,tblRaw[접수일자],"&lt;"&amp;EDATE(E$1,1))</f>
        <v/>
      </c>
      <c r="F7" s="262" t="inlineStr">
        <is>
          <t>9~10월 접수대장 기준 활성</t>
        </is>
      </c>
    </row>
    <row r="8">
      <c r="A8" s="260" t="inlineStr">
        <is>
          <t>한태희</t>
        </is>
      </c>
      <c r="B8" s="261" t="inlineStr">
        <is>
          <t>활성</t>
        </is>
      </c>
      <c r="C8" s="261" t="b">
        <v>1</v>
      </c>
      <c r="D8" s="261">
        <f>COUNTIFS(tblRaw[검사자],$A8,tblRaw[접수일자],"&gt;="&amp;D$1,tblRaw[접수일자],"&lt;"&amp;EDATE(D$1,1))</f>
        <v/>
      </c>
      <c r="E8" s="261">
        <f>COUNTIFS(tblRaw[검사자],$A8,tblRaw[접수일자],"&gt;="&amp;E$1,tblRaw[접수일자],"&lt;"&amp;EDATE(E$1,1))</f>
        <v/>
      </c>
      <c r="F8" s="262" t="inlineStr">
        <is>
          <t>9~10월 접수대장 기준 활성</t>
        </is>
      </c>
    </row>
    <row r="9">
      <c r="A9" s="260" t="inlineStr">
        <is>
          <t>서수형</t>
        </is>
      </c>
      <c r="B9" s="261" t="inlineStr">
        <is>
          <t>활성</t>
        </is>
      </c>
      <c r="C9" s="261" t="b">
        <v>1</v>
      </c>
      <c r="D9" s="261">
        <f>COUNTIFS(tblRaw[검사자],$A9,tblRaw[접수일자],"&gt;="&amp;D$1,tblRaw[접수일자],"&lt;"&amp;EDATE(D$1,1))</f>
        <v/>
      </c>
      <c r="E9" s="261">
        <f>COUNTIFS(tblRaw[검사자],$A9,tblRaw[접수일자],"&gt;="&amp;E$1,tblRaw[접수일자],"&lt;"&amp;EDATE(E$1,1))</f>
        <v/>
      </c>
      <c r="F9" s="262" t="inlineStr">
        <is>
          <t>9~10월 접수대장 기준 활성</t>
        </is>
      </c>
    </row>
    <row r="10">
      <c r="A10" s="260" t="inlineStr">
        <is>
          <t>옹승완</t>
        </is>
      </c>
      <c r="B10" s="261" t="inlineStr">
        <is>
          <t>활성</t>
        </is>
      </c>
      <c r="C10" s="261" t="b">
        <v>1</v>
      </c>
      <c r="D10" s="261">
        <f>COUNTIFS(tblRaw[검사자],$A10,tblRaw[접수일자],"&gt;="&amp;D$1,tblRaw[접수일자],"&lt;"&amp;EDATE(D$1,1))</f>
        <v/>
      </c>
      <c r="E10" s="261">
        <f>COUNTIFS(tblRaw[검사자],$A10,tblRaw[접수일자],"&gt;="&amp;E$1,tblRaw[접수일자],"&lt;"&amp;EDATE(E$1,1))</f>
        <v/>
      </c>
      <c r="F10" s="262" t="inlineStr">
        <is>
          <t>9~10월 접수대장 기준 활성</t>
        </is>
      </c>
    </row>
    <row r="11">
      <c r="A11" s="260" t="inlineStr">
        <is>
          <t>김영권</t>
        </is>
      </c>
      <c r="B11" s="261" t="inlineStr">
        <is>
          <t>활성</t>
        </is>
      </c>
      <c r="C11" s="261" t="b">
        <v>1</v>
      </c>
      <c r="D11" s="261">
        <f>COUNTIFS(tblRaw[검사자],$A11,tblRaw[접수일자],"&gt;="&amp;D$1,tblRaw[접수일자],"&lt;"&amp;EDATE(D$1,1))</f>
        <v/>
      </c>
      <c r="E11" s="261">
        <f>COUNTIFS(tblRaw[검사자],$A11,tblRaw[접수일자],"&gt;="&amp;E$1,tblRaw[접수일자],"&lt;"&amp;EDATE(E$1,1))</f>
        <v/>
      </c>
      <c r="F11" s="262" t="inlineStr">
        <is>
          <t>9~10월 접수대장 기준 활성</t>
        </is>
      </c>
    </row>
    <row r="12">
      <c r="A12" s="260" t="inlineStr">
        <is>
          <t>정성관</t>
        </is>
      </c>
      <c r="B12" s="261" t="inlineStr">
        <is>
          <t>활성</t>
        </is>
      </c>
      <c r="C12" s="261" t="b">
        <v>1</v>
      </c>
      <c r="D12" s="261">
        <f>COUNTIFS(tblRaw[검사자],$A12,tblRaw[접수일자],"&gt;="&amp;D$1,tblRaw[접수일자],"&lt;"&amp;EDATE(D$1,1))</f>
        <v/>
      </c>
      <c r="E12" s="261">
        <f>COUNTIFS(tblRaw[검사자],$A12,tblRaw[접수일자],"&gt;="&amp;E$1,tblRaw[접수일자],"&lt;"&amp;EDATE(E$1,1))</f>
        <v/>
      </c>
      <c r="F12" s="262" t="inlineStr">
        <is>
          <t>9~10월 접수대장 기준 활성</t>
        </is>
      </c>
    </row>
    <row r="13">
      <c r="A13" s="260" t="inlineStr">
        <is>
          <t>변종국</t>
        </is>
      </c>
      <c r="B13" s="261" t="inlineStr">
        <is>
          <t>활성</t>
        </is>
      </c>
      <c r="C13" s="261" t="b">
        <v>1</v>
      </c>
      <c r="D13" s="261">
        <f>COUNTIFS(tblRaw[검사자],$A13,tblRaw[접수일자],"&gt;="&amp;D$1,tblRaw[접수일자],"&lt;"&amp;EDATE(D$1,1))</f>
        <v/>
      </c>
      <c r="E13" s="261">
        <f>COUNTIFS(tblRaw[검사자],$A13,tblRaw[접수일자],"&gt;="&amp;E$1,tblRaw[접수일자],"&lt;"&amp;EDATE(E$1,1))</f>
        <v/>
      </c>
      <c r="F13" s="262" t="inlineStr">
        <is>
          <t>9~10월 접수대장 기준 활성</t>
        </is>
      </c>
    </row>
    <row r="14">
      <c r="A14" s="260" t="inlineStr">
        <is>
          <t>정신배</t>
        </is>
      </c>
      <c r="B14" s="261" t="inlineStr">
        <is>
          <t>활성</t>
        </is>
      </c>
      <c r="C14" s="261" t="b">
        <v>1</v>
      </c>
      <c r="D14" s="261">
        <f>COUNTIFS(tblRaw[검사자],$A14,tblRaw[접수일자],"&gt;="&amp;D$1,tblRaw[접수일자],"&lt;"&amp;EDATE(D$1,1))</f>
        <v/>
      </c>
      <c r="E14" s="261">
        <f>COUNTIFS(tblRaw[검사자],$A14,tblRaw[접수일자],"&gt;="&amp;E$1,tblRaw[접수일자],"&lt;"&amp;EDATE(E$1,1))</f>
        <v/>
      </c>
      <c r="F14" s="262" t="inlineStr">
        <is>
          <t>9~10월 접수대장 기준 활성</t>
        </is>
      </c>
    </row>
    <row r="15">
      <c r="A15" s="260" t="inlineStr">
        <is>
          <t>당효진</t>
        </is>
      </c>
      <c r="B15" s="261" t="inlineStr">
        <is>
          <t>활성</t>
        </is>
      </c>
      <c r="C15" s="261" t="b">
        <v>1</v>
      </c>
      <c r="D15" s="261">
        <f>COUNTIFS(tblRaw[검사자],$A15,tblRaw[접수일자],"&gt;="&amp;D$1,tblRaw[접수일자],"&lt;"&amp;EDATE(D$1,1))</f>
        <v/>
      </c>
      <c r="E15" s="261">
        <f>COUNTIFS(tblRaw[검사자],$A15,tblRaw[접수일자],"&gt;="&amp;E$1,tblRaw[접수일자],"&lt;"&amp;EDATE(E$1,1))</f>
        <v/>
      </c>
      <c r="F15" s="262" t="inlineStr">
        <is>
          <t>9~10월 접수대장 기준 활성</t>
        </is>
      </c>
    </row>
    <row r="16">
      <c r="A16" s="264" t="inlineStr">
        <is>
          <t>송두기</t>
        </is>
      </c>
      <c r="B16" s="265" t="inlineStr">
        <is>
          <t>비활성</t>
        </is>
      </c>
      <c r="C16" s="265" t="b">
        <v>0</v>
      </c>
      <c r="D16" s="265">
        <f>COUNTIFS(tblRaw[검사자],$A16,tblRaw[접수일자],"&gt;="&amp;D$1,tblRaw[접수일자],"&lt;"&amp;EDATE(D$1,1))</f>
        <v/>
      </c>
      <c r="E16" s="265">
        <f>COUNTIFS(tblRaw[검사자],$A16,tblRaw[접수일자],"&gt;="&amp;E$1,tblRaw[접수일자],"&lt;"&amp;EDATE(E$1,1))</f>
        <v/>
      </c>
      <c r="F16" s="266" t="inlineStr">
        <is>
          <t>9~10월 접수대장 기록 없음 (마지막 접수 2026-06-30) - 재직여부 확인 필요</t>
        </is>
      </c>
    </row>
    <row r="17">
      <c r="A17" s="264" t="inlineStr">
        <is>
          <t>민경수</t>
        </is>
      </c>
      <c r="B17" s="265" t="inlineStr">
        <is>
          <t>비활성</t>
        </is>
      </c>
      <c r="C17" s="265" t="b">
        <v>0</v>
      </c>
      <c r="D17" s="265">
        <f>COUNTIFS(tblRaw[검사자],$A17,tblRaw[접수일자],"&gt;="&amp;D$1,tblRaw[접수일자],"&lt;"&amp;EDATE(D$1,1))</f>
        <v/>
      </c>
      <c r="E17" s="265">
        <f>COUNTIFS(tblRaw[검사자],$A17,tblRaw[접수일자],"&gt;="&amp;E$1,tblRaw[접수일자],"&lt;"&amp;EDATE(E$1,1))</f>
        <v/>
      </c>
      <c r="F17" s="266" t="inlineStr">
        <is>
          <t>9~10월 접수대장 기록 없음 (마지막 접수 2026-06-30) - 재직여부 확인 필요</t>
        </is>
      </c>
    </row>
    <row r="18">
      <c r="A18" s="264" t="inlineStr">
        <is>
          <t>우승택</t>
        </is>
      </c>
      <c r="B18" s="265" t="inlineStr">
        <is>
          <t>비활성</t>
        </is>
      </c>
      <c r="C18" s="265" t="b">
        <v>0</v>
      </c>
      <c r="D18" s="265">
        <f>COUNTIFS(tblRaw[검사자],$A18,tblRaw[접수일자],"&gt;="&amp;D$1,tblRaw[접수일자],"&lt;"&amp;EDATE(D$1,1))</f>
        <v/>
      </c>
      <c r="E18" s="265">
        <f>COUNTIFS(tblRaw[검사자],$A18,tblRaw[접수일자],"&gt;="&amp;E$1,tblRaw[접수일자],"&lt;"&amp;EDATE(E$1,1))</f>
        <v/>
      </c>
      <c r="F18" s="266" t="inlineStr">
        <is>
          <t>9~10월 접수대장 기록 없음 (마지막 접수 2026-05-30) - 재직여부 확인 필요</t>
        </is>
      </c>
    </row>
    <row r="19">
      <c r="A19" s="264" t="inlineStr">
        <is>
          <t>김상규</t>
        </is>
      </c>
      <c r="B19" s="265" t="inlineStr">
        <is>
          <t>비활성</t>
        </is>
      </c>
      <c r="C19" s="265" t="b">
        <v>0</v>
      </c>
      <c r="D19" s="265">
        <f>COUNTIFS(tblRaw[검사자],$A19,tblRaw[접수일자],"&gt;="&amp;D$1,tblRaw[접수일자],"&lt;"&amp;EDATE(D$1,1))</f>
        <v/>
      </c>
      <c r="E19" s="265">
        <f>COUNTIFS(tblRaw[검사자],$A19,tblRaw[접수일자],"&gt;="&amp;E$1,tblRaw[접수일자],"&lt;"&amp;EDATE(E$1,1))</f>
        <v/>
      </c>
      <c r="F19" s="266" t="inlineStr">
        <is>
          <t>9~10월 접수대장 기록 없음 (마지막 접수 2025-01-10) - 재직여부 확인 필요</t>
        </is>
      </c>
    </row>
    <row r="20">
      <c r="A20" s="264" t="inlineStr">
        <is>
          <t>장현민</t>
        </is>
      </c>
      <c r="B20" s="265" t="inlineStr">
        <is>
          <t>비활성</t>
        </is>
      </c>
      <c r="C20" s="265" t="b">
        <v>0</v>
      </c>
      <c r="D20" s="265">
        <f>COUNTIFS(tblRaw[검사자],$A20,tblRaw[접수일자],"&gt;="&amp;D$1,tblRaw[접수일자],"&lt;"&amp;EDATE(D$1,1))</f>
        <v/>
      </c>
      <c r="E20" s="265">
        <f>COUNTIFS(tblRaw[검사자],$A20,tblRaw[접수일자],"&gt;="&amp;E$1,tblRaw[접수일자],"&lt;"&amp;EDATE(E$1,1))</f>
        <v/>
      </c>
      <c r="F20" s="266" t="inlineStr">
        <is>
          <t>9~10월 접수대장 기록 없음 (마지막 접수 2025-01-08) - 재직여부 확인 필요</t>
        </is>
      </c>
    </row>
    <row r="23">
      <c r="A23" s="267" t="inlineStr">
        <is>
          <t>※ 노란색 행 = 현재 활성 검사자(9~10월 접수대장 기준). 신규 채용/퇴사 시 이 표에서 행을 추가·상태 변경하면 됩니다 (코드 수정 불필요). 오늘근무=FALSE 이거나 10_원데이터에 휴가/교육 메모가 있는 날은 배분에서 자동 제외됩니다.</t>
        </is>
      </c>
    </row>
    <row r="24">
      <c r="A24" s="267" t="inlineStr">
        <is>
          <t>※ H:I열 = 접수대장에 잘못 적힌 이름 -&gt; 정규 이름. 10_원데이터에 입력하면 자동으로 정규 이름으로 바뀝니다. D1/E1 날짜를 바꾸면 해당 월의 건수로 집계됩니다.</t>
        </is>
      </c>
    </row>
  </sheetData>
  <dataValidations count="4">
    <dataValidation sqref="B2:B40" showDropDown="0" showInputMessage="0" showErrorMessage="0" allowBlank="0" type="list">
      <formula1>"활성,비활성"</formula1>
      <formula2>0</formula2>
    </dataValidation>
    <dataValidation sqref="C2:C40" showDropDown="0" showInputMessage="0" showErrorMessage="0" allowBlank="0" type="list">
      <formula1>"TRUE,FALSE"</formula1>
      <formula2>0</formula2>
    </dataValidation>
    <dataValidation sqref="B2:B40" showDropDown="0" showInputMessage="0" showErrorMessage="0" allowBlank="1" type="list">
      <formula1>"활성,비활성"</formula1>
    </dataValidation>
    <dataValidation sqref="C2:C40" showDropDown="0" showInputMessage="0" showErrorMessage="0" allowBlank="1" type="list">
      <formula1>"TRUE,FALSE"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D13"/>
  <sheetViews>
    <sheetView tabSelected="0" zoomScaleNormal="100" workbookViewId="0">
      <selection activeCell="A1" sqref="A1"/>
    </sheetView>
  </sheetViews>
  <sheetFormatPr baseColWidth="8" defaultColWidth="8.6640625" defaultRowHeight="14.4"/>
  <cols>
    <col width="24" customWidth="1" style="22" min="2" max="2"/>
    <col width="16" customWidth="1" style="22" min="3" max="3"/>
    <col width="45" customWidth="1" style="22" min="4" max="4"/>
  </cols>
  <sheetData>
    <row r="2" ht="15.6" customHeight="1" s="22">
      <c r="B2" s="2" t="inlineStr">
        <is>
          <t>프로그램 설정값 (하드코딩 금지 - 이 표만 수정하면 전체 로직에 반영됨)</t>
        </is>
      </c>
    </row>
    <row r="4">
      <c r="B4" s="9" t="inlineStr">
        <is>
          <t>운영시작시간</t>
        </is>
      </c>
      <c r="C4" s="5" t="inlineStr">
        <is>
          <t>09:30</t>
        </is>
      </c>
      <c r="D4" s="10" t="inlineStr">
        <is>
          <t>grid 첫 행 시간</t>
        </is>
      </c>
    </row>
    <row r="5">
      <c r="B5" s="9" t="inlineStr">
        <is>
          <t>운영종료시간</t>
        </is>
      </c>
      <c r="C5" s="5" t="inlineStr">
        <is>
          <t>18:00</t>
        </is>
      </c>
      <c r="D5" s="10" t="inlineStr">
        <is>
          <t>grid 마지막 행 시간</t>
        </is>
      </c>
    </row>
    <row r="6">
      <c r="B6" s="9" t="inlineStr">
        <is>
          <t>슬롯단위_분</t>
        </is>
      </c>
      <c r="C6" s="4" t="n">
        <v>30</v>
      </c>
      <c r="D6" s="8" t="inlineStr">
        <is>
          <t>시간축 한 칸의 길이(분)</t>
        </is>
      </c>
    </row>
    <row r="7">
      <c r="B7" s="9" t="inlineStr">
        <is>
          <t>정식설비기준용량_kW</t>
        </is>
      </c>
      <c r="C7" s="4" t="n">
        <v>1000</v>
      </c>
      <c r="D7" s="8" t="inlineStr">
        <is>
          <t>이 값 이상이면 정식설비로 간주</t>
        </is>
      </c>
    </row>
    <row r="8">
      <c r="B8" s="9" t="inlineStr">
        <is>
          <t>정식설비소요시간_분</t>
        </is>
      </c>
      <c r="C8" s="4" t="n">
        <v>120</v>
      </c>
      <c r="D8" s="8" t="inlineStr">
        <is>
          <t>용량 &gt;= 기준용량</t>
        </is>
      </c>
    </row>
    <row r="9">
      <c r="B9" s="9" t="inlineStr">
        <is>
          <t>약식설비소요시간_분</t>
        </is>
      </c>
      <c r="C9" s="4" t="n">
        <v>90</v>
      </c>
      <c r="D9" s="8" t="inlineStr">
        <is>
          <t>용량 &lt; 기준용량</t>
        </is>
      </c>
    </row>
    <row r="10">
      <c r="B10" s="9" t="inlineStr">
        <is>
          <t>온라인업무소요시간_분</t>
        </is>
      </c>
      <c r="C10" s="4" t="n">
        <v>30</v>
      </c>
      <c r="D10" s="8" t="inlineStr">
        <is>
          <t>용량 무관 고정</t>
        </is>
      </c>
    </row>
    <row r="11">
      <c r="B11" s="9" t="inlineStr">
        <is>
          <t>점심시간길이_분</t>
        </is>
      </c>
      <c r="C11" s="4" t="n">
        <v>60</v>
      </c>
      <c r="D11" s="8" t="inlineStr">
        <is>
          <t>검사자별 점심 배정 길이</t>
        </is>
      </c>
    </row>
    <row r="12">
      <c r="B12" s="9" t="inlineStr">
        <is>
          <t>점심탐색순서</t>
        </is>
      </c>
      <c r="C12" s="5" t="inlineStr">
        <is>
          <t>12:00,11:30,12:30,11:00,13:00,13:30,14:00</t>
        </is>
      </c>
      <c r="D12" s="8" t="inlineStr">
        <is>
          <t>쉼표로 구분, 왼쪽부터 우선 탐색</t>
        </is>
      </c>
    </row>
    <row r="13">
      <c r="B13" s="9" t="inlineStr">
        <is>
          <t>보드날짜(현황판 선택일, 자동)</t>
        </is>
      </c>
      <c r="C13" s="268" t="n">
        <v>46308</v>
      </c>
      <c r="D13" s="8" t="inlineStr">
        <is>
          <t>11_일일대장에서 선택한 날짜 (자동)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I130"/>
  <sheetViews>
    <sheetView tabSelected="0" zoomScaleNormal="100" workbookViewId="0">
      <pane ySplit="1" topLeftCell="A2" activePane="bottomLeft" state="frozen"/>
      <selection pane="bottomLeft" activeCell="A1" sqref="A1"/>
    </sheetView>
  </sheetViews>
  <sheetFormatPr baseColWidth="8" defaultColWidth="8.6640625" defaultRowHeight="14.4"/>
  <cols>
    <col width="22" customWidth="1" style="22" min="1" max="1"/>
    <col width="16" customWidth="1" style="22" min="2" max="2"/>
    <col width="11" customWidth="1" style="22" min="3" max="3"/>
    <col width="26" customWidth="1" style="22" min="4" max="4"/>
    <col width="10" customWidth="1" style="22" min="5" max="5"/>
    <col width="10" customWidth="1" style="22" min="6" max="6"/>
    <col width="44" customWidth="1" style="22" min="7" max="7"/>
    <col width="2" customWidth="1" style="22" min="8" max="8"/>
    <col width="60" customWidth="1" style="22" min="9" max="9"/>
  </cols>
  <sheetData>
    <row r="1" ht="26.4" customHeight="1" s="22">
      <c r="A1" s="258" t="inlineStr">
        <is>
          <t>지역(접수대장 표기)</t>
        </is>
      </c>
      <c r="B1" s="258" t="inlineStr">
        <is>
          <t>표준 지역명</t>
        </is>
      </c>
      <c r="C1" s="258" t="inlineStr">
        <is>
          <t>권역</t>
        </is>
      </c>
      <c r="D1" s="258" t="inlineStr">
        <is>
          <t>소속 클러스터(읍/면/동/구)</t>
        </is>
      </c>
      <c r="E1" s="258" t="inlineStr">
        <is>
          <t>신뢰도</t>
        </is>
      </c>
      <c r="F1" s="258" t="inlineStr">
        <is>
          <t>출현 횟수</t>
        </is>
      </c>
      <c r="G1" s="258" t="inlineStr">
        <is>
          <t>비고</t>
        </is>
      </c>
      <c r="I1" s="267" t="inlineStr">
        <is>
          <t>※ 04_리동매핑(지역-&gt;표준지역)과 14_지역권역표(지역-&gt;권역)를 하나로 통합했습니다. 10_원데이터의 [권역]을 비워 두면 C열로 자동 판정하고, 자동배분은 B열(표준지역)과 05_우선순위매트릭스로 인근 검사자를 고릅니다. 새 지역은 맨 아래에 추가하세요.</t>
        </is>
      </c>
    </row>
    <row r="2">
      <c r="A2" s="263" t="inlineStr">
        <is>
          <t>09:30:00</t>
        </is>
      </c>
      <c r="B2" s="263" t="inlineStr">
        <is>
          <t>(제외 대상)</t>
        </is>
      </c>
      <c r="C2" s="263" t="n"/>
      <c r="D2" s="263" t="n"/>
      <c r="E2" s="263" t="inlineStr">
        <is>
          <t>제외</t>
        </is>
      </c>
      <c r="F2" s="263">
        <f>COUNTIF(tblRaw[지역],$A2)</f>
        <v/>
      </c>
      <c r="G2" s="263" t="inlineStr">
        <is>
          <t>2026 접수대장 신규 표기: 시간값 오입력</t>
        </is>
      </c>
    </row>
    <row r="3">
      <c r="A3" s="263" t="inlineStr">
        <is>
          <t>가금리</t>
        </is>
      </c>
      <c r="B3" s="263" t="inlineStr">
        <is>
          <t>가금리</t>
        </is>
      </c>
      <c r="C3" s="263" t="inlineStr">
        <is>
          <t>김포지역</t>
        </is>
      </c>
      <c r="D3" s="263" t="inlineStr">
        <is>
          <t>하성면</t>
        </is>
      </c>
      <c r="E3" s="263" t="inlineStr">
        <is>
          <t>높음</t>
        </is>
      </c>
      <c r="F3" s="263">
        <f>COUNTIF(tblRaw[지역],$A3)</f>
        <v/>
      </c>
      <c r="G3" s="263" t="n"/>
    </row>
    <row r="4">
      <c r="A4" s="263" t="inlineStr">
        <is>
          <t>가현리</t>
        </is>
      </c>
      <c r="B4" s="263" t="inlineStr">
        <is>
          <t>가현리</t>
        </is>
      </c>
      <c r="C4" s="263" t="inlineStr">
        <is>
          <t>김포지역</t>
        </is>
      </c>
      <c r="D4" s="263" t="inlineStr">
        <is>
          <t>통진읍</t>
        </is>
      </c>
      <c r="E4" s="263" t="inlineStr">
        <is>
          <t>추정</t>
        </is>
      </c>
      <c r="F4" s="263">
        <f>COUNTIF(tblRaw[지역],$A4)</f>
        <v/>
      </c>
      <c r="G4" s="263" t="n"/>
    </row>
    <row r="5">
      <c r="A5" s="263" t="inlineStr">
        <is>
          <t>갈산리</t>
        </is>
      </c>
      <c r="B5" s="263" t="inlineStr">
        <is>
          <t>갈산리</t>
        </is>
      </c>
      <c r="C5" s="263" t="inlineStr">
        <is>
          <t>김포지역</t>
        </is>
      </c>
      <c r="D5" s="263" t="inlineStr">
        <is>
          <t>통진읍</t>
        </is>
      </c>
      <c r="E5" s="263" t="inlineStr">
        <is>
          <t>추정</t>
        </is>
      </c>
      <c r="F5" s="263">
        <f>COUNTIF(tblRaw[지역],$A5)</f>
        <v/>
      </c>
      <c r="G5" s="263" t="n"/>
    </row>
    <row r="6">
      <c r="A6" s="263" t="inlineStr">
        <is>
          <t>감정동</t>
        </is>
      </c>
      <c r="B6" s="263" t="inlineStr">
        <is>
          <t>감정동</t>
        </is>
      </c>
      <c r="C6" s="263" t="inlineStr">
        <is>
          <t>김포지역</t>
        </is>
      </c>
      <c r="D6" s="263" t="inlineStr">
        <is>
          <t>김포시가지</t>
        </is>
      </c>
      <c r="E6" s="263" t="inlineStr">
        <is>
          <t>높음</t>
        </is>
      </c>
      <c r="F6" s="263">
        <f>COUNTIF(tblRaw[지역],$A6)</f>
        <v/>
      </c>
      <c r="G6" s="263" t="n"/>
    </row>
    <row r="7">
      <c r="A7" s="263" t="inlineStr">
        <is>
          <t>개곡리</t>
        </is>
      </c>
      <c r="B7" s="263" t="inlineStr">
        <is>
          <t>개곡리</t>
        </is>
      </c>
      <c r="C7" s="263" t="inlineStr">
        <is>
          <t>김포지역</t>
        </is>
      </c>
      <c r="D7" s="263" t="inlineStr">
        <is>
          <t>양촌읍</t>
        </is>
      </c>
      <c r="E7" s="263" t="inlineStr">
        <is>
          <t>추정</t>
        </is>
      </c>
      <c r="F7" s="263">
        <f>COUNTIF(tblRaw[지역],$A7)</f>
        <v/>
      </c>
      <c r="G7" s="263" t="n"/>
    </row>
    <row r="8">
      <c r="A8" s="263" t="inlineStr">
        <is>
          <t>거물대리</t>
        </is>
      </c>
      <c r="B8" s="263" t="inlineStr">
        <is>
          <t>거물대리</t>
        </is>
      </c>
      <c r="C8" s="263" t="inlineStr">
        <is>
          <t>김포지역</t>
        </is>
      </c>
      <c r="D8" s="263" t="inlineStr">
        <is>
          <t>대곶면</t>
        </is>
      </c>
      <c r="E8" s="263" t="inlineStr">
        <is>
          <t>높음</t>
        </is>
      </c>
      <c r="F8" s="263">
        <f>COUNTIF(tblRaw[지역],$A8)</f>
        <v/>
      </c>
      <c r="G8" s="263" t="n"/>
    </row>
    <row r="9">
      <c r="A9" s="263" t="inlineStr">
        <is>
          <t>걸포동</t>
        </is>
      </c>
      <c r="B9" s="263" t="inlineStr">
        <is>
          <t>걸포동</t>
        </is>
      </c>
      <c r="C9" s="263" t="inlineStr">
        <is>
          <t>김포지역</t>
        </is>
      </c>
      <c r="D9" s="263" t="inlineStr">
        <is>
          <t>김포시가지</t>
        </is>
      </c>
      <c r="E9" s="263" t="inlineStr">
        <is>
          <t>높음</t>
        </is>
      </c>
      <c r="F9" s="263">
        <f>COUNTIF(tblRaw[지역],$A9)</f>
        <v/>
      </c>
      <c r="G9" s="263" t="n"/>
    </row>
    <row r="10">
      <c r="A10" s="263" t="inlineStr">
        <is>
          <t>계수동</t>
        </is>
      </c>
      <c r="B10" s="263" t="inlineStr">
        <is>
          <t>계수동</t>
        </is>
      </c>
      <c r="C10" s="263" t="inlineStr">
        <is>
          <t>부천지역</t>
        </is>
      </c>
      <c r="D10" s="263" t="inlineStr">
        <is>
          <t>소사구</t>
        </is>
      </c>
      <c r="E10" s="263" t="inlineStr">
        <is>
          <t>추정</t>
        </is>
      </c>
      <c r="F10" s="263">
        <f>COUNTIF(tblRaw[지역],$A10)</f>
        <v/>
      </c>
      <c r="G10" s="263" t="n"/>
    </row>
    <row r="11">
      <c r="A11" s="263" t="inlineStr">
        <is>
          <t>고강동</t>
        </is>
      </c>
      <c r="B11" s="263" t="inlineStr">
        <is>
          <t>고강동</t>
        </is>
      </c>
      <c r="C11" s="263" t="inlineStr">
        <is>
          <t>부천지역</t>
        </is>
      </c>
      <c r="D11" s="263" t="inlineStr">
        <is>
          <t>오정구</t>
        </is>
      </c>
      <c r="E11" s="263" t="inlineStr">
        <is>
          <t>높음</t>
        </is>
      </c>
      <c r="F11" s="263">
        <f>COUNTIF(tblRaw[지역],$A11)</f>
        <v/>
      </c>
      <c r="G11" s="263" t="n"/>
    </row>
    <row r="12">
      <c r="A12" s="263" t="inlineStr">
        <is>
          <t>고막리</t>
        </is>
      </c>
      <c r="B12" s="263" t="inlineStr">
        <is>
          <t>고막리</t>
        </is>
      </c>
      <c r="C12" s="263" t="inlineStr">
        <is>
          <t>김포지역</t>
        </is>
      </c>
      <c r="D12" s="263" t="inlineStr">
        <is>
          <t>하성면</t>
        </is>
      </c>
      <c r="E12" s="263" t="inlineStr">
        <is>
          <t>추정</t>
        </is>
      </c>
      <c r="F12" s="263">
        <f>COUNTIF(tblRaw[지역],$A12)</f>
        <v/>
      </c>
      <c r="G12" s="263" t="n"/>
    </row>
    <row r="13">
      <c r="A13" s="263" t="inlineStr">
        <is>
          <t>고양리</t>
        </is>
      </c>
      <c r="B13" s="263" t="inlineStr">
        <is>
          <t>고양리</t>
        </is>
      </c>
      <c r="C13" s="263" t="inlineStr">
        <is>
          <t>김포지역</t>
        </is>
      </c>
      <c r="D13" s="263" t="inlineStr">
        <is>
          <t>통진읍</t>
        </is>
      </c>
      <c r="E13" s="263" t="inlineStr">
        <is>
          <t>추정</t>
        </is>
      </c>
      <c r="F13" s="263">
        <f>COUNTIF(tblRaw[지역],$A13)</f>
        <v/>
      </c>
      <c r="G13" s="263" t="n"/>
    </row>
    <row r="14">
      <c r="A14" s="263" t="inlineStr">
        <is>
          <t>고정리</t>
        </is>
      </c>
      <c r="B14" s="263" t="inlineStr">
        <is>
          <t>고정리</t>
        </is>
      </c>
      <c r="C14" s="263" t="inlineStr">
        <is>
          <t>김포지역</t>
        </is>
      </c>
      <c r="D14" s="263" t="inlineStr">
        <is>
          <t>통진읍</t>
        </is>
      </c>
      <c r="E14" s="263" t="inlineStr">
        <is>
          <t>추정</t>
        </is>
      </c>
      <c r="F14" s="263">
        <f>COUNTIF(tblRaw[지역],$A14)</f>
        <v/>
      </c>
      <c r="G14" s="263" t="n"/>
    </row>
    <row r="15">
      <c r="A15" s="263" t="inlineStr">
        <is>
          <t>고촌</t>
        </is>
      </c>
      <c r="B15" s="263" t="inlineStr">
        <is>
          <t>고촌읍</t>
        </is>
      </c>
      <c r="C15" s="263" t="inlineStr">
        <is>
          <t>김포지역</t>
        </is>
      </c>
      <c r="D15" s="263" t="inlineStr">
        <is>
          <t>확인 필요</t>
        </is>
      </c>
      <c r="E15" s="263" t="inlineStr">
        <is>
          <t>미확인</t>
        </is>
      </c>
      <c r="F15" s="263">
        <f>COUNTIF(tblRaw[지역],$A15)</f>
        <v/>
      </c>
      <c r="G15" s="263" t="n"/>
    </row>
    <row r="16">
      <c r="A16" s="263" t="inlineStr">
        <is>
          <t>괴안동</t>
        </is>
      </c>
      <c r="B16" s="263" t="inlineStr">
        <is>
          <t>괴안동</t>
        </is>
      </c>
      <c r="C16" s="263" t="inlineStr">
        <is>
          <t>부천지역</t>
        </is>
      </c>
      <c r="D16" s="263" t="inlineStr">
        <is>
          <t>소사구</t>
        </is>
      </c>
      <c r="E16" s="263" t="inlineStr">
        <is>
          <t>높음</t>
        </is>
      </c>
      <c r="F16" s="263">
        <f>COUNTIF(tblRaw[지역],$A16)</f>
        <v/>
      </c>
      <c r="G16" s="263" t="n"/>
    </row>
    <row r="17">
      <c r="A17" s="263" t="inlineStr">
        <is>
          <t>괴안동ㄷ</t>
        </is>
      </c>
      <c r="B17" s="263" t="inlineStr">
        <is>
          <t>괴안동</t>
        </is>
      </c>
      <c r="C17" s="263" t="inlineStr">
        <is>
          <t>부천지역</t>
        </is>
      </c>
      <c r="D17" s="263" t="n"/>
      <c r="E17" s="263" t="inlineStr">
        <is>
          <t>추정</t>
        </is>
      </c>
      <c r="F17" s="263">
        <f>COUNTIF(tblRaw[지역],$A17)</f>
        <v/>
      </c>
      <c r="G17" s="263" t="inlineStr">
        <is>
          <t>2026 접수대장 신규 표기: 오기</t>
        </is>
      </c>
    </row>
    <row r="18">
      <c r="A18" s="263" t="inlineStr">
        <is>
          <t>구래동</t>
        </is>
      </c>
      <c r="B18" s="263" t="inlineStr">
        <is>
          <t>구래동</t>
        </is>
      </c>
      <c r="C18" s="263" t="inlineStr">
        <is>
          <t>김포지역</t>
        </is>
      </c>
      <c r="D18" s="263" t="inlineStr">
        <is>
          <t>김포시가지</t>
        </is>
      </c>
      <c r="E18" s="263" t="inlineStr">
        <is>
          <t>높음</t>
        </is>
      </c>
      <c r="F18" s="263">
        <f>COUNTIF(tblRaw[지역],$A18)</f>
        <v/>
      </c>
      <c r="G18" s="263" t="n"/>
    </row>
    <row r="19">
      <c r="A19" s="263" t="inlineStr">
        <is>
          <t>구래리</t>
        </is>
      </c>
      <c r="B19" s="263" t="inlineStr">
        <is>
          <t>구래리</t>
        </is>
      </c>
      <c r="C19" s="263" t="inlineStr">
        <is>
          <t>김포지역</t>
        </is>
      </c>
      <c r="D19" s="263" t="inlineStr">
        <is>
          <t>확인 필요</t>
        </is>
      </c>
      <c r="E19" s="263" t="inlineStr">
        <is>
          <t>미확인</t>
        </is>
      </c>
      <c r="F19" s="263">
        <f>COUNTIF(tblRaw[지역],$A19)</f>
        <v/>
      </c>
      <c r="G19" s="263" t="n"/>
    </row>
    <row r="20">
      <c r="A20" s="263" t="inlineStr">
        <is>
          <t>구래역</t>
        </is>
      </c>
      <c r="B20" s="263" t="inlineStr">
        <is>
          <t>구래동</t>
        </is>
      </c>
      <c r="C20" s="263" t="inlineStr">
        <is>
          <t>김포지역</t>
        </is>
      </c>
      <c r="D20" s="263" t="n"/>
      <c r="E20" s="263" t="inlineStr">
        <is>
          <t>추정</t>
        </is>
      </c>
      <c r="F20" s="263">
        <f>COUNTIF(tblRaw[지역],$A20)</f>
        <v/>
      </c>
      <c r="G20" s="263" t="inlineStr">
        <is>
          <t>2026 접수대장 신규 표기: 역 이름 -&gt; 동</t>
        </is>
      </c>
    </row>
    <row r="21">
      <c r="A21" s="263" t="inlineStr">
        <is>
          <t>군하로</t>
        </is>
      </c>
      <c r="B21" s="263" t="inlineStr">
        <is>
          <t>군하리</t>
        </is>
      </c>
      <c r="C21" s="263" t="inlineStr">
        <is>
          <t>김포지역</t>
        </is>
      </c>
      <c r="D21" s="263" t="inlineStr">
        <is>
          <t>월곶면</t>
        </is>
      </c>
      <c r="E21" s="263" t="inlineStr">
        <is>
          <t>높음</t>
        </is>
      </c>
      <c r="F21" s="263">
        <f>COUNTIF(tblRaw[지역],$A21)</f>
        <v/>
      </c>
      <c r="G21" s="263" t="n"/>
    </row>
    <row r="22">
      <c r="A22" s="263" t="inlineStr">
        <is>
          <t>군하리</t>
        </is>
      </c>
      <c r="B22" s="263" t="inlineStr">
        <is>
          <t>군하리</t>
        </is>
      </c>
      <c r="C22" s="263" t="inlineStr">
        <is>
          <t>김포지역</t>
        </is>
      </c>
      <c r="D22" s="263" t="inlineStr">
        <is>
          <t>월곶면</t>
        </is>
      </c>
      <c r="E22" s="263" t="inlineStr">
        <is>
          <t>높음</t>
        </is>
      </c>
      <c r="F22" s="263">
        <f>COUNTIF(tblRaw[지역],$A22)</f>
        <v/>
      </c>
      <c r="G22" s="263" t="n"/>
    </row>
    <row r="23">
      <c r="A23" s="263" t="inlineStr">
        <is>
          <t>귀전리</t>
        </is>
      </c>
      <c r="B23" s="263" t="inlineStr">
        <is>
          <t>귀전리</t>
        </is>
      </c>
      <c r="C23" s="263" t="inlineStr">
        <is>
          <t>김포지역</t>
        </is>
      </c>
      <c r="D23" s="263" t="inlineStr">
        <is>
          <t>통진읍</t>
        </is>
      </c>
      <c r="E23" s="263" t="inlineStr">
        <is>
          <t>추정</t>
        </is>
      </c>
      <c r="F23" s="263">
        <f>COUNTIF(tblRaw[지역],$A23)</f>
        <v/>
      </c>
      <c r="G23" s="263" t="n"/>
    </row>
    <row r="24">
      <c r="A24" s="263" t="inlineStr">
        <is>
          <t>내동</t>
        </is>
      </c>
      <c r="B24" s="263" t="inlineStr">
        <is>
          <t>내동</t>
        </is>
      </c>
      <c r="C24" s="263" t="inlineStr">
        <is>
          <t>부천지역</t>
        </is>
      </c>
      <c r="D24" s="263" t="inlineStr">
        <is>
          <t>오정구</t>
        </is>
      </c>
      <c r="E24" s="263" t="inlineStr">
        <is>
          <t>추정</t>
        </is>
      </c>
      <c r="F24" s="263">
        <f>COUNTIF(tblRaw[지역],$A24)</f>
        <v/>
      </c>
      <c r="G24" s="263" t="n"/>
    </row>
    <row r="25">
      <c r="A25" s="263" t="inlineStr">
        <is>
          <t>누산리</t>
        </is>
      </c>
      <c r="B25" s="263" t="inlineStr">
        <is>
          <t>누산리</t>
        </is>
      </c>
      <c r="C25" s="263" t="inlineStr">
        <is>
          <t>김포지역</t>
        </is>
      </c>
      <c r="D25" s="263" t="inlineStr">
        <is>
          <t>양촌읍</t>
        </is>
      </c>
      <c r="E25" s="263" t="inlineStr">
        <is>
          <t>높음</t>
        </is>
      </c>
      <c r="F25" s="263">
        <f>COUNTIF(tblRaw[지역],$A25)</f>
        <v/>
      </c>
      <c r="G25" s="263" t="n"/>
    </row>
    <row r="26">
      <c r="A26" s="263" t="inlineStr">
        <is>
          <t>대곶</t>
        </is>
      </c>
      <c r="B26" s="263" t="inlineStr">
        <is>
          <t>대곶면</t>
        </is>
      </c>
      <c r="C26" s="263" t="inlineStr">
        <is>
          <t>김포지역</t>
        </is>
      </c>
      <c r="D26" s="263" t="inlineStr">
        <is>
          <t>확인 필요</t>
        </is>
      </c>
      <c r="E26" s="263" t="inlineStr">
        <is>
          <t>미확인</t>
        </is>
      </c>
      <c r="F26" s="263">
        <f>COUNTIF(tblRaw[지역],$A26)</f>
        <v/>
      </c>
      <c r="G26" s="263" t="n"/>
    </row>
    <row r="27">
      <c r="A27" s="263" t="inlineStr">
        <is>
          <t>대곶,사우,마송</t>
        </is>
      </c>
      <c r="B27" s="263" t="inlineStr">
        <is>
          <t>(제외 대상)</t>
        </is>
      </c>
      <c r="C27" s="263" t="n"/>
      <c r="D27" s="263" t="inlineStr">
        <is>
          <t>데이터 오류/노이즈</t>
        </is>
      </c>
      <c r="E27" s="263" t="inlineStr">
        <is>
          <t>제외</t>
        </is>
      </c>
      <c r="F27" s="263">
        <f>COUNTIF(tblRaw[지역],$A27)</f>
        <v/>
      </c>
      <c r="G27" s="263" t="n"/>
    </row>
    <row r="28">
      <c r="A28" s="263" t="inlineStr">
        <is>
          <t>대능리</t>
        </is>
      </c>
      <c r="B28" s="263" t="inlineStr">
        <is>
          <t>대능리</t>
        </is>
      </c>
      <c r="C28" s="263" t="inlineStr">
        <is>
          <t>김포지역</t>
        </is>
      </c>
      <c r="D28" s="263" t="inlineStr">
        <is>
          <t>대곶면</t>
        </is>
      </c>
      <c r="E28" s="263" t="inlineStr">
        <is>
          <t>높음</t>
        </is>
      </c>
      <c r="F28" s="263">
        <f>COUNTIF(tblRaw[지역],$A28)</f>
        <v/>
      </c>
      <c r="G28" s="263" t="n"/>
    </row>
    <row r="29">
      <c r="A29" s="263" t="inlineStr">
        <is>
          <t>대멍리</t>
        </is>
      </c>
      <c r="B29" s="263" t="inlineStr">
        <is>
          <t>대명리</t>
        </is>
      </c>
      <c r="C29" s="263" t="inlineStr">
        <is>
          <t>김포지역</t>
        </is>
      </c>
      <c r="D29" s="263" t="n"/>
      <c r="E29" s="263" t="inlineStr">
        <is>
          <t>추정</t>
        </is>
      </c>
      <c r="F29" s="263">
        <f>COUNTIF(tblRaw[지역],$A29)</f>
        <v/>
      </c>
      <c r="G29" s="263" t="inlineStr">
        <is>
          <t>2026 접수대장 신규 표기: 오기</t>
        </is>
      </c>
    </row>
    <row r="30">
      <c r="A30" s="263" t="inlineStr">
        <is>
          <t>대명리</t>
        </is>
      </c>
      <c r="B30" s="263" t="inlineStr">
        <is>
          <t>대명리</t>
        </is>
      </c>
      <c r="C30" s="263" t="inlineStr">
        <is>
          <t>김포지역</t>
        </is>
      </c>
      <c r="D30" s="263" t="inlineStr">
        <is>
          <t>대곶면</t>
        </is>
      </c>
      <c r="E30" s="263" t="inlineStr">
        <is>
          <t>높음</t>
        </is>
      </c>
      <c r="F30" s="263">
        <f>COUNTIF(tblRaw[지역],$A30)</f>
        <v/>
      </c>
      <c r="G30" s="263" t="n"/>
    </row>
    <row r="31">
      <c r="A31" s="263" t="inlineStr">
        <is>
          <t>대벽리</t>
        </is>
      </c>
      <c r="B31" s="263" t="inlineStr">
        <is>
          <t>대벽리</t>
        </is>
      </c>
      <c r="C31" s="263" t="inlineStr">
        <is>
          <t>김포지역</t>
        </is>
      </c>
      <c r="D31" s="263" t="inlineStr">
        <is>
          <t>대곶면</t>
        </is>
      </c>
      <c r="E31" s="263" t="inlineStr">
        <is>
          <t>높음</t>
        </is>
      </c>
      <c r="F31" s="263">
        <f>COUNTIF(tblRaw[지역],$A31)</f>
        <v/>
      </c>
      <c r="G31" s="263" t="n"/>
    </row>
    <row r="32">
      <c r="A32" s="263" t="inlineStr">
        <is>
          <t>대장동</t>
        </is>
      </c>
      <c r="B32" s="263" t="inlineStr">
        <is>
          <t>대장동</t>
        </is>
      </c>
      <c r="C32" s="263" t="inlineStr">
        <is>
          <t>부천지역</t>
        </is>
      </c>
      <c r="D32" s="263" t="inlineStr">
        <is>
          <t>오정구</t>
        </is>
      </c>
      <c r="E32" s="263" t="inlineStr">
        <is>
          <t>높음</t>
        </is>
      </c>
      <c r="F32" s="263">
        <f>COUNTIF(tblRaw[지역],$A32)</f>
        <v/>
      </c>
      <c r="G32" s="263" t="n"/>
    </row>
    <row r="33">
      <c r="A33" s="263" t="inlineStr">
        <is>
          <t>대포리</t>
        </is>
      </c>
      <c r="B33" s="263" t="inlineStr">
        <is>
          <t>대포리</t>
        </is>
      </c>
      <c r="C33" s="263" t="inlineStr">
        <is>
          <t>김포지역</t>
        </is>
      </c>
      <c r="D33" s="263" t="inlineStr">
        <is>
          <t>양촌읍</t>
        </is>
      </c>
      <c r="E33" s="263" t="inlineStr">
        <is>
          <t>높음</t>
        </is>
      </c>
      <c r="F33" s="263">
        <f>COUNTIF(tblRaw[지역],$A33)</f>
        <v/>
      </c>
      <c r="G33" s="263" t="n"/>
    </row>
    <row r="34">
      <c r="A34" s="263" t="inlineStr">
        <is>
          <t>도당동</t>
        </is>
      </c>
      <c r="B34" s="263" t="inlineStr">
        <is>
          <t>도당동</t>
        </is>
      </c>
      <c r="C34" s="263" t="inlineStr">
        <is>
          <t>부천지역</t>
        </is>
      </c>
      <c r="D34" s="263" t="inlineStr">
        <is>
          <t>원미구</t>
        </is>
      </c>
      <c r="E34" s="263" t="inlineStr">
        <is>
          <t>높음</t>
        </is>
      </c>
      <c r="F34" s="263">
        <f>COUNTIF(tblRaw[지역],$A34)</f>
        <v/>
      </c>
      <c r="G34" s="263" t="n"/>
    </row>
    <row r="35">
      <c r="A35" s="263" t="inlineStr">
        <is>
          <t>도사리</t>
        </is>
      </c>
      <c r="B35" s="263" t="inlineStr">
        <is>
          <t>도사리</t>
        </is>
      </c>
      <c r="C35" s="263" t="inlineStr">
        <is>
          <t>김포지역</t>
        </is>
      </c>
      <c r="D35" s="263" t="inlineStr">
        <is>
          <t>통진읍</t>
        </is>
      </c>
      <c r="E35" s="263" t="inlineStr">
        <is>
          <t>추정</t>
        </is>
      </c>
      <c r="F35" s="263">
        <f>COUNTIF(tblRaw[지역],$A35)</f>
        <v/>
      </c>
      <c r="G35" s="263" t="n"/>
    </row>
    <row r="36">
      <c r="A36" s="263" t="inlineStr">
        <is>
          <t>동을산리</t>
        </is>
      </c>
      <c r="B36" s="263" t="inlineStr">
        <is>
          <t>동을산리</t>
        </is>
      </c>
      <c r="C36" s="263" t="inlineStr">
        <is>
          <t>김포지역</t>
        </is>
      </c>
      <c r="D36" s="263" t="inlineStr">
        <is>
          <t>통진읍</t>
        </is>
      </c>
      <c r="E36" s="263" t="inlineStr">
        <is>
          <t>추정</t>
        </is>
      </c>
      <c r="F36" s="263">
        <f>COUNTIF(tblRaw[지역],$A36)</f>
        <v/>
      </c>
      <c r="G36" s="263" t="n"/>
    </row>
    <row r="37">
      <c r="A37" s="263" t="inlineStr">
        <is>
          <t>마곡리</t>
        </is>
      </c>
      <c r="B37" s="263" t="inlineStr">
        <is>
          <t>마곡리</t>
        </is>
      </c>
      <c r="C37" s="263" t="inlineStr">
        <is>
          <t>김포지역</t>
        </is>
      </c>
      <c r="D37" s="263" t="inlineStr">
        <is>
          <t>하성면</t>
        </is>
      </c>
      <c r="E37" s="263" t="inlineStr">
        <is>
          <t>높음</t>
        </is>
      </c>
      <c r="F37" s="263">
        <f>COUNTIF(tblRaw[지역],$A37)</f>
        <v/>
      </c>
      <c r="G37" s="263" t="n"/>
    </row>
    <row r="38">
      <c r="A38" s="263" t="inlineStr">
        <is>
          <t>마산동</t>
        </is>
      </c>
      <c r="B38" s="263" t="inlineStr">
        <is>
          <t>마산동</t>
        </is>
      </c>
      <c r="C38" s="263" t="inlineStr">
        <is>
          <t>김포지역</t>
        </is>
      </c>
      <c r="D38" s="263" t="inlineStr">
        <is>
          <t>김포시가지</t>
        </is>
      </c>
      <c r="E38" s="263" t="inlineStr">
        <is>
          <t>높음</t>
        </is>
      </c>
      <c r="F38" s="263">
        <f>COUNTIF(tblRaw[지역],$A38)</f>
        <v/>
      </c>
      <c r="G38" s="263" t="n"/>
    </row>
    <row r="39">
      <c r="A39" s="263" t="inlineStr">
        <is>
          <t>마송리</t>
        </is>
      </c>
      <c r="B39" s="263" t="inlineStr">
        <is>
          <t>마송리</t>
        </is>
      </c>
      <c r="C39" s="263" t="inlineStr">
        <is>
          <t>김포지역</t>
        </is>
      </c>
      <c r="D39" s="263" t="inlineStr">
        <is>
          <t>통진읍</t>
        </is>
      </c>
      <c r="E39" s="263" t="inlineStr">
        <is>
          <t>높음</t>
        </is>
      </c>
      <c r="F39" s="263">
        <f>COUNTIF(tblRaw[지역],$A39)</f>
        <v/>
      </c>
      <c r="G39" s="263" t="n"/>
    </row>
    <row r="40">
      <c r="A40" s="263" t="inlineStr">
        <is>
          <t>마조리</t>
        </is>
      </c>
      <c r="B40" s="263" t="inlineStr">
        <is>
          <t>마조리</t>
        </is>
      </c>
      <c r="C40" s="263" t="inlineStr">
        <is>
          <t>김포지역</t>
        </is>
      </c>
      <c r="D40" s="263" t="inlineStr">
        <is>
          <t>하성면</t>
        </is>
      </c>
      <c r="E40" s="263" t="inlineStr">
        <is>
          <t>높음</t>
        </is>
      </c>
      <c r="F40" s="263">
        <f>COUNTIF(tblRaw[지역],$A40)</f>
        <v/>
      </c>
      <c r="G40" s="263" t="n"/>
    </row>
    <row r="41">
      <c r="A41" s="263" t="inlineStr">
        <is>
          <t>밥퍼</t>
        </is>
      </c>
      <c r="B41" s="263" t="inlineStr">
        <is>
          <t>(제외 대상)</t>
        </is>
      </c>
      <c r="C41" s="263" t="n"/>
      <c r="D41" s="263" t="inlineStr">
        <is>
          <t>데이터 오류/노이즈</t>
        </is>
      </c>
      <c r="E41" s="263" t="inlineStr">
        <is>
          <t>제외</t>
        </is>
      </c>
      <c r="F41" s="263">
        <f>COUNTIF(tblRaw[지역],$A41)</f>
        <v/>
      </c>
      <c r="G41" s="263" t="n"/>
    </row>
    <row r="42">
      <c r="A42" s="263" t="inlineStr">
        <is>
          <t>범박동</t>
        </is>
      </c>
      <c r="B42" s="263" t="inlineStr">
        <is>
          <t>범박동</t>
        </is>
      </c>
      <c r="C42" s="263" t="inlineStr">
        <is>
          <t>부천지역</t>
        </is>
      </c>
      <c r="D42" s="263" t="inlineStr">
        <is>
          <t>소사구</t>
        </is>
      </c>
      <c r="E42" s="263" t="inlineStr">
        <is>
          <t>높음</t>
        </is>
      </c>
      <c r="F42" s="263">
        <f>COUNTIF(tblRaw[지역],$A42)</f>
        <v/>
      </c>
      <c r="G42" s="263" t="n"/>
    </row>
    <row r="43">
      <c r="A43" s="263" t="inlineStr">
        <is>
          <t>범받공</t>
        </is>
      </c>
      <c r="B43" s="263" t="inlineStr">
        <is>
          <t>(제외 대상)</t>
        </is>
      </c>
      <c r="C43" s="263" t="n"/>
      <c r="D43" s="263" t="n"/>
      <c r="E43" s="263" t="inlineStr">
        <is>
          <t>제외</t>
        </is>
      </c>
      <c r="F43" s="263">
        <f>COUNTIF(tblRaw[지역],$A43)</f>
        <v/>
      </c>
      <c r="G43" s="263" t="inlineStr">
        <is>
          <t>2026 접수대장 신규 표기: 판독 불가</t>
        </is>
      </c>
    </row>
    <row r="44">
      <c r="A44" s="263" t="inlineStr">
        <is>
          <t>변종국</t>
        </is>
      </c>
      <c r="B44" s="263" t="inlineStr">
        <is>
          <t>(제외 대상)</t>
        </is>
      </c>
      <c r="C44" s="263" t="n"/>
      <c r="D44" s="263" t="n"/>
      <c r="E44" s="263" t="inlineStr">
        <is>
          <t>제외</t>
        </is>
      </c>
      <c r="F44" s="263">
        <f>COUNTIF(tblRaw[지역],$A44)</f>
        <v/>
      </c>
      <c r="G44" s="263" t="inlineStr">
        <is>
          <t>2026 접수대장 신규 표기: 이름 오입력</t>
        </is>
      </c>
    </row>
    <row r="45">
      <c r="A45" s="263" t="inlineStr">
        <is>
          <t>봉성리</t>
        </is>
      </c>
      <c r="B45" s="263" t="inlineStr">
        <is>
          <t>봉성리</t>
        </is>
      </c>
      <c r="C45" s="263" t="inlineStr">
        <is>
          <t>김포지역</t>
        </is>
      </c>
      <c r="D45" s="263" t="inlineStr">
        <is>
          <t>하성면</t>
        </is>
      </c>
      <c r="E45" s="263" t="inlineStr">
        <is>
          <t>높음</t>
        </is>
      </c>
      <c r="F45" s="263">
        <f>COUNTIF(tblRaw[지역],$A45)</f>
        <v/>
      </c>
      <c r="G45" s="263" t="n"/>
    </row>
    <row r="46">
      <c r="A46" s="263" t="inlineStr">
        <is>
          <t>부천역</t>
        </is>
      </c>
      <c r="B46" s="263" t="inlineStr">
        <is>
          <t>부천역</t>
        </is>
      </c>
      <c r="C46" s="263" t="inlineStr">
        <is>
          <t>부천지역</t>
        </is>
      </c>
      <c r="D46" s="263" t="inlineStr">
        <is>
          <t>확인 필요</t>
        </is>
      </c>
      <c r="E46" s="263" t="inlineStr">
        <is>
          <t>미확인</t>
        </is>
      </c>
      <c r="F46" s="263">
        <f>COUNTIF(tblRaw[지역],$A46)</f>
        <v/>
      </c>
      <c r="G46" s="263" t="n"/>
    </row>
    <row r="47">
      <c r="A47" s="263" t="inlineStr">
        <is>
          <t>북변동</t>
        </is>
      </c>
      <c r="B47" s="263" t="inlineStr">
        <is>
          <t>북변동</t>
        </is>
      </c>
      <c r="C47" s="263" t="inlineStr">
        <is>
          <t>김포지역</t>
        </is>
      </c>
      <c r="D47" s="263" t="inlineStr">
        <is>
          <t>김포시가지</t>
        </is>
      </c>
      <c r="E47" s="263" t="inlineStr">
        <is>
          <t>높음</t>
        </is>
      </c>
      <c r="F47" s="263">
        <f>COUNTIF(tblRaw[지역],$A47)</f>
        <v/>
      </c>
      <c r="G47" s="263" t="n"/>
    </row>
    <row r="48">
      <c r="A48" s="263" t="inlineStr">
        <is>
          <t>북변역</t>
        </is>
      </c>
      <c r="B48" s="263" t="inlineStr">
        <is>
          <t>북변동</t>
        </is>
      </c>
      <c r="C48" s="263" t="inlineStr">
        <is>
          <t>부천지역</t>
        </is>
      </c>
      <c r="D48" s="263" t="n"/>
      <c r="E48" s="263" t="inlineStr">
        <is>
          <t>추정</t>
        </is>
      </c>
      <c r="F48" s="263">
        <f>COUNTIF(tblRaw[지역],$A48)</f>
        <v/>
      </c>
      <c r="G48" s="263" t="inlineStr">
        <is>
          <t>2026 접수대장 신규 표기: 역 이름 -&gt; 동</t>
        </is>
      </c>
    </row>
    <row r="49">
      <c r="A49" s="263" t="inlineStr">
        <is>
          <t>사우동</t>
        </is>
      </c>
      <c r="B49" s="263" t="inlineStr">
        <is>
          <t>사우동</t>
        </is>
      </c>
      <c r="C49" s="263" t="inlineStr">
        <is>
          <t>김포지역</t>
        </is>
      </c>
      <c r="D49" s="263" t="inlineStr">
        <is>
          <t>김포시가지</t>
        </is>
      </c>
      <c r="E49" s="263" t="inlineStr">
        <is>
          <t>높음</t>
        </is>
      </c>
      <c r="F49" s="263">
        <f>COUNTIF(tblRaw[지역],$A49)</f>
        <v/>
      </c>
      <c r="G49" s="263" t="n"/>
    </row>
    <row r="50">
      <c r="A50" s="263" t="inlineStr">
        <is>
          <t>삼정동</t>
        </is>
      </c>
      <c r="B50" s="263" t="inlineStr">
        <is>
          <t>삼정동</t>
        </is>
      </c>
      <c r="C50" s="263" t="inlineStr">
        <is>
          <t>부천지역</t>
        </is>
      </c>
      <c r="D50" s="263" t="inlineStr">
        <is>
          <t>오정구</t>
        </is>
      </c>
      <c r="E50" s="263" t="inlineStr">
        <is>
          <t>높음</t>
        </is>
      </c>
      <c r="F50" s="263">
        <f>COUNTIF(tblRaw[지역],$A50)</f>
        <v/>
      </c>
      <c r="G50" s="263" t="n"/>
    </row>
    <row r="51">
      <c r="A51" s="263" t="inlineStr">
        <is>
          <t>상동</t>
        </is>
      </c>
      <c r="B51" s="263" t="inlineStr">
        <is>
          <t>상동</t>
        </is>
      </c>
      <c r="C51" s="263" t="inlineStr">
        <is>
          <t>부천지역</t>
        </is>
      </c>
      <c r="D51" s="263" t="inlineStr">
        <is>
          <t>원미구</t>
        </is>
      </c>
      <c r="E51" s="263" t="inlineStr">
        <is>
          <t>높음</t>
        </is>
      </c>
      <c r="F51" s="263">
        <f>COUNTIF(tblRaw[지역],$A51)</f>
        <v/>
      </c>
      <c r="G51" s="263" t="n"/>
    </row>
    <row r="52">
      <c r="A52" s="263" t="inlineStr">
        <is>
          <t>상동0</t>
        </is>
      </c>
      <c r="B52" s="263" t="inlineStr">
        <is>
          <t>상동</t>
        </is>
      </c>
      <c r="C52" s="263" t="inlineStr">
        <is>
          <t>부천지역</t>
        </is>
      </c>
      <c r="D52" s="263" t="inlineStr">
        <is>
          <t>원미구</t>
        </is>
      </c>
      <c r="E52" s="263" t="inlineStr">
        <is>
          <t>높음</t>
        </is>
      </c>
      <c r="F52" s="263">
        <f>COUNTIF(tblRaw[지역],$A52)</f>
        <v/>
      </c>
      <c r="G52" s="263" t="n"/>
    </row>
    <row r="53">
      <c r="A53" s="263" t="inlineStr">
        <is>
          <t>상마리</t>
        </is>
      </c>
      <c r="B53" s="263" t="inlineStr">
        <is>
          <t>상마리</t>
        </is>
      </c>
      <c r="C53" s="263" t="inlineStr">
        <is>
          <t>김포지역</t>
        </is>
      </c>
      <c r="D53" s="263" t="inlineStr">
        <is>
          <t>대곶면</t>
        </is>
      </c>
      <c r="E53" s="263" t="inlineStr">
        <is>
          <t>높음</t>
        </is>
      </c>
      <c r="F53" s="263">
        <f>COUNTIF(tblRaw[지역],$A53)</f>
        <v/>
      </c>
      <c r="G53" s="263" t="n"/>
    </row>
    <row r="54">
      <c r="A54" s="263" t="inlineStr">
        <is>
          <t>서암리</t>
        </is>
      </c>
      <c r="B54" s="263" t="inlineStr">
        <is>
          <t>서암리</t>
        </is>
      </c>
      <c r="C54" s="263" t="inlineStr">
        <is>
          <t>김포지역</t>
        </is>
      </c>
      <c r="D54" s="263" t="inlineStr">
        <is>
          <t>통진읍</t>
        </is>
      </c>
      <c r="E54" s="263" t="inlineStr">
        <is>
          <t>추정</t>
        </is>
      </c>
      <c r="F54" s="263">
        <f>COUNTIF(tblRaw[지역],$A54)</f>
        <v/>
      </c>
      <c r="G54" s="263" t="n"/>
    </row>
    <row r="55">
      <c r="A55" s="263" t="inlineStr">
        <is>
          <t>석모리</t>
        </is>
      </c>
      <c r="B55" s="263" t="inlineStr">
        <is>
          <t>석모리</t>
        </is>
      </c>
      <c r="C55" s="263" t="inlineStr">
        <is>
          <t>김포지역</t>
        </is>
      </c>
      <c r="D55" s="263" t="inlineStr">
        <is>
          <t>하성면</t>
        </is>
      </c>
      <c r="E55" s="263" t="inlineStr">
        <is>
          <t>높음</t>
        </is>
      </c>
      <c r="F55" s="263">
        <f>COUNTIF(tblRaw[지역],$A55)</f>
        <v/>
      </c>
      <c r="G55" s="263" t="n"/>
    </row>
    <row r="56">
      <c r="A56" s="263" t="inlineStr">
        <is>
          <t>석정리</t>
        </is>
      </c>
      <c r="B56" s="263" t="inlineStr">
        <is>
          <t>석정리</t>
        </is>
      </c>
      <c r="C56" s="263" t="inlineStr">
        <is>
          <t>김포지역</t>
        </is>
      </c>
      <c r="D56" s="263" t="inlineStr">
        <is>
          <t>확인 필요</t>
        </is>
      </c>
      <c r="E56" s="263" t="inlineStr">
        <is>
          <t>미확인</t>
        </is>
      </c>
      <c r="F56" s="263">
        <f>COUNTIF(tblRaw[지역],$A56)</f>
        <v/>
      </c>
      <c r="G56" s="263" t="n"/>
    </row>
    <row r="57">
      <c r="A57" s="263" t="inlineStr">
        <is>
          <t>석탄리</t>
        </is>
      </c>
      <c r="B57" s="263" t="inlineStr">
        <is>
          <t>석탄리</t>
        </is>
      </c>
      <c r="C57" s="263" t="inlineStr">
        <is>
          <t>김포지역</t>
        </is>
      </c>
      <c r="D57" s="263" t="inlineStr">
        <is>
          <t>대곶면</t>
        </is>
      </c>
      <c r="E57" s="263" t="inlineStr">
        <is>
          <t>높음</t>
        </is>
      </c>
      <c r="F57" s="263">
        <f>COUNTIF(tblRaw[지역],$A57)</f>
        <v/>
      </c>
      <c r="G57" s="263" t="n"/>
    </row>
    <row r="58">
      <c r="A58" s="263" t="inlineStr">
        <is>
          <t>성곡동</t>
        </is>
      </c>
      <c r="B58" s="263" t="inlineStr">
        <is>
          <t>성곡동</t>
        </is>
      </c>
      <c r="C58" s="263" t="inlineStr">
        <is>
          <t>부천지역</t>
        </is>
      </c>
      <c r="D58" s="263" t="inlineStr">
        <is>
          <t>오정구</t>
        </is>
      </c>
      <c r="E58" s="263" t="inlineStr">
        <is>
          <t>높음</t>
        </is>
      </c>
      <c r="F58" s="263">
        <f>COUNTIF(tblRaw[지역],$A58)</f>
        <v/>
      </c>
      <c r="G58" s="263" t="n"/>
    </row>
    <row r="59">
      <c r="A59" s="263" t="inlineStr">
        <is>
          <t>성동리</t>
        </is>
      </c>
      <c r="B59" s="263" t="inlineStr">
        <is>
          <t>성동리</t>
        </is>
      </c>
      <c r="C59" s="263" t="inlineStr">
        <is>
          <t>김포지역</t>
        </is>
      </c>
      <c r="D59" s="263" t="inlineStr">
        <is>
          <t>확인 필요</t>
        </is>
      </c>
      <c r="E59" s="263" t="inlineStr">
        <is>
          <t>미확인</t>
        </is>
      </c>
      <c r="F59" s="263">
        <f>COUNTIF(tblRaw[지역],$A59)</f>
        <v/>
      </c>
      <c r="G59" s="263" t="n"/>
    </row>
    <row r="60">
      <c r="A60" s="263" t="inlineStr">
        <is>
          <t>소사동</t>
        </is>
      </c>
      <c r="B60" s="263" t="inlineStr">
        <is>
          <t>소사동</t>
        </is>
      </c>
      <c r="C60" s="263" t="inlineStr">
        <is>
          <t>부천지역</t>
        </is>
      </c>
      <c r="D60" s="263" t="inlineStr">
        <is>
          <t>소사구</t>
        </is>
      </c>
      <c r="E60" s="263" t="inlineStr">
        <is>
          <t>높음</t>
        </is>
      </c>
      <c r="F60" s="263">
        <f>COUNTIF(tblRaw[지역],$A60)</f>
        <v/>
      </c>
      <c r="G60" s="263" t="n"/>
    </row>
    <row r="61">
      <c r="A61" s="263" t="inlineStr">
        <is>
          <t>소사본동</t>
        </is>
      </c>
      <c r="B61" s="263" t="inlineStr">
        <is>
          <t>소사본동</t>
        </is>
      </c>
      <c r="C61" s="263" t="inlineStr">
        <is>
          <t>부천지역</t>
        </is>
      </c>
      <c r="D61" s="263" t="inlineStr">
        <is>
          <t>소사구</t>
        </is>
      </c>
      <c r="E61" s="263" t="inlineStr">
        <is>
          <t>높음</t>
        </is>
      </c>
      <c r="F61" s="263">
        <f>COUNTIF(tblRaw[지역],$A61)</f>
        <v/>
      </c>
      <c r="G61" s="263" t="n"/>
    </row>
    <row r="62">
      <c r="A62" s="263" t="inlineStr">
        <is>
          <t>소사역</t>
        </is>
      </c>
      <c r="B62" s="263" t="inlineStr">
        <is>
          <t>소사역</t>
        </is>
      </c>
      <c r="C62" s="263" t="inlineStr">
        <is>
          <t>부천지역</t>
        </is>
      </c>
      <c r="D62" s="263" t="inlineStr">
        <is>
          <t>확인 필요</t>
        </is>
      </c>
      <c r="E62" s="263" t="inlineStr">
        <is>
          <t>미확인</t>
        </is>
      </c>
      <c r="F62" s="263">
        <f>COUNTIF(tblRaw[지역],$A62)</f>
        <v/>
      </c>
      <c r="G62" s="263" t="n"/>
    </row>
    <row r="63">
      <c r="A63" s="263" t="inlineStr">
        <is>
          <t>송낙명</t>
        </is>
      </c>
      <c r="B63" s="263" t="inlineStr">
        <is>
          <t>(제외 대상)</t>
        </is>
      </c>
      <c r="C63" s="263" t="n"/>
      <c r="D63" s="263" t="inlineStr">
        <is>
          <t>데이터 오류/노이즈</t>
        </is>
      </c>
      <c r="E63" s="263" t="inlineStr">
        <is>
          <t>제외</t>
        </is>
      </c>
      <c r="F63" s="263">
        <f>COUNTIF(tblRaw[지역],$A63)</f>
        <v/>
      </c>
      <c r="G63" s="263" t="n"/>
    </row>
    <row r="64">
      <c r="A64" s="263" t="inlineStr">
        <is>
          <t>송낙명-김영권</t>
        </is>
      </c>
      <c r="B64" s="263" t="inlineStr">
        <is>
          <t>(제외 대상)</t>
        </is>
      </c>
      <c r="C64" s="263" t="n"/>
      <c r="D64" s="263" t="inlineStr">
        <is>
          <t>데이터 오류/노이즈</t>
        </is>
      </c>
      <c r="E64" s="263" t="inlineStr">
        <is>
          <t>제외</t>
        </is>
      </c>
      <c r="F64" s="263">
        <f>COUNTIF(tblRaw[지역],$A64)</f>
        <v/>
      </c>
      <c r="G64" s="263" t="n"/>
    </row>
    <row r="65">
      <c r="A65" s="263" t="inlineStr">
        <is>
          <t>송내동</t>
        </is>
      </c>
      <c r="B65" s="263" t="inlineStr">
        <is>
          <t>송내동</t>
        </is>
      </c>
      <c r="C65" s="263" t="inlineStr">
        <is>
          <t>부천지역</t>
        </is>
      </c>
      <c r="D65" s="263" t="inlineStr">
        <is>
          <t>소사구</t>
        </is>
      </c>
      <c r="E65" s="263" t="inlineStr">
        <is>
          <t>높음</t>
        </is>
      </c>
      <c r="F65" s="263">
        <f>COUNTIF(tblRaw[지역],$A65)</f>
        <v/>
      </c>
      <c r="G65" s="263" t="n"/>
    </row>
    <row r="66">
      <c r="A66" s="263" t="inlineStr">
        <is>
          <t>송마리</t>
        </is>
      </c>
      <c r="B66" s="263" t="inlineStr">
        <is>
          <t>송마리</t>
        </is>
      </c>
      <c r="C66" s="263" t="inlineStr">
        <is>
          <t>김포지역</t>
        </is>
      </c>
      <c r="D66" s="263" t="inlineStr">
        <is>
          <t>대곶면</t>
        </is>
      </c>
      <c r="E66" s="263" t="inlineStr">
        <is>
          <t>추정</t>
        </is>
      </c>
      <c r="F66" s="263">
        <f>COUNTIF(tblRaw[지역],$A66)</f>
        <v/>
      </c>
      <c r="G66" s="263" t="n"/>
    </row>
    <row r="67">
      <c r="A67" s="263" t="inlineStr">
        <is>
          <t>쇄암로</t>
        </is>
      </c>
      <c r="B67" s="263" t="inlineStr">
        <is>
          <t>쇄암리</t>
        </is>
      </c>
      <c r="C67" s="263" t="inlineStr">
        <is>
          <t>김포지역</t>
        </is>
      </c>
      <c r="D67" s="263" t="inlineStr">
        <is>
          <t>대곶면</t>
        </is>
      </c>
      <c r="E67" s="263" t="inlineStr">
        <is>
          <t>높음</t>
        </is>
      </c>
      <c r="F67" s="263">
        <f>COUNTIF(tblRaw[지역],$A67)</f>
        <v/>
      </c>
      <c r="G67" s="263" t="n"/>
    </row>
    <row r="68">
      <c r="A68" s="263" t="inlineStr">
        <is>
          <t>쇄암리</t>
        </is>
      </c>
      <c r="B68" s="263" t="inlineStr">
        <is>
          <t>쇄암리</t>
        </is>
      </c>
      <c r="C68" s="263" t="inlineStr">
        <is>
          <t>김포지역</t>
        </is>
      </c>
      <c r="D68" s="263" t="inlineStr">
        <is>
          <t>대곶면</t>
        </is>
      </c>
      <c r="E68" s="263" t="inlineStr">
        <is>
          <t>높음</t>
        </is>
      </c>
      <c r="F68" s="263">
        <f>COUNTIF(tblRaw[지역],$A68)</f>
        <v/>
      </c>
      <c r="G68" s="263" t="n"/>
    </row>
    <row r="69">
      <c r="A69" s="263" t="inlineStr">
        <is>
          <t>수참리</t>
        </is>
      </c>
      <c r="B69" s="263" t="inlineStr">
        <is>
          <t>수참리</t>
        </is>
      </c>
      <c r="C69" s="263" t="inlineStr">
        <is>
          <t>김포지역</t>
        </is>
      </c>
      <c r="D69" s="263" t="inlineStr">
        <is>
          <t>통진읍</t>
        </is>
      </c>
      <c r="E69" s="263" t="inlineStr">
        <is>
          <t>추정</t>
        </is>
      </c>
      <c r="F69" s="263">
        <f>COUNTIF(tblRaw[지역],$A69)</f>
        <v/>
      </c>
      <c r="G69" s="263" t="n"/>
    </row>
    <row r="70">
      <c r="A70" s="263" t="inlineStr">
        <is>
          <t>시암리</t>
        </is>
      </c>
      <c r="B70" s="263" t="inlineStr">
        <is>
          <t>시암리</t>
        </is>
      </c>
      <c r="C70" s="263" t="inlineStr">
        <is>
          <t>김포지역</t>
        </is>
      </c>
      <c r="D70" s="263" t="inlineStr">
        <is>
          <t>하성면</t>
        </is>
      </c>
      <c r="E70" s="263" t="inlineStr">
        <is>
          <t>높음</t>
        </is>
      </c>
      <c r="F70" s="263">
        <f>COUNTIF(tblRaw[지역],$A70)</f>
        <v/>
      </c>
      <c r="G70" s="263" t="n"/>
    </row>
    <row r="71">
      <c r="A71" s="263" t="inlineStr">
        <is>
          <t>신곡리</t>
        </is>
      </c>
      <c r="B71" s="263" t="inlineStr">
        <is>
          <t>신곡리</t>
        </is>
      </c>
      <c r="C71" s="263" t="inlineStr">
        <is>
          <t>김포지역</t>
        </is>
      </c>
      <c r="D71" s="263" t="inlineStr">
        <is>
          <t>고촌읍</t>
        </is>
      </c>
      <c r="E71" s="263" t="inlineStr">
        <is>
          <t>높음</t>
        </is>
      </c>
      <c r="F71" s="263">
        <f>COUNTIF(tblRaw[지역],$A71)</f>
        <v/>
      </c>
      <c r="G71" s="263" t="n"/>
    </row>
    <row r="72">
      <c r="A72" s="263" t="inlineStr">
        <is>
          <t>신안리</t>
        </is>
      </c>
      <c r="B72" s="263" t="inlineStr">
        <is>
          <t>신안리</t>
        </is>
      </c>
      <c r="C72" s="263" t="inlineStr">
        <is>
          <t>김포지역</t>
        </is>
      </c>
      <c r="D72" s="263" t="inlineStr">
        <is>
          <t>대곶면</t>
        </is>
      </c>
      <c r="E72" s="263" t="inlineStr">
        <is>
          <t>높음</t>
        </is>
      </c>
      <c r="F72" s="263">
        <f>COUNTIF(tblRaw[지역],$A72)</f>
        <v/>
      </c>
      <c r="G72" s="263" t="n"/>
    </row>
    <row r="73">
      <c r="A73" s="263" t="inlineStr">
        <is>
          <t>심곡</t>
        </is>
      </c>
      <c r="B73" s="263" t="inlineStr">
        <is>
          <t>심곡동</t>
        </is>
      </c>
      <c r="C73" s="263" t="inlineStr">
        <is>
          <t>부천지역</t>
        </is>
      </c>
      <c r="D73" s="263" t="inlineStr">
        <is>
          <t>원미구</t>
        </is>
      </c>
      <c r="E73" s="263" t="inlineStr">
        <is>
          <t>높음</t>
        </is>
      </c>
      <c r="F73" s="263">
        <f>COUNTIF(tblRaw[지역],$A73)</f>
        <v/>
      </c>
      <c r="G73" s="263" t="n"/>
    </row>
    <row r="74">
      <c r="A74" s="263" t="inlineStr">
        <is>
          <t>심곡동</t>
        </is>
      </c>
      <c r="B74" s="263" t="inlineStr">
        <is>
          <t>심곡동</t>
        </is>
      </c>
      <c r="C74" s="263" t="inlineStr">
        <is>
          <t>부천지역</t>
        </is>
      </c>
      <c r="D74" s="263" t="inlineStr">
        <is>
          <t>원미구</t>
        </is>
      </c>
      <c r="E74" s="263" t="inlineStr">
        <is>
          <t>높음</t>
        </is>
      </c>
      <c r="F74" s="263">
        <f>COUNTIF(tblRaw[지역],$A74)</f>
        <v/>
      </c>
      <c r="G74" s="263" t="n"/>
    </row>
    <row r="75">
      <c r="A75" s="263" t="inlineStr">
        <is>
          <t>심곡본동</t>
        </is>
      </c>
      <c r="B75" s="263" t="inlineStr">
        <is>
          <t>심곡본동</t>
        </is>
      </c>
      <c r="C75" s="263" t="inlineStr">
        <is>
          <t>부천지역</t>
        </is>
      </c>
      <c r="D75" s="263" t="inlineStr">
        <is>
          <t>원미구</t>
        </is>
      </c>
      <c r="E75" s="263" t="inlineStr">
        <is>
          <t>높음</t>
        </is>
      </c>
      <c r="F75" s="263">
        <f>COUNTIF(tblRaw[지역],$A75)</f>
        <v/>
      </c>
      <c r="G75" s="263" t="n"/>
    </row>
    <row r="76">
      <c r="A76" s="263" t="inlineStr">
        <is>
          <t>약대동</t>
        </is>
      </c>
      <c r="B76" s="263" t="inlineStr">
        <is>
          <t>약대동</t>
        </is>
      </c>
      <c r="C76" s="263" t="inlineStr">
        <is>
          <t>부천지역</t>
        </is>
      </c>
      <c r="D76" s="263" t="inlineStr">
        <is>
          <t>오정구</t>
        </is>
      </c>
      <c r="E76" s="263" t="inlineStr">
        <is>
          <t>추정</t>
        </is>
      </c>
      <c r="F76" s="263">
        <f>COUNTIF(tblRaw[지역],$A76)</f>
        <v/>
      </c>
      <c r="G76" s="263" t="n"/>
    </row>
    <row r="77">
      <c r="A77" s="263" t="inlineStr">
        <is>
          <t>약암리</t>
        </is>
      </c>
      <c r="B77" s="263" t="inlineStr">
        <is>
          <t>약암리</t>
        </is>
      </c>
      <c r="C77" s="263" t="inlineStr">
        <is>
          <t>김포지역</t>
        </is>
      </c>
      <c r="D77" s="263" t="inlineStr">
        <is>
          <t>대곶면</t>
        </is>
      </c>
      <c r="E77" s="263" t="inlineStr">
        <is>
          <t>높음</t>
        </is>
      </c>
      <c r="F77" s="263">
        <f>COUNTIF(tblRaw[지역],$A77)</f>
        <v/>
      </c>
      <c r="G77" s="263" t="n"/>
    </row>
    <row r="78">
      <c r="A78" s="263" t="inlineStr">
        <is>
          <t>양곡</t>
        </is>
      </c>
      <c r="B78" s="263" t="inlineStr">
        <is>
          <t>양곡리</t>
        </is>
      </c>
      <c r="C78" s="263" t="inlineStr">
        <is>
          <t>김포지역</t>
        </is>
      </c>
      <c r="D78" s="263" t="n"/>
      <c r="E78" s="263" t="inlineStr">
        <is>
          <t>추정</t>
        </is>
      </c>
      <c r="F78" s="263">
        <f>COUNTIF(tblRaw[지역],$A78)</f>
        <v/>
      </c>
      <c r="G78" s="263" t="inlineStr">
        <is>
          <t>2026 접수대장 신규 표기: 표기 변형</t>
        </is>
      </c>
    </row>
    <row r="79">
      <c r="A79" s="263" t="inlineStr">
        <is>
          <t>양곡리</t>
        </is>
      </c>
      <c r="B79" s="263" t="inlineStr">
        <is>
          <t>양곡리</t>
        </is>
      </c>
      <c r="C79" s="263" t="inlineStr">
        <is>
          <t>김포지역</t>
        </is>
      </c>
      <c r="D79" s="263" t="inlineStr">
        <is>
          <t>양촌읍</t>
        </is>
      </c>
      <c r="E79" s="263" t="inlineStr">
        <is>
          <t>높음</t>
        </is>
      </c>
      <c r="F79" s="263">
        <f>COUNTIF(tblRaw[지역],$A79)</f>
        <v/>
      </c>
      <c r="G79" s="263" t="n"/>
    </row>
    <row r="80">
      <c r="A80" s="263" t="inlineStr">
        <is>
          <t>양촌</t>
        </is>
      </c>
      <c r="B80" s="263" t="inlineStr">
        <is>
          <t>양촌읍</t>
        </is>
      </c>
      <c r="C80" s="263" t="inlineStr">
        <is>
          <t>김포지역</t>
        </is>
      </c>
      <c r="D80" s="263" t="inlineStr">
        <is>
          <t>확인 필요</t>
        </is>
      </c>
      <c r="E80" s="263" t="inlineStr">
        <is>
          <t>미확인</t>
        </is>
      </c>
      <c r="F80" s="263">
        <f>COUNTIF(tblRaw[지역],$A80)</f>
        <v/>
      </c>
      <c r="G80" s="263" t="n"/>
    </row>
    <row r="81">
      <c r="A81" s="263" t="inlineStr">
        <is>
          <t>양촌역</t>
        </is>
      </c>
      <c r="B81" s="263" t="inlineStr">
        <is>
          <t>양촌읍</t>
        </is>
      </c>
      <c r="C81" s="263" t="inlineStr">
        <is>
          <t>부천지역</t>
        </is>
      </c>
      <c r="D81" s="263" t="n"/>
      <c r="E81" s="263" t="inlineStr">
        <is>
          <t>추정</t>
        </is>
      </c>
      <c r="F81" s="263">
        <f>COUNTIF(tblRaw[지역],$A81)</f>
        <v/>
      </c>
      <c r="G81" s="263" t="inlineStr">
        <is>
          <t>2026 접수대장 신규 표기: 역 이름 -&gt; 읍 (권역 확인 필요)</t>
        </is>
      </c>
    </row>
    <row r="82">
      <c r="A82" s="263" t="inlineStr">
        <is>
          <t>양택리</t>
        </is>
      </c>
      <c r="B82" s="263" t="inlineStr">
        <is>
          <t>양택리</t>
        </is>
      </c>
      <c r="C82" s="263" t="inlineStr">
        <is>
          <t>김포지역</t>
        </is>
      </c>
      <c r="D82" s="263" t="inlineStr">
        <is>
          <t>하성면</t>
        </is>
      </c>
      <c r="E82" s="263" t="inlineStr">
        <is>
          <t>높음</t>
        </is>
      </c>
      <c r="F82" s="263">
        <f>COUNTIF(tblRaw[지역],$A82)</f>
        <v/>
      </c>
      <c r="G82" s="263" t="n"/>
    </row>
    <row r="83">
      <c r="A83" s="263" t="inlineStr">
        <is>
          <t>여월</t>
        </is>
      </c>
      <c r="B83" s="263" t="inlineStr">
        <is>
          <t>여월동</t>
        </is>
      </c>
      <c r="C83" s="263" t="inlineStr">
        <is>
          <t>부천지역</t>
        </is>
      </c>
      <c r="D83" s="263" t="inlineStr">
        <is>
          <t>오정구</t>
        </is>
      </c>
      <c r="E83" s="263" t="inlineStr">
        <is>
          <t>높음</t>
        </is>
      </c>
      <c r="F83" s="263">
        <f>COUNTIF(tblRaw[지역],$A83)</f>
        <v/>
      </c>
      <c r="G83" s="263" t="n"/>
    </row>
    <row r="84">
      <c r="A84" s="263" t="inlineStr">
        <is>
          <t>여월동</t>
        </is>
      </c>
      <c r="B84" s="263" t="inlineStr">
        <is>
          <t>여월동</t>
        </is>
      </c>
      <c r="C84" s="263" t="inlineStr">
        <is>
          <t>부천지역</t>
        </is>
      </c>
      <c r="D84" s="263" t="inlineStr">
        <is>
          <t>오정구</t>
        </is>
      </c>
      <c r="E84" s="263" t="inlineStr">
        <is>
          <t>높음</t>
        </is>
      </c>
      <c r="F84" s="263">
        <f>COUNTIF(tblRaw[지역],$A84)</f>
        <v/>
      </c>
      <c r="G84" s="263" t="n"/>
    </row>
    <row r="85">
      <c r="A85" s="263" t="inlineStr">
        <is>
          <t>역곡</t>
        </is>
      </c>
      <c r="B85" s="263" t="inlineStr">
        <is>
          <t>역곡동</t>
        </is>
      </c>
      <c r="C85" s="263" t="inlineStr">
        <is>
          <t>부천지역</t>
        </is>
      </c>
      <c r="D85" s="263" t="inlineStr">
        <is>
          <t>원미구</t>
        </is>
      </c>
      <c r="E85" s="263" t="inlineStr">
        <is>
          <t>높음</t>
        </is>
      </c>
      <c r="F85" s="263">
        <f>COUNTIF(tblRaw[지역],$A85)</f>
        <v/>
      </c>
      <c r="G85" s="263" t="n"/>
    </row>
    <row r="86">
      <c r="A86" s="263" t="inlineStr">
        <is>
          <t>역곡동</t>
        </is>
      </c>
      <c r="B86" s="263" t="inlineStr">
        <is>
          <t>역곡동</t>
        </is>
      </c>
      <c r="C86" s="263" t="inlineStr">
        <is>
          <t>부천지역</t>
        </is>
      </c>
      <c r="D86" s="263" t="inlineStr">
        <is>
          <t>원미구</t>
        </is>
      </c>
      <c r="E86" s="263" t="inlineStr">
        <is>
          <t>높음</t>
        </is>
      </c>
      <c r="F86" s="263">
        <f>COUNTIF(tblRaw[지역],$A86)</f>
        <v/>
      </c>
      <c r="G86" s="263" t="n"/>
    </row>
    <row r="87">
      <c r="A87" s="263" t="inlineStr">
        <is>
          <t>오니산리</t>
        </is>
      </c>
      <c r="B87" s="263" t="inlineStr">
        <is>
          <t>오니산리</t>
        </is>
      </c>
      <c r="C87" s="263" t="inlineStr">
        <is>
          <t>김포지역</t>
        </is>
      </c>
      <c r="D87" s="263" t="inlineStr">
        <is>
          <t>대곶면</t>
        </is>
      </c>
      <c r="E87" s="263" t="inlineStr">
        <is>
          <t>높음</t>
        </is>
      </c>
      <c r="F87" s="263">
        <f>COUNTIF(tblRaw[지역],$A87)</f>
        <v/>
      </c>
      <c r="G87" s="263" t="n"/>
    </row>
    <row r="88">
      <c r="A88" s="263" t="inlineStr">
        <is>
          <t>오정동</t>
        </is>
      </c>
      <c r="B88" s="263" t="inlineStr">
        <is>
          <t>오정동</t>
        </is>
      </c>
      <c r="C88" s="263" t="inlineStr">
        <is>
          <t>부천지역</t>
        </is>
      </c>
      <c r="D88" s="263" t="inlineStr">
        <is>
          <t>오정구</t>
        </is>
      </c>
      <c r="E88" s="263" t="inlineStr">
        <is>
          <t>높음</t>
        </is>
      </c>
      <c r="F88" s="263">
        <f>COUNTIF(tblRaw[지역],$A88)</f>
        <v/>
      </c>
      <c r="G88" s="263" t="n"/>
    </row>
    <row r="89">
      <c r="A89" s="263" t="inlineStr">
        <is>
          <t>옥길동</t>
        </is>
      </c>
      <c r="B89" s="263" t="inlineStr">
        <is>
          <t>옥길동</t>
        </is>
      </c>
      <c r="C89" s="263" t="inlineStr">
        <is>
          <t>부천지역</t>
        </is>
      </c>
      <c r="D89" s="263" t="inlineStr">
        <is>
          <t>소사구</t>
        </is>
      </c>
      <c r="E89" s="263" t="inlineStr">
        <is>
          <t>높음</t>
        </is>
      </c>
      <c r="F89" s="263">
        <f>COUNTIF(tblRaw[지역],$A89)</f>
        <v/>
      </c>
      <c r="G89" s="263" t="n"/>
    </row>
    <row r="90">
      <c r="A90" s="263" t="inlineStr">
        <is>
          <t>옹정리</t>
        </is>
      </c>
      <c r="B90" s="263" t="inlineStr">
        <is>
          <t>옹정리</t>
        </is>
      </c>
      <c r="C90" s="263" t="inlineStr">
        <is>
          <t>김포지역</t>
        </is>
      </c>
      <c r="D90" s="263" t="inlineStr">
        <is>
          <t>통진읍</t>
        </is>
      </c>
      <c r="E90" s="263" t="inlineStr">
        <is>
          <t>추정</t>
        </is>
      </c>
      <c r="F90" s="263">
        <f>COUNTIF(tblRaw[지역],$A90)</f>
        <v/>
      </c>
      <c r="G90" s="263" t="n"/>
    </row>
    <row r="91">
      <c r="A91" s="263" t="inlineStr">
        <is>
          <t>용강리</t>
        </is>
      </c>
      <c r="B91" s="263" t="inlineStr">
        <is>
          <t>용강리</t>
        </is>
      </c>
      <c r="C91" s="263" t="inlineStr">
        <is>
          <t>김포지역</t>
        </is>
      </c>
      <c r="D91" s="263" t="inlineStr">
        <is>
          <t>고촌읍</t>
        </is>
      </c>
      <c r="E91" s="263" t="inlineStr">
        <is>
          <t>추정(미확인)</t>
        </is>
      </c>
      <c r="F91" s="263">
        <f>COUNTIF(tblRaw[지역],$A91)</f>
        <v/>
      </c>
      <c r="G91" s="263" t="n"/>
    </row>
    <row r="92">
      <c r="A92" s="263" t="inlineStr">
        <is>
          <t>우승택</t>
        </is>
      </c>
      <c r="B92" s="263" t="inlineStr">
        <is>
          <t>(제외 대상)</t>
        </is>
      </c>
      <c r="C92" s="263" t="n"/>
      <c r="D92" s="263" t="inlineStr">
        <is>
          <t>데이터 오류/노이즈</t>
        </is>
      </c>
      <c r="E92" s="263" t="inlineStr">
        <is>
          <t>제외</t>
        </is>
      </c>
      <c r="F92" s="263">
        <f>COUNTIF(tblRaw[지역],$A92)</f>
        <v/>
      </c>
      <c r="G92" s="263" t="n"/>
    </row>
    <row r="93">
      <c r="A93" s="263" t="inlineStr">
        <is>
          <t>운양동</t>
        </is>
      </c>
      <c r="B93" s="263" t="inlineStr">
        <is>
          <t>운양동</t>
        </is>
      </c>
      <c r="C93" s="263" t="inlineStr">
        <is>
          <t>김포지역</t>
        </is>
      </c>
      <c r="D93" s="263" t="inlineStr">
        <is>
          <t>김포시가지</t>
        </is>
      </c>
      <c r="E93" s="263" t="inlineStr">
        <is>
          <t>높음</t>
        </is>
      </c>
      <c r="F93" s="263">
        <f>COUNTIF(tblRaw[지역],$A93)</f>
        <v/>
      </c>
      <c r="G93" s="263" t="n"/>
    </row>
    <row r="94">
      <c r="A94" s="263" t="inlineStr">
        <is>
          <t>운양역</t>
        </is>
      </c>
      <c r="B94" s="263" t="inlineStr">
        <is>
          <t>운양동</t>
        </is>
      </c>
      <c r="C94" s="263" t="inlineStr">
        <is>
          <t>김포지역</t>
        </is>
      </c>
      <c r="D94" s="263" t="n"/>
      <c r="E94" s="263" t="inlineStr">
        <is>
          <t>추정</t>
        </is>
      </c>
      <c r="F94" s="263">
        <f>COUNTIF(tblRaw[지역],$A94)</f>
        <v/>
      </c>
      <c r="G94" s="263" t="inlineStr">
        <is>
          <t>2026 접수대장 신규 표기: 역 이름 -&gt; 동</t>
        </is>
      </c>
    </row>
    <row r="95">
      <c r="A95" s="263" t="inlineStr">
        <is>
          <t>워님동</t>
        </is>
      </c>
      <c r="B95" s="263" t="inlineStr">
        <is>
          <t>(제외 대상)</t>
        </is>
      </c>
      <c r="C95" s="263" t="n"/>
      <c r="D95" s="263" t="n"/>
      <c r="E95" s="263" t="inlineStr">
        <is>
          <t>제외</t>
        </is>
      </c>
      <c r="F95" s="263">
        <f>COUNTIF(tblRaw[지역],$A95)</f>
        <v/>
      </c>
      <c r="G95" s="263" t="inlineStr">
        <is>
          <t>2026 접수대장 신규 표기: 판독 불가</t>
        </is>
      </c>
    </row>
    <row r="96">
      <c r="A96" s="263" t="inlineStr">
        <is>
          <t>원미동</t>
        </is>
      </c>
      <c r="B96" s="263" t="inlineStr">
        <is>
          <t>원미동</t>
        </is>
      </c>
      <c r="C96" s="263" t="inlineStr">
        <is>
          <t>부천지역</t>
        </is>
      </c>
      <c r="D96" s="263" t="inlineStr">
        <is>
          <t>원미구</t>
        </is>
      </c>
      <c r="E96" s="263" t="inlineStr">
        <is>
          <t>높음</t>
        </is>
      </c>
      <c r="F96" s="263">
        <f>COUNTIF(tblRaw[지역],$A96)</f>
        <v/>
      </c>
      <c r="G96" s="263" t="n"/>
    </row>
    <row r="97">
      <c r="A97" s="263" t="inlineStr">
        <is>
          <t>원산리</t>
        </is>
      </c>
      <c r="B97" s="263" t="inlineStr">
        <is>
          <t>원산리</t>
        </is>
      </c>
      <c r="C97" s="263" t="inlineStr">
        <is>
          <t>김포지역</t>
        </is>
      </c>
      <c r="D97" s="263" t="inlineStr">
        <is>
          <t>하성면</t>
        </is>
      </c>
      <c r="E97" s="263" t="inlineStr">
        <is>
          <t>높음</t>
        </is>
      </c>
      <c r="F97" s="263">
        <f>COUNTIF(tblRaw[지역],$A97)</f>
        <v/>
      </c>
      <c r="G97" s="263" t="n"/>
    </row>
    <row r="98">
      <c r="A98" s="263" t="inlineStr">
        <is>
          <t>원종동</t>
        </is>
      </c>
      <c r="B98" s="263" t="inlineStr">
        <is>
          <t>원종동</t>
        </is>
      </c>
      <c r="C98" s="263" t="inlineStr">
        <is>
          <t>부천지역</t>
        </is>
      </c>
      <c r="D98" s="263" t="inlineStr">
        <is>
          <t>오정구</t>
        </is>
      </c>
      <c r="E98" s="263" t="inlineStr">
        <is>
          <t>높음</t>
        </is>
      </c>
      <c r="F98" s="263">
        <f>COUNTIF(tblRaw[지역],$A98)</f>
        <v/>
      </c>
      <c r="G98" s="263" t="n"/>
    </row>
    <row r="99">
      <c r="A99" s="263" t="inlineStr">
        <is>
          <t>유현리</t>
        </is>
      </c>
      <c r="B99" s="263" t="inlineStr">
        <is>
          <t>유현리</t>
        </is>
      </c>
      <c r="C99" s="263" t="inlineStr">
        <is>
          <t>김포지역</t>
        </is>
      </c>
      <c r="D99" s="263" t="inlineStr">
        <is>
          <t>통진읍</t>
        </is>
      </c>
      <c r="E99" s="263" t="inlineStr">
        <is>
          <t>추정</t>
        </is>
      </c>
      <c r="F99" s="263">
        <f>COUNTIF(tblRaw[지역],$A99)</f>
        <v/>
      </c>
      <c r="G99" s="263" t="n"/>
    </row>
    <row r="100">
      <c r="A100" s="263" t="inlineStr">
        <is>
          <t>율생리</t>
        </is>
      </c>
      <c r="B100" s="263" t="inlineStr">
        <is>
          <t>율생리</t>
        </is>
      </c>
      <c r="C100" s="263" t="inlineStr">
        <is>
          <t>김포지역</t>
        </is>
      </c>
      <c r="D100" s="263" t="inlineStr">
        <is>
          <t>대곶면</t>
        </is>
      </c>
      <c r="E100" s="263" t="inlineStr">
        <is>
          <t>높음</t>
        </is>
      </c>
      <c r="F100" s="263">
        <f>COUNTIF(tblRaw[지역],$A100)</f>
        <v/>
      </c>
      <c r="G100" s="263" t="n"/>
    </row>
    <row r="101">
      <c r="A101" s="263" t="inlineStr">
        <is>
          <t>이덕기</t>
        </is>
      </c>
      <c r="B101" s="263" t="inlineStr">
        <is>
          <t>(제외 대상)</t>
        </is>
      </c>
      <c r="C101" s="263" t="n"/>
      <c r="D101" s="263" t="n"/>
      <c r="E101" s="263" t="inlineStr">
        <is>
          <t>제외</t>
        </is>
      </c>
      <c r="F101" s="263">
        <f>COUNTIF(tblRaw[지역],$A101)</f>
        <v/>
      </c>
      <c r="G101" s="263" t="inlineStr">
        <is>
          <t>2026 접수대장 신규 표기: 이름 오입력</t>
        </is>
      </c>
    </row>
    <row r="102">
      <c r="A102" s="263" t="inlineStr">
        <is>
          <t>이마트</t>
        </is>
      </c>
      <c r="B102" s="263" t="inlineStr">
        <is>
          <t>(제외 대상)</t>
        </is>
      </c>
      <c r="C102" s="263" t="n"/>
      <c r="D102" s="263" t="inlineStr">
        <is>
          <t>데이터 오류/노이즈</t>
        </is>
      </c>
      <c r="E102" s="263" t="inlineStr">
        <is>
          <t>제외</t>
        </is>
      </c>
      <c r="F102" s="263">
        <f>COUNTIF(tblRaw[지역],$A102)</f>
        <v/>
      </c>
      <c r="G102" s="263" t="n"/>
    </row>
    <row r="103">
      <c r="A103" s="263" t="inlineStr">
        <is>
          <t>이종석</t>
        </is>
      </c>
      <c r="B103" s="263" t="inlineStr">
        <is>
          <t>(제외 대상)</t>
        </is>
      </c>
      <c r="C103" s="263" t="n"/>
      <c r="D103" s="263" t="inlineStr">
        <is>
          <t>데이터 오류/노이즈</t>
        </is>
      </c>
      <c r="E103" s="263" t="inlineStr">
        <is>
          <t>제외</t>
        </is>
      </c>
      <c r="F103" s="263">
        <f>COUNTIF(tblRaw[지역],$A103)</f>
        <v/>
      </c>
      <c r="G103" s="263" t="n"/>
    </row>
    <row r="104">
      <c r="A104" s="263" t="inlineStr">
        <is>
          <t>작동</t>
        </is>
      </c>
      <c r="B104" s="263" t="inlineStr">
        <is>
          <t>작동</t>
        </is>
      </c>
      <c r="C104" s="263" t="inlineStr">
        <is>
          <t>부천지역</t>
        </is>
      </c>
      <c r="D104" s="263" t="inlineStr">
        <is>
          <t>오정구</t>
        </is>
      </c>
      <c r="E104" s="263" t="inlineStr">
        <is>
          <t>높음</t>
        </is>
      </c>
      <c r="F104" s="263">
        <f>COUNTIF(tblRaw[지역],$A104)</f>
        <v/>
      </c>
      <c r="G104" s="263" t="n"/>
    </row>
    <row r="105">
      <c r="A105" s="263" t="inlineStr">
        <is>
          <t>장기동</t>
        </is>
      </c>
      <c r="B105" s="263" t="inlineStr">
        <is>
          <t>장기동</t>
        </is>
      </c>
      <c r="C105" s="263" t="inlineStr">
        <is>
          <t>김포지역</t>
        </is>
      </c>
      <c r="D105" s="263" t="inlineStr">
        <is>
          <t>김포시가지</t>
        </is>
      </c>
      <c r="E105" s="263" t="inlineStr">
        <is>
          <t>높음</t>
        </is>
      </c>
      <c r="F105" s="263">
        <f>COUNTIF(tblRaw[지역],$A105)</f>
        <v/>
      </c>
      <c r="G105" s="263" t="n"/>
    </row>
    <row r="106">
      <c r="A106" s="263" t="inlineStr">
        <is>
          <t>장기역</t>
        </is>
      </c>
      <c r="B106" s="263" t="inlineStr">
        <is>
          <t>장기동</t>
        </is>
      </c>
      <c r="C106" s="263" t="inlineStr">
        <is>
          <t>김포지역</t>
        </is>
      </c>
      <c r="D106" s="263" t="n"/>
      <c r="E106" s="263" t="inlineStr">
        <is>
          <t>추정</t>
        </is>
      </c>
      <c r="F106" s="263">
        <f>COUNTIF(tblRaw[지역],$A106)</f>
        <v/>
      </c>
      <c r="G106" s="263" t="inlineStr">
        <is>
          <t>2026 접수대장 신규 표기: 역 이름 -&gt; 동</t>
        </is>
      </c>
    </row>
    <row r="107">
      <c r="A107" s="263" t="inlineStr">
        <is>
          <t>전류리</t>
        </is>
      </c>
      <c r="B107" s="263" t="inlineStr">
        <is>
          <t>전류리</t>
        </is>
      </c>
      <c r="C107" s="263" t="inlineStr">
        <is>
          <t>김포지역</t>
        </is>
      </c>
      <c r="D107" s="263" t="inlineStr">
        <is>
          <t>하성면</t>
        </is>
      </c>
      <c r="E107" s="263" t="inlineStr">
        <is>
          <t>높음</t>
        </is>
      </c>
      <c r="F107" s="263">
        <f>COUNTIF(tblRaw[지역],$A107)</f>
        <v/>
      </c>
      <c r="G107" s="263" t="n"/>
    </row>
    <row r="108">
      <c r="A108" s="263" t="inlineStr">
        <is>
          <t>전호리</t>
        </is>
      </c>
      <c r="B108" s="263" t="inlineStr">
        <is>
          <t>전호리</t>
        </is>
      </c>
      <c r="C108" s="263" t="inlineStr">
        <is>
          <t>김포지역</t>
        </is>
      </c>
      <c r="D108" s="263" t="inlineStr">
        <is>
          <t>고촌읍</t>
        </is>
      </c>
      <c r="E108" s="263" t="inlineStr">
        <is>
          <t>높음</t>
        </is>
      </c>
      <c r="F108" s="263">
        <f>COUNTIF(tblRaw[지역],$A108)</f>
        <v/>
      </c>
      <c r="G108" s="263" t="n"/>
    </row>
    <row r="109">
      <c r="A109" s="263" t="inlineStr">
        <is>
          <t>정성관</t>
        </is>
      </c>
      <c r="B109" s="263" t="inlineStr">
        <is>
          <t>(제외 대상)</t>
        </is>
      </c>
      <c r="C109" s="263" t="n"/>
      <c r="D109" s="263" t="n"/>
      <c r="E109" s="263" t="inlineStr">
        <is>
          <t>제외</t>
        </is>
      </c>
      <c r="F109" s="263">
        <f>COUNTIF(tblRaw[지역],$A109)</f>
        <v/>
      </c>
      <c r="G109" s="263" t="inlineStr">
        <is>
          <t>2026 접수대장 신규 표기: 이름 오입력</t>
        </is>
      </c>
    </row>
    <row r="110">
      <c r="A110" s="263" t="inlineStr">
        <is>
          <t>정성관-당효진</t>
        </is>
      </c>
      <c r="B110" s="263" t="inlineStr">
        <is>
          <t>(제외 대상)</t>
        </is>
      </c>
      <c r="C110" s="263" t="n"/>
      <c r="D110" s="263" t="inlineStr">
        <is>
          <t>데이터 오류/노이즈</t>
        </is>
      </c>
      <c r="E110" s="263" t="inlineStr">
        <is>
          <t>제외</t>
        </is>
      </c>
      <c r="F110" s="263">
        <f>COUNTIF(tblRaw[지역],$A110)</f>
        <v/>
      </c>
      <c r="G110" s="263" t="n"/>
    </row>
    <row r="111">
      <c r="A111" s="263" t="inlineStr">
        <is>
          <t>정성관-한태희</t>
        </is>
      </c>
      <c r="B111" s="263" t="inlineStr">
        <is>
          <t>(제외 대상)</t>
        </is>
      </c>
      <c r="C111" s="263" t="n"/>
      <c r="D111" s="263" t="inlineStr">
        <is>
          <t>데이터 오류/노이즈</t>
        </is>
      </c>
      <c r="E111" s="263" t="inlineStr">
        <is>
          <t>제외</t>
        </is>
      </c>
      <c r="F111" s="263">
        <f>COUNTIF(tblRaw[지역],$A111)</f>
        <v/>
      </c>
      <c r="G111" s="263" t="n"/>
    </row>
    <row r="112">
      <c r="A112" s="263" t="inlineStr">
        <is>
          <t>정신배</t>
        </is>
      </c>
      <c r="B112" s="263" t="inlineStr">
        <is>
          <t>(제외 대상)</t>
        </is>
      </c>
      <c r="C112" s="263" t="n"/>
      <c r="D112" s="263" t="n"/>
      <c r="E112" s="263" t="inlineStr">
        <is>
          <t>제외</t>
        </is>
      </c>
      <c r="F112" s="263">
        <f>COUNTIF(tblRaw[지역],$A112)</f>
        <v/>
      </c>
      <c r="G112" s="263" t="inlineStr">
        <is>
          <t>2026 접수대장 신규 표기: 이름 오입력</t>
        </is>
      </c>
    </row>
    <row r="113">
      <c r="A113" s="263" t="inlineStr">
        <is>
          <t>조강리</t>
        </is>
      </c>
      <c r="B113" s="263" t="inlineStr">
        <is>
          <t>조강리</t>
        </is>
      </c>
      <c r="C113" s="263" t="inlineStr">
        <is>
          <t>김포지역</t>
        </is>
      </c>
      <c r="D113" s="263" t="inlineStr">
        <is>
          <t>월곶면</t>
        </is>
      </c>
      <c r="E113" s="263" t="inlineStr">
        <is>
          <t>높음</t>
        </is>
      </c>
      <c r="F113" s="263">
        <f>COUNTIF(tblRaw[지역],$A113)</f>
        <v/>
      </c>
      <c r="G113" s="263" t="n"/>
    </row>
    <row r="114">
      <c r="A114" s="263" t="inlineStr">
        <is>
          <t>종합운동장</t>
        </is>
      </c>
      <c r="B114" s="263" t="inlineStr">
        <is>
          <t>(제외 대상)</t>
        </is>
      </c>
      <c r="C114" s="263" t="n"/>
      <c r="D114" s="263" t="inlineStr">
        <is>
          <t>데이터 오류/노이즈</t>
        </is>
      </c>
      <c r="E114" s="263" t="inlineStr">
        <is>
          <t>제외</t>
        </is>
      </c>
      <c r="F114" s="263">
        <f>COUNTIF(tblRaw[지역],$A114)</f>
        <v/>
      </c>
      <c r="G114" s="263" t="n"/>
    </row>
    <row r="115">
      <c r="A115" s="263" t="inlineStr">
        <is>
          <t>중동</t>
        </is>
      </c>
      <c r="B115" s="263" t="inlineStr">
        <is>
          <t>중동</t>
        </is>
      </c>
      <c r="C115" s="263" t="inlineStr">
        <is>
          <t>부천지역</t>
        </is>
      </c>
      <c r="D115" s="263" t="inlineStr">
        <is>
          <t>원미구</t>
        </is>
      </c>
      <c r="E115" s="263" t="inlineStr">
        <is>
          <t>높음</t>
        </is>
      </c>
      <c r="F115" s="263">
        <f>COUNTIF(tblRaw[지역],$A115)</f>
        <v/>
      </c>
      <c r="G115" s="263" t="n"/>
    </row>
    <row r="116">
      <c r="A116" s="263" t="inlineStr">
        <is>
          <t>초워지라</t>
        </is>
      </c>
      <c r="B116" s="263" t="inlineStr">
        <is>
          <t>초원지리</t>
        </is>
      </c>
      <c r="C116" s="263" t="inlineStr">
        <is>
          <t>김포지역</t>
        </is>
      </c>
      <c r="D116" s="263" t="n"/>
      <c r="E116" s="263" t="inlineStr">
        <is>
          <t>추정</t>
        </is>
      </c>
      <c r="F116" s="263">
        <f>COUNTIF(tblRaw[지역],$A116)</f>
        <v/>
      </c>
      <c r="G116" s="263" t="inlineStr">
        <is>
          <t>2026 접수대장 신규 표기: 오기</t>
        </is>
      </c>
    </row>
    <row r="117">
      <c r="A117" s="263" t="inlineStr">
        <is>
          <t>초워지리</t>
        </is>
      </c>
      <c r="B117" s="263" t="inlineStr">
        <is>
          <t>초원지리</t>
        </is>
      </c>
      <c r="C117" s="263" t="inlineStr">
        <is>
          <t>김포지역</t>
        </is>
      </c>
      <c r="D117" s="263" t="n"/>
      <c r="E117" s="263" t="inlineStr">
        <is>
          <t>추정</t>
        </is>
      </c>
      <c r="F117" s="263">
        <f>COUNTIF(tblRaw[지역],$A117)</f>
        <v/>
      </c>
      <c r="G117" s="263" t="inlineStr">
        <is>
          <t>2026 접수대장 신규 표기: 오기</t>
        </is>
      </c>
    </row>
    <row r="118">
      <c r="A118" s="263" t="inlineStr">
        <is>
          <t>초원지리</t>
        </is>
      </c>
      <c r="B118" s="263" t="inlineStr">
        <is>
          <t>초원지리</t>
        </is>
      </c>
      <c r="C118" s="263" t="inlineStr">
        <is>
          <t>김포지역</t>
        </is>
      </c>
      <c r="D118" s="263" t="inlineStr">
        <is>
          <t>대곶면</t>
        </is>
      </c>
      <c r="E118" s="263" t="inlineStr">
        <is>
          <t>높음</t>
        </is>
      </c>
      <c r="F118" s="263">
        <f>COUNTIF(tblRaw[지역],$A118)</f>
        <v/>
      </c>
      <c r="G118" s="263" t="n"/>
    </row>
    <row r="119">
      <c r="A119" s="263" t="inlineStr">
        <is>
          <t>춘의동</t>
        </is>
      </c>
      <c r="B119" s="263" t="inlineStr">
        <is>
          <t>춘의동</t>
        </is>
      </c>
      <c r="C119" s="263" t="inlineStr">
        <is>
          <t>부천지역</t>
        </is>
      </c>
      <c r="D119" s="263" t="inlineStr">
        <is>
          <t>원미구</t>
        </is>
      </c>
      <c r="E119" s="263" t="inlineStr">
        <is>
          <t>높음</t>
        </is>
      </c>
      <c r="F119" s="263">
        <f>COUNTIF(tblRaw[지역],$A119)</f>
        <v/>
      </c>
      <c r="G119" s="263" t="n"/>
    </row>
    <row r="120">
      <c r="A120" s="263" t="inlineStr">
        <is>
          <t>태리</t>
        </is>
      </c>
      <c r="B120" s="263" t="inlineStr">
        <is>
          <t>태리</t>
        </is>
      </c>
      <c r="C120" s="263" t="inlineStr">
        <is>
          <t>김포지역</t>
        </is>
      </c>
      <c r="D120" s="263" t="inlineStr">
        <is>
          <t>고촌읍</t>
        </is>
      </c>
      <c r="E120" s="263" t="inlineStr">
        <is>
          <t>추정</t>
        </is>
      </c>
      <c r="F120" s="263">
        <f>COUNTIF(tblRaw[지역],$A120)</f>
        <v/>
      </c>
      <c r="G120" s="263" t="n"/>
    </row>
    <row r="121">
      <c r="A121" s="263" t="inlineStr">
        <is>
          <t>포내리</t>
        </is>
      </c>
      <c r="B121" s="263" t="inlineStr">
        <is>
          <t>포내리</t>
        </is>
      </c>
      <c r="C121" s="263" t="inlineStr">
        <is>
          <t>김포지역</t>
        </is>
      </c>
      <c r="D121" s="263" t="inlineStr">
        <is>
          <t>월곶면</t>
        </is>
      </c>
      <c r="E121" s="263" t="inlineStr">
        <is>
          <t>높음</t>
        </is>
      </c>
      <c r="F121" s="263">
        <f>COUNTIF(tblRaw[지역],$A121)</f>
        <v/>
      </c>
      <c r="G121" s="263" t="n"/>
    </row>
    <row r="122">
      <c r="A122" s="263" t="inlineStr">
        <is>
          <t>포래리</t>
        </is>
      </c>
      <c r="B122" s="263" t="inlineStr">
        <is>
          <t>포내리</t>
        </is>
      </c>
      <c r="C122" s="263" t="inlineStr">
        <is>
          <t>김포지역</t>
        </is>
      </c>
      <c r="D122" s="263" t="n"/>
      <c r="E122" s="263" t="inlineStr">
        <is>
          <t>추정</t>
        </is>
      </c>
      <c r="F122" s="263">
        <f>COUNTIF(tblRaw[지역],$A122)</f>
        <v/>
      </c>
      <c r="G122" s="263" t="inlineStr">
        <is>
          <t>2026 접수대장 신규 표기: 오기</t>
        </is>
      </c>
    </row>
    <row r="123">
      <c r="A123" s="263" t="inlineStr">
        <is>
          <t>풍무동</t>
        </is>
      </c>
      <c r="B123" s="263" t="inlineStr">
        <is>
          <t>풍무동</t>
        </is>
      </c>
      <c r="C123" s="263" t="inlineStr">
        <is>
          <t>김포지역</t>
        </is>
      </c>
      <c r="D123" s="263" t="inlineStr">
        <is>
          <t>김포시가지</t>
        </is>
      </c>
      <c r="E123" s="263" t="inlineStr">
        <is>
          <t>높음</t>
        </is>
      </c>
      <c r="F123" s="263">
        <f>COUNTIF(tblRaw[지역],$A123)</f>
        <v/>
      </c>
      <c r="G123" s="263" t="n"/>
    </row>
    <row r="124">
      <c r="A124" s="263" t="inlineStr">
        <is>
          <t>풍무역</t>
        </is>
      </c>
      <c r="B124" s="263" t="inlineStr">
        <is>
          <t>풍무동</t>
        </is>
      </c>
      <c r="C124" s="263" t="inlineStr">
        <is>
          <t>김포지역</t>
        </is>
      </c>
      <c r="D124" s="263" t="n"/>
      <c r="E124" s="263" t="inlineStr">
        <is>
          <t>추정</t>
        </is>
      </c>
      <c r="F124" s="263">
        <f>COUNTIF(tblRaw[지역],$A124)</f>
        <v/>
      </c>
      <c r="G124" s="263" t="inlineStr">
        <is>
          <t>2026 접수대장 신규 표기: 역 이름 -&gt; 동</t>
        </is>
      </c>
    </row>
    <row r="125">
      <c r="A125" s="263" t="inlineStr">
        <is>
          <t>하사리</t>
        </is>
      </c>
      <c r="B125" s="263" t="inlineStr">
        <is>
          <t>하사리</t>
        </is>
      </c>
      <c r="C125" s="263" t="inlineStr">
        <is>
          <t>김포지역</t>
        </is>
      </c>
      <c r="D125" s="263" t="inlineStr">
        <is>
          <t>하성면</t>
        </is>
      </c>
      <c r="E125" s="263" t="inlineStr">
        <is>
          <t>추정</t>
        </is>
      </c>
      <c r="F125" s="263">
        <f>COUNTIF(tblRaw[지역],$A125)</f>
        <v/>
      </c>
      <c r="G125" s="263" t="n"/>
    </row>
    <row r="126">
      <c r="A126" s="263" t="inlineStr">
        <is>
          <t>학운리</t>
        </is>
      </c>
      <c r="B126" s="263" t="inlineStr">
        <is>
          <t>학운리</t>
        </is>
      </c>
      <c r="C126" s="263" t="inlineStr">
        <is>
          <t>김포지역</t>
        </is>
      </c>
      <c r="D126" s="263" t="inlineStr">
        <is>
          <t>통진읍</t>
        </is>
      </c>
      <c r="E126" s="263" t="inlineStr">
        <is>
          <t>높음</t>
        </is>
      </c>
      <c r="F126" s="263">
        <f>COUNTIF(tblRaw[지역],$A126)</f>
        <v/>
      </c>
      <c r="G126" s="263" t="n"/>
    </row>
    <row r="127">
      <c r="A127" s="263" t="inlineStr">
        <is>
          <t>향산리</t>
        </is>
      </c>
      <c r="B127" s="263" t="inlineStr">
        <is>
          <t>향산리</t>
        </is>
      </c>
      <c r="C127" s="263" t="inlineStr">
        <is>
          <t>김포지역</t>
        </is>
      </c>
      <c r="D127" s="263" t="inlineStr">
        <is>
          <t>양촌읍</t>
        </is>
      </c>
      <c r="E127" s="263" t="inlineStr">
        <is>
          <t>추정</t>
        </is>
      </c>
      <c r="F127" s="263">
        <f>COUNTIF(tblRaw[지역],$A127)</f>
        <v/>
      </c>
      <c r="G127" s="263" t="n"/>
    </row>
    <row r="128">
      <c r="A128" s="263" t="inlineStr">
        <is>
          <t>허창수</t>
        </is>
      </c>
      <c r="B128" s="263" t="inlineStr">
        <is>
          <t>(제외 대상)</t>
        </is>
      </c>
      <c r="C128" s="263" t="n"/>
      <c r="D128" s="263" t="inlineStr">
        <is>
          <t>데이터 오류/노이즈</t>
        </is>
      </c>
      <c r="E128" s="263" t="inlineStr">
        <is>
          <t>제외</t>
        </is>
      </c>
      <c r="F128" s="263">
        <f>COUNTIF(tblRaw[지역],$A128)</f>
        <v/>
      </c>
      <c r="G128" s="263" t="n"/>
    </row>
    <row r="129">
      <c r="A129" s="263" t="inlineStr">
        <is>
          <t>후평리</t>
        </is>
      </c>
      <c r="B129" s="263" t="inlineStr">
        <is>
          <t>후평리</t>
        </is>
      </c>
      <c r="C129" s="263" t="inlineStr">
        <is>
          <t>김포지역</t>
        </is>
      </c>
      <c r="D129" s="263" t="inlineStr">
        <is>
          <t>하성면</t>
        </is>
      </c>
      <c r="E129" s="263" t="inlineStr">
        <is>
          <t>높음</t>
        </is>
      </c>
      <c r="F129" s="263">
        <f>COUNTIF(tblRaw[지역],$A129)</f>
        <v/>
      </c>
      <c r="G129" s="263" t="n"/>
    </row>
    <row r="130">
      <c r="A130" s="263" t="inlineStr">
        <is>
          <t>흥신리</t>
        </is>
      </c>
      <c r="B130" s="263" t="inlineStr">
        <is>
          <t>흥신리</t>
        </is>
      </c>
      <c r="C130" s="263" t="inlineStr">
        <is>
          <t>김포지역</t>
        </is>
      </c>
      <c r="D130" s="263" t="inlineStr">
        <is>
          <t>양촌읍</t>
        </is>
      </c>
      <c r="E130" s="263" t="inlineStr">
        <is>
          <t>높음</t>
        </is>
      </c>
      <c r="F130" s="263">
        <f>COUNTIF(tblRaw[지역],$A130)</f>
        <v/>
      </c>
      <c r="G130" s="263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U88"/>
  <sheetViews>
    <sheetView tabSelected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6640625" defaultRowHeight="14.4"/>
  <cols>
    <col width="14" customWidth="1" style="22" min="1" max="1"/>
    <col width="10" customWidth="1" style="22" min="2" max="21"/>
  </cols>
  <sheetData>
    <row r="1">
      <c r="A1" s="3" t="inlineStr">
        <is>
          <t>기준지역</t>
        </is>
      </c>
      <c r="B1" s="11" t="inlineStr">
        <is>
          <t>1순위</t>
        </is>
      </c>
      <c r="C1" s="11" t="inlineStr">
        <is>
          <t>2순위</t>
        </is>
      </c>
      <c r="D1" s="11" t="inlineStr">
        <is>
          <t>3순위</t>
        </is>
      </c>
      <c r="E1" s="11" t="inlineStr">
        <is>
          <t>4순위</t>
        </is>
      </c>
      <c r="F1" s="11" t="inlineStr">
        <is>
          <t>5순위</t>
        </is>
      </c>
      <c r="G1" s="11" t="inlineStr">
        <is>
          <t>6순위</t>
        </is>
      </c>
      <c r="H1" s="11" t="inlineStr">
        <is>
          <t>7순위</t>
        </is>
      </c>
      <c r="I1" s="11" t="inlineStr">
        <is>
          <t>8순위</t>
        </is>
      </c>
      <c r="J1" s="11" t="inlineStr">
        <is>
          <t>9순위</t>
        </is>
      </c>
      <c r="K1" s="11" t="inlineStr">
        <is>
          <t>10순위</t>
        </is>
      </c>
      <c r="L1" s="11" t="inlineStr">
        <is>
          <t>11순위</t>
        </is>
      </c>
      <c r="M1" s="11" t="inlineStr">
        <is>
          <t>12순위</t>
        </is>
      </c>
      <c r="N1" s="11" t="inlineStr">
        <is>
          <t>13순위</t>
        </is>
      </c>
      <c r="O1" s="11" t="inlineStr">
        <is>
          <t>14순위</t>
        </is>
      </c>
      <c r="P1" s="11" t="inlineStr">
        <is>
          <t>15순위</t>
        </is>
      </c>
      <c r="Q1" s="11" t="inlineStr">
        <is>
          <t>16순위</t>
        </is>
      </c>
      <c r="R1" s="11" t="inlineStr">
        <is>
          <t>17순위</t>
        </is>
      </c>
      <c r="S1" s="11" t="inlineStr">
        <is>
          <t>18순위</t>
        </is>
      </c>
      <c r="T1" s="11" t="inlineStr">
        <is>
          <t>19순위</t>
        </is>
      </c>
      <c r="U1" s="11" t="inlineStr">
        <is>
          <t>20순위</t>
        </is>
      </c>
    </row>
    <row r="2">
      <c r="A2" s="15" t="inlineStr">
        <is>
          <t>학운리</t>
        </is>
      </c>
      <c r="B2" s="6" t="inlineStr">
        <is>
          <t>가현리</t>
        </is>
      </c>
      <c r="C2" s="6" t="inlineStr">
        <is>
          <t>옹정리</t>
        </is>
      </c>
      <c r="D2" s="6" t="inlineStr">
        <is>
          <t>귀전리</t>
        </is>
      </c>
      <c r="E2" s="6" t="inlineStr">
        <is>
          <t>마송리</t>
        </is>
      </c>
      <c r="F2" s="6" t="inlineStr">
        <is>
          <t>고정리</t>
        </is>
      </c>
      <c r="G2" s="6" t="inlineStr">
        <is>
          <t>갈산리</t>
        </is>
      </c>
      <c r="H2" s="6" t="inlineStr">
        <is>
          <t>고양리</t>
        </is>
      </c>
      <c r="I2" s="6" t="inlineStr">
        <is>
          <t>유현리</t>
        </is>
      </c>
      <c r="J2" s="6" t="inlineStr">
        <is>
          <t>서암리</t>
        </is>
      </c>
      <c r="K2" s="6" t="inlineStr">
        <is>
          <t>도사리</t>
        </is>
      </c>
      <c r="L2" s="6" t="inlineStr">
        <is>
          <t>동을산리</t>
        </is>
      </c>
      <c r="M2" s="6" t="inlineStr">
        <is>
          <t>수참리</t>
        </is>
      </c>
      <c r="N2" s="6" t="inlineStr">
        <is>
          <t>송마리</t>
        </is>
      </c>
      <c r="O2" s="6" t="inlineStr">
        <is>
          <t>대벽리</t>
        </is>
      </c>
      <c r="P2" s="6" t="inlineStr">
        <is>
          <t>대명리</t>
        </is>
      </c>
      <c r="Q2" s="6" t="inlineStr">
        <is>
          <t>석탄리</t>
        </is>
      </c>
      <c r="R2" s="6" t="inlineStr">
        <is>
          <t>쇄암리</t>
        </is>
      </c>
      <c r="S2" s="6" t="inlineStr">
        <is>
          <t>약암리</t>
        </is>
      </c>
      <c r="T2" s="6" t="inlineStr">
        <is>
          <t>대능리</t>
        </is>
      </c>
      <c r="U2" s="6" t="inlineStr">
        <is>
          <t>초원지리</t>
        </is>
      </c>
    </row>
    <row r="3">
      <c r="A3" s="15" t="inlineStr">
        <is>
          <t>중동</t>
        </is>
      </c>
      <c r="B3" s="6" t="inlineStr">
        <is>
          <t>도당동</t>
        </is>
      </c>
      <c r="C3" s="6" t="inlineStr">
        <is>
          <t>상동</t>
        </is>
      </c>
      <c r="D3" s="6" t="inlineStr">
        <is>
          <t>심곡동</t>
        </is>
      </c>
      <c r="E3" s="6" t="inlineStr">
        <is>
          <t>춘의동</t>
        </is>
      </c>
      <c r="F3" s="6" t="inlineStr">
        <is>
          <t>원미동</t>
        </is>
      </c>
      <c r="G3" s="6" t="inlineStr">
        <is>
          <t>역곡동</t>
        </is>
      </c>
      <c r="H3" s="6" t="inlineStr">
        <is>
          <t>심곡본동</t>
        </is>
      </c>
      <c r="I3" s="6" t="inlineStr">
        <is>
          <t>내동</t>
        </is>
      </c>
      <c r="J3" s="6" t="inlineStr">
        <is>
          <t>삼정동</t>
        </is>
      </c>
      <c r="K3" s="6" t="inlineStr">
        <is>
          <t>오정동</t>
        </is>
      </c>
      <c r="L3" s="6" t="inlineStr">
        <is>
          <t>원종동</t>
        </is>
      </c>
      <c r="M3" s="6" t="inlineStr">
        <is>
          <t>고강동</t>
        </is>
      </c>
      <c r="N3" s="6" t="inlineStr">
        <is>
          <t>여월동</t>
        </is>
      </c>
      <c r="O3" s="6" t="inlineStr">
        <is>
          <t>대장동</t>
        </is>
      </c>
      <c r="P3" s="6" t="inlineStr">
        <is>
          <t>약대동</t>
        </is>
      </c>
      <c r="Q3" s="6" t="inlineStr">
        <is>
          <t>성곡동</t>
        </is>
      </c>
      <c r="R3" s="6" t="inlineStr">
        <is>
          <t>작동</t>
        </is>
      </c>
      <c r="S3" s="6" t="inlineStr">
        <is>
          <t>송내동</t>
        </is>
      </c>
      <c r="T3" s="6" t="inlineStr">
        <is>
          <t>소사동</t>
        </is>
      </c>
      <c r="U3" s="6" t="inlineStr">
        <is>
          <t>옥길동</t>
        </is>
      </c>
    </row>
    <row r="4">
      <c r="A4" s="15" t="inlineStr">
        <is>
          <t>도당동</t>
        </is>
      </c>
      <c r="B4" s="6" t="inlineStr">
        <is>
          <t>중동</t>
        </is>
      </c>
      <c r="C4" s="6" t="inlineStr">
        <is>
          <t>상동</t>
        </is>
      </c>
      <c r="D4" s="6" t="inlineStr">
        <is>
          <t>심곡동</t>
        </is>
      </c>
      <c r="E4" s="6" t="inlineStr">
        <is>
          <t>춘의동</t>
        </is>
      </c>
      <c r="F4" s="6" t="inlineStr">
        <is>
          <t>원미동</t>
        </is>
      </c>
      <c r="G4" s="6" t="inlineStr">
        <is>
          <t>역곡동</t>
        </is>
      </c>
      <c r="H4" s="6" t="inlineStr">
        <is>
          <t>심곡본동</t>
        </is>
      </c>
      <c r="I4" s="6" t="inlineStr">
        <is>
          <t>내동</t>
        </is>
      </c>
      <c r="J4" s="6" t="inlineStr">
        <is>
          <t>삼정동</t>
        </is>
      </c>
      <c r="K4" s="6" t="inlineStr">
        <is>
          <t>오정동</t>
        </is>
      </c>
      <c r="L4" s="6" t="inlineStr">
        <is>
          <t>원종동</t>
        </is>
      </c>
      <c r="M4" s="6" t="inlineStr">
        <is>
          <t>고강동</t>
        </is>
      </c>
      <c r="N4" s="6" t="inlineStr">
        <is>
          <t>여월동</t>
        </is>
      </c>
      <c r="O4" s="6" t="inlineStr">
        <is>
          <t>대장동</t>
        </is>
      </c>
      <c r="P4" s="6" t="inlineStr">
        <is>
          <t>약대동</t>
        </is>
      </c>
      <c r="Q4" s="6" t="inlineStr">
        <is>
          <t>성곡동</t>
        </is>
      </c>
      <c r="R4" s="6" t="inlineStr">
        <is>
          <t>작동</t>
        </is>
      </c>
      <c r="S4" s="6" t="inlineStr">
        <is>
          <t>송내동</t>
        </is>
      </c>
      <c r="T4" s="6" t="inlineStr">
        <is>
          <t>소사동</t>
        </is>
      </c>
      <c r="U4" s="6" t="inlineStr">
        <is>
          <t>옥길동</t>
        </is>
      </c>
    </row>
    <row r="5">
      <c r="A5" s="15" t="inlineStr">
        <is>
          <t>상동</t>
        </is>
      </c>
      <c r="B5" s="6" t="inlineStr">
        <is>
          <t>중동</t>
        </is>
      </c>
      <c r="C5" s="6" t="inlineStr">
        <is>
          <t>도당동</t>
        </is>
      </c>
      <c r="D5" s="6" t="inlineStr">
        <is>
          <t>심곡동</t>
        </is>
      </c>
      <c r="E5" s="6" t="inlineStr">
        <is>
          <t>춘의동</t>
        </is>
      </c>
      <c r="F5" s="6" t="inlineStr">
        <is>
          <t>원미동</t>
        </is>
      </c>
      <c r="G5" s="6" t="inlineStr">
        <is>
          <t>역곡동</t>
        </is>
      </c>
      <c r="H5" s="6" t="inlineStr">
        <is>
          <t>심곡본동</t>
        </is>
      </c>
      <c r="I5" s="6" t="inlineStr">
        <is>
          <t>내동</t>
        </is>
      </c>
      <c r="J5" s="6" t="inlineStr">
        <is>
          <t>삼정동</t>
        </is>
      </c>
      <c r="K5" s="6" t="inlineStr">
        <is>
          <t>오정동</t>
        </is>
      </c>
      <c r="L5" s="6" t="inlineStr">
        <is>
          <t>원종동</t>
        </is>
      </c>
      <c r="M5" s="6" t="inlineStr">
        <is>
          <t>고강동</t>
        </is>
      </c>
      <c r="N5" s="6" t="inlineStr">
        <is>
          <t>여월동</t>
        </is>
      </c>
      <c r="O5" s="6" t="inlineStr">
        <is>
          <t>대장동</t>
        </is>
      </c>
      <c r="P5" s="6" t="inlineStr">
        <is>
          <t>약대동</t>
        </is>
      </c>
      <c r="Q5" s="6" t="inlineStr">
        <is>
          <t>성곡동</t>
        </is>
      </c>
      <c r="R5" s="6" t="inlineStr">
        <is>
          <t>작동</t>
        </is>
      </c>
      <c r="S5" s="6" t="inlineStr">
        <is>
          <t>송내동</t>
        </is>
      </c>
      <c r="T5" s="6" t="inlineStr">
        <is>
          <t>소사동</t>
        </is>
      </c>
      <c r="U5" s="6" t="inlineStr">
        <is>
          <t>옥길동</t>
        </is>
      </c>
    </row>
    <row r="6">
      <c r="A6" s="15" t="inlineStr">
        <is>
          <t>송마리</t>
        </is>
      </c>
      <c r="B6" s="6" t="inlineStr">
        <is>
          <t>대벽리</t>
        </is>
      </c>
      <c r="C6" s="6" t="inlineStr">
        <is>
          <t>대명리</t>
        </is>
      </c>
      <c r="D6" s="6" t="inlineStr">
        <is>
          <t>석탄리</t>
        </is>
      </c>
      <c r="E6" s="6" t="inlineStr">
        <is>
          <t>쇄암리</t>
        </is>
      </c>
      <c r="F6" s="6" t="inlineStr">
        <is>
          <t>약암리</t>
        </is>
      </c>
      <c r="G6" s="6" t="inlineStr">
        <is>
          <t>대능리</t>
        </is>
      </c>
      <c r="H6" s="6" t="inlineStr">
        <is>
          <t>초원지리</t>
        </is>
      </c>
      <c r="I6" s="6" t="inlineStr">
        <is>
          <t>상마리</t>
        </is>
      </c>
      <c r="J6" s="6" t="inlineStr">
        <is>
          <t>율생리</t>
        </is>
      </c>
      <c r="K6" s="6" t="inlineStr">
        <is>
          <t>거물대리</t>
        </is>
      </c>
      <c r="L6" s="6" t="inlineStr">
        <is>
          <t>신안리</t>
        </is>
      </c>
      <c r="M6" s="6" t="inlineStr">
        <is>
          <t>오니산리</t>
        </is>
      </c>
      <c r="N6" s="6" t="inlineStr">
        <is>
          <t>학운리</t>
        </is>
      </c>
      <c r="O6" s="6" t="inlineStr">
        <is>
          <t>가현리</t>
        </is>
      </c>
      <c r="P6" s="6" t="inlineStr">
        <is>
          <t>옹정리</t>
        </is>
      </c>
      <c r="Q6" s="6" t="inlineStr">
        <is>
          <t>귀전리</t>
        </is>
      </c>
      <c r="R6" s="6" t="inlineStr">
        <is>
          <t>마송리</t>
        </is>
      </c>
      <c r="S6" s="6" t="inlineStr">
        <is>
          <t>고정리</t>
        </is>
      </c>
      <c r="T6" s="6" t="inlineStr">
        <is>
          <t>갈산리</t>
        </is>
      </c>
      <c r="U6" s="6" t="inlineStr">
        <is>
          <t>고양리</t>
        </is>
      </c>
    </row>
    <row r="7">
      <c r="A7" s="15" t="inlineStr">
        <is>
          <t>내동</t>
        </is>
      </c>
      <c r="B7" s="6" t="inlineStr">
        <is>
          <t>삼정동</t>
        </is>
      </c>
      <c r="C7" s="6" t="inlineStr">
        <is>
          <t>오정동</t>
        </is>
      </c>
      <c r="D7" s="6" t="inlineStr">
        <is>
          <t>원종동</t>
        </is>
      </c>
      <c r="E7" s="6" t="inlineStr">
        <is>
          <t>고강동</t>
        </is>
      </c>
      <c r="F7" s="6" t="inlineStr">
        <is>
          <t>여월동</t>
        </is>
      </c>
      <c r="G7" s="6" t="inlineStr">
        <is>
          <t>대장동</t>
        </is>
      </c>
      <c r="H7" s="6" t="inlineStr">
        <is>
          <t>약대동</t>
        </is>
      </c>
      <c r="I7" s="6" t="inlineStr">
        <is>
          <t>성곡동</t>
        </is>
      </c>
      <c r="J7" s="6" t="inlineStr">
        <is>
          <t>작동</t>
        </is>
      </c>
      <c r="K7" s="6" t="inlineStr">
        <is>
          <t>중동</t>
        </is>
      </c>
      <c r="L7" s="6" t="inlineStr">
        <is>
          <t>도당동</t>
        </is>
      </c>
      <c r="M7" s="6" t="inlineStr">
        <is>
          <t>상동</t>
        </is>
      </c>
      <c r="N7" s="6" t="inlineStr">
        <is>
          <t>심곡동</t>
        </is>
      </c>
      <c r="O7" s="6" t="inlineStr">
        <is>
          <t>춘의동</t>
        </is>
      </c>
      <c r="P7" s="6" t="inlineStr">
        <is>
          <t>원미동</t>
        </is>
      </c>
      <c r="Q7" s="6" t="inlineStr">
        <is>
          <t>역곡동</t>
        </is>
      </c>
      <c r="R7" s="6" t="inlineStr">
        <is>
          <t>심곡본동</t>
        </is>
      </c>
      <c r="S7" s="6" t="inlineStr">
        <is>
          <t>신곡리</t>
        </is>
      </c>
      <c r="T7" s="6" t="inlineStr">
        <is>
          <t>태리</t>
        </is>
      </c>
      <c r="U7" s="6" t="inlineStr">
        <is>
          <t>전호리</t>
        </is>
      </c>
    </row>
    <row r="8">
      <c r="A8" s="15" t="inlineStr">
        <is>
          <t>삼정동</t>
        </is>
      </c>
      <c r="B8" s="6" t="inlineStr">
        <is>
          <t>내동</t>
        </is>
      </c>
      <c r="C8" s="6" t="inlineStr">
        <is>
          <t>오정동</t>
        </is>
      </c>
      <c r="D8" s="6" t="inlineStr">
        <is>
          <t>원종동</t>
        </is>
      </c>
      <c r="E8" s="6" t="inlineStr">
        <is>
          <t>고강동</t>
        </is>
      </c>
      <c r="F8" s="6" t="inlineStr">
        <is>
          <t>여월동</t>
        </is>
      </c>
      <c r="G8" s="6" t="inlineStr">
        <is>
          <t>대장동</t>
        </is>
      </c>
      <c r="H8" s="6" t="inlineStr">
        <is>
          <t>약대동</t>
        </is>
      </c>
      <c r="I8" s="6" t="inlineStr">
        <is>
          <t>성곡동</t>
        </is>
      </c>
      <c r="J8" s="6" t="inlineStr">
        <is>
          <t>작동</t>
        </is>
      </c>
      <c r="K8" s="6" t="inlineStr">
        <is>
          <t>중동</t>
        </is>
      </c>
      <c r="L8" s="6" t="inlineStr">
        <is>
          <t>도당동</t>
        </is>
      </c>
      <c r="M8" s="6" t="inlineStr">
        <is>
          <t>상동</t>
        </is>
      </c>
      <c r="N8" s="6" t="inlineStr">
        <is>
          <t>심곡동</t>
        </is>
      </c>
      <c r="O8" s="6" t="inlineStr">
        <is>
          <t>춘의동</t>
        </is>
      </c>
      <c r="P8" s="6" t="inlineStr">
        <is>
          <t>원미동</t>
        </is>
      </c>
      <c r="Q8" s="6" t="inlineStr">
        <is>
          <t>역곡동</t>
        </is>
      </c>
      <c r="R8" s="6" t="inlineStr">
        <is>
          <t>심곡본동</t>
        </is>
      </c>
      <c r="S8" s="6" t="inlineStr">
        <is>
          <t>신곡리</t>
        </is>
      </c>
      <c r="T8" s="6" t="inlineStr">
        <is>
          <t>태리</t>
        </is>
      </c>
      <c r="U8" s="6" t="inlineStr">
        <is>
          <t>전호리</t>
        </is>
      </c>
    </row>
    <row r="9">
      <c r="A9" s="15" t="inlineStr">
        <is>
          <t>구래동</t>
        </is>
      </c>
      <c r="B9" s="6" t="inlineStr">
        <is>
          <t>장기동</t>
        </is>
      </c>
      <c r="C9" s="6" t="inlineStr">
        <is>
          <t>운양동</t>
        </is>
      </c>
      <c r="D9" s="6" t="inlineStr">
        <is>
          <t>사우동</t>
        </is>
      </c>
      <c r="E9" s="6" t="inlineStr">
        <is>
          <t>풍무동</t>
        </is>
      </c>
      <c r="F9" s="6" t="inlineStr">
        <is>
          <t>북변동</t>
        </is>
      </c>
      <c r="G9" s="6" t="inlineStr">
        <is>
          <t>마산동</t>
        </is>
      </c>
      <c r="H9" s="6" t="inlineStr">
        <is>
          <t>걸포동</t>
        </is>
      </c>
      <c r="I9" s="6" t="inlineStr">
        <is>
          <t>감정동</t>
        </is>
      </c>
      <c r="J9" s="6" t="inlineStr">
        <is>
          <t>김포본동</t>
        </is>
      </c>
      <c r="K9" s="6" t="inlineStr">
        <is>
          <t>장기본동</t>
        </is>
      </c>
      <c r="L9" s="6" t="inlineStr">
        <is>
          <t>학운리</t>
        </is>
      </c>
      <c r="M9" s="6" t="inlineStr">
        <is>
          <t>가현리</t>
        </is>
      </c>
      <c r="N9" s="6" t="inlineStr">
        <is>
          <t>옹정리</t>
        </is>
      </c>
      <c r="O9" s="6" t="inlineStr">
        <is>
          <t>귀전리</t>
        </is>
      </c>
      <c r="P9" s="6" t="inlineStr">
        <is>
          <t>마송리</t>
        </is>
      </c>
      <c r="Q9" s="6" t="inlineStr">
        <is>
          <t>고정리</t>
        </is>
      </c>
      <c r="R9" s="6" t="inlineStr">
        <is>
          <t>갈산리</t>
        </is>
      </c>
      <c r="S9" s="6" t="inlineStr">
        <is>
          <t>고양리</t>
        </is>
      </c>
      <c r="T9" s="6" t="inlineStr">
        <is>
          <t>유현리</t>
        </is>
      </c>
      <c r="U9" s="6" t="inlineStr">
        <is>
          <t>서암리</t>
        </is>
      </c>
    </row>
    <row r="10">
      <c r="A10" s="15" t="inlineStr">
        <is>
          <t>장기동</t>
        </is>
      </c>
      <c r="B10" s="6" t="inlineStr">
        <is>
          <t>구래동</t>
        </is>
      </c>
      <c r="C10" s="6" t="inlineStr">
        <is>
          <t>운양동</t>
        </is>
      </c>
      <c r="D10" s="6" t="inlineStr">
        <is>
          <t>사우동</t>
        </is>
      </c>
      <c r="E10" s="6" t="inlineStr">
        <is>
          <t>풍무동</t>
        </is>
      </c>
      <c r="F10" s="6" t="inlineStr">
        <is>
          <t>북변동</t>
        </is>
      </c>
      <c r="G10" s="6" t="inlineStr">
        <is>
          <t>마산동</t>
        </is>
      </c>
      <c r="H10" s="6" t="inlineStr">
        <is>
          <t>걸포동</t>
        </is>
      </c>
      <c r="I10" s="6" t="inlineStr">
        <is>
          <t>감정동</t>
        </is>
      </c>
      <c r="J10" s="6" t="inlineStr">
        <is>
          <t>김포본동</t>
        </is>
      </c>
      <c r="K10" s="6" t="inlineStr">
        <is>
          <t>장기본동</t>
        </is>
      </c>
      <c r="L10" s="6" t="inlineStr">
        <is>
          <t>학운리</t>
        </is>
      </c>
      <c r="M10" s="6" t="inlineStr">
        <is>
          <t>가현리</t>
        </is>
      </c>
      <c r="N10" s="6" t="inlineStr">
        <is>
          <t>옹정리</t>
        </is>
      </c>
      <c r="O10" s="6" t="inlineStr">
        <is>
          <t>귀전리</t>
        </is>
      </c>
      <c r="P10" s="6" t="inlineStr">
        <is>
          <t>마송리</t>
        </is>
      </c>
      <c r="Q10" s="6" t="inlineStr">
        <is>
          <t>고정리</t>
        </is>
      </c>
      <c r="R10" s="6" t="inlineStr">
        <is>
          <t>갈산리</t>
        </is>
      </c>
      <c r="S10" s="6" t="inlineStr">
        <is>
          <t>고양리</t>
        </is>
      </c>
      <c r="T10" s="6" t="inlineStr">
        <is>
          <t>유현리</t>
        </is>
      </c>
      <c r="U10" s="6" t="inlineStr">
        <is>
          <t>서암리</t>
        </is>
      </c>
    </row>
    <row r="11">
      <c r="A11" s="15" t="inlineStr">
        <is>
          <t>오정동</t>
        </is>
      </c>
      <c r="B11" s="6" t="inlineStr">
        <is>
          <t>내동</t>
        </is>
      </c>
      <c r="C11" s="6" t="inlineStr">
        <is>
          <t>삼정동</t>
        </is>
      </c>
      <c r="D11" s="6" t="inlineStr">
        <is>
          <t>원종동</t>
        </is>
      </c>
      <c r="E11" s="6" t="inlineStr">
        <is>
          <t>고강동</t>
        </is>
      </c>
      <c r="F11" s="6" t="inlineStr">
        <is>
          <t>여월동</t>
        </is>
      </c>
      <c r="G11" s="6" t="inlineStr">
        <is>
          <t>대장동</t>
        </is>
      </c>
      <c r="H11" s="6" t="inlineStr">
        <is>
          <t>약대동</t>
        </is>
      </c>
      <c r="I11" s="6" t="inlineStr">
        <is>
          <t>성곡동</t>
        </is>
      </c>
      <c r="J11" s="6" t="inlineStr">
        <is>
          <t>작동</t>
        </is>
      </c>
      <c r="K11" s="6" t="inlineStr">
        <is>
          <t>중동</t>
        </is>
      </c>
      <c r="L11" s="6" t="inlineStr">
        <is>
          <t>도당동</t>
        </is>
      </c>
      <c r="M11" s="6" t="inlineStr">
        <is>
          <t>상동</t>
        </is>
      </c>
      <c r="N11" s="6" t="inlineStr">
        <is>
          <t>심곡동</t>
        </is>
      </c>
      <c r="O11" s="6" t="inlineStr">
        <is>
          <t>춘의동</t>
        </is>
      </c>
      <c r="P11" s="6" t="inlineStr">
        <is>
          <t>원미동</t>
        </is>
      </c>
      <c r="Q11" s="6" t="inlineStr">
        <is>
          <t>역곡동</t>
        </is>
      </c>
      <c r="R11" s="6" t="inlineStr">
        <is>
          <t>심곡본동</t>
        </is>
      </c>
      <c r="S11" s="6" t="inlineStr">
        <is>
          <t>신곡리</t>
        </is>
      </c>
      <c r="T11" s="6" t="inlineStr">
        <is>
          <t>태리</t>
        </is>
      </c>
      <c r="U11" s="6" t="inlineStr">
        <is>
          <t>전호리</t>
        </is>
      </c>
    </row>
    <row r="12">
      <c r="A12" s="15" t="inlineStr">
        <is>
          <t>심곡동</t>
        </is>
      </c>
      <c r="B12" s="6" t="inlineStr">
        <is>
          <t>중동</t>
        </is>
      </c>
      <c r="C12" s="6" t="inlineStr">
        <is>
          <t>도당동</t>
        </is>
      </c>
      <c r="D12" s="6" t="inlineStr">
        <is>
          <t>상동</t>
        </is>
      </c>
      <c r="E12" s="6" t="inlineStr">
        <is>
          <t>춘의동</t>
        </is>
      </c>
      <c r="F12" s="6" t="inlineStr">
        <is>
          <t>원미동</t>
        </is>
      </c>
      <c r="G12" s="6" t="inlineStr">
        <is>
          <t>역곡동</t>
        </is>
      </c>
      <c r="H12" s="6" t="inlineStr">
        <is>
          <t>심곡본동</t>
        </is>
      </c>
      <c r="I12" s="6" t="inlineStr">
        <is>
          <t>내동</t>
        </is>
      </c>
      <c r="J12" s="6" t="inlineStr">
        <is>
          <t>삼정동</t>
        </is>
      </c>
      <c r="K12" s="6" t="inlineStr">
        <is>
          <t>오정동</t>
        </is>
      </c>
      <c r="L12" s="6" t="inlineStr">
        <is>
          <t>원종동</t>
        </is>
      </c>
      <c r="M12" s="6" t="inlineStr">
        <is>
          <t>고강동</t>
        </is>
      </c>
      <c r="N12" s="6" t="inlineStr">
        <is>
          <t>여월동</t>
        </is>
      </c>
      <c r="O12" s="6" t="inlineStr">
        <is>
          <t>대장동</t>
        </is>
      </c>
      <c r="P12" s="6" t="inlineStr">
        <is>
          <t>약대동</t>
        </is>
      </c>
      <c r="Q12" s="6" t="inlineStr">
        <is>
          <t>성곡동</t>
        </is>
      </c>
      <c r="R12" s="6" t="inlineStr">
        <is>
          <t>작동</t>
        </is>
      </c>
      <c r="S12" s="6" t="inlineStr">
        <is>
          <t>송내동</t>
        </is>
      </c>
      <c r="T12" s="6" t="inlineStr">
        <is>
          <t>소사동</t>
        </is>
      </c>
      <c r="U12" s="6" t="inlineStr">
        <is>
          <t>옥길동</t>
        </is>
      </c>
    </row>
    <row r="13">
      <c r="A13" s="15" t="inlineStr">
        <is>
          <t>대벽리</t>
        </is>
      </c>
      <c r="B13" s="6" t="inlineStr">
        <is>
          <t>송마리</t>
        </is>
      </c>
      <c r="C13" s="6" t="inlineStr">
        <is>
          <t>대명리</t>
        </is>
      </c>
      <c r="D13" s="6" t="inlineStr">
        <is>
          <t>석탄리</t>
        </is>
      </c>
      <c r="E13" s="6" t="inlineStr">
        <is>
          <t>쇄암리</t>
        </is>
      </c>
      <c r="F13" s="6" t="inlineStr">
        <is>
          <t>약암리</t>
        </is>
      </c>
      <c r="G13" s="6" t="inlineStr">
        <is>
          <t>대능리</t>
        </is>
      </c>
      <c r="H13" s="6" t="inlineStr">
        <is>
          <t>초원지리</t>
        </is>
      </c>
      <c r="I13" s="6" t="inlineStr">
        <is>
          <t>상마리</t>
        </is>
      </c>
      <c r="J13" s="6" t="inlineStr">
        <is>
          <t>율생리</t>
        </is>
      </c>
      <c r="K13" s="6" t="inlineStr">
        <is>
          <t>거물대리</t>
        </is>
      </c>
      <c r="L13" s="6" t="inlineStr">
        <is>
          <t>신안리</t>
        </is>
      </c>
      <c r="M13" s="6" t="inlineStr">
        <is>
          <t>오니산리</t>
        </is>
      </c>
      <c r="N13" s="6" t="inlineStr">
        <is>
          <t>학운리</t>
        </is>
      </c>
      <c r="O13" s="6" t="inlineStr">
        <is>
          <t>가현리</t>
        </is>
      </c>
      <c r="P13" s="6" t="inlineStr">
        <is>
          <t>옹정리</t>
        </is>
      </c>
      <c r="Q13" s="6" t="inlineStr">
        <is>
          <t>귀전리</t>
        </is>
      </c>
      <c r="R13" s="6" t="inlineStr">
        <is>
          <t>마송리</t>
        </is>
      </c>
      <c r="S13" s="6" t="inlineStr">
        <is>
          <t>고정리</t>
        </is>
      </c>
      <c r="T13" s="6" t="inlineStr">
        <is>
          <t>갈산리</t>
        </is>
      </c>
      <c r="U13" s="6" t="inlineStr">
        <is>
          <t>고양리</t>
        </is>
      </c>
    </row>
    <row r="14">
      <c r="A14" s="15" t="inlineStr">
        <is>
          <t>가현리</t>
        </is>
      </c>
      <c r="B14" s="6" t="inlineStr">
        <is>
          <t>학운리</t>
        </is>
      </c>
      <c r="C14" s="6" t="inlineStr">
        <is>
          <t>옹정리</t>
        </is>
      </c>
      <c r="D14" s="6" t="inlineStr">
        <is>
          <t>귀전리</t>
        </is>
      </c>
      <c r="E14" s="6" t="inlineStr">
        <is>
          <t>마송리</t>
        </is>
      </c>
      <c r="F14" s="6" t="inlineStr">
        <is>
          <t>고정리</t>
        </is>
      </c>
      <c r="G14" s="6" t="inlineStr">
        <is>
          <t>갈산리</t>
        </is>
      </c>
      <c r="H14" s="6" t="inlineStr">
        <is>
          <t>고양리</t>
        </is>
      </c>
      <c r="I14" s="6" t="inlineStr">
        <is>
          <t>유현리</t>
        </is>
      </c>
      <c r="J14" s="6" t="inlineStr">
        <is>
          <t>서암리</t>
        </is>
      </c>
      <c r="K14" s="6" t="inlineStr">
        <is>
          <t>도사리</t>
        </is>
      </c>
      <c r="L14" s="6" t="inlineStr">
        <is>
          <t>동을산리</t>
        </is>
      </c>
      <c r="M14" s="6" t="inlineStr">
        <is>
          <t>수참리</t>
        </is>
      </c>
      <c r="N14" s="6" t="inlineStr">
        <is>
          <t>송마리</t>
        </is>
      </c>
      <c r="O14" s="6" t="inlineStr">
        <is>
          <t>대벽리</t>
        </is>
      </c>
      <c r="P14" s="6" t="inlineStr">
        <is>
          <t>대명리</t>
        </is>
      </c>
      <c r="Q14" s="6" t="inlineStr">
        <is>
          <t>석탄리</t>
        </is>
      </c>
      <c r="R14" s="6" t="inlineStr">
        <is>
          <t>쇄암리</t>
        </is>
      </c>
      <c r="S14" s="6" t="inlineStr">
        <is>
          <t>약암리</t>
        </is>
      </c>
      <c r="T14" s="6" t="inlineStr">
        <is>
          <t>대능리</t>
        </is>
      </c>
      <c r="U14" s="6" t="inlineStr">
        <is>
          <t>초원지리</t>
        </is>
      </c>
    </row>
    <row r="15">
      <c r="A15" s="15" t="inlineStr">
        <is>
          <t>원산리</t>
        </is>
      </c>
      <c r="B15" s="6" t="inlineStr">
        <is>
          <t>마곡리</t>
        </is>
      </c>
      <c r="C15" s="6" t="inlineStr">
        <is>
          <t>양택리</t>
        </is>
      </c>
      <c r="D15" s="6" t="inlineStr">
        <is>
          <t>전류리</t>
        </is>
      </c>
      <c r="E15" s="6" t="inlineStr">
        <is>
          <t>고막리</t>
        </is>
      </c>
      <c r="F15" s="6" t="inlineStr">
        <is>
          <t>시암리</t>
        </is>
      </c>
      <c r="G15" s="6" t="inlineStr">
        <is>
          <t>후평리</t>
        </is>
      </c>
      <c r="H15" s="6" t="inlineStr">
        <is>
          <t>봉성리</t>
        </is>
      </c>
      <c r="I15" s="6" t="inlineStr">
        <is>
          <t>석모리</t>
        </is>
      </c>
      <c r="J15" s="6" t="inlineStr">
        <is>
          <t>마조리</t>
        </is>
      </c>
      <c r="K15" s="6" t="inlineStr">
        <is>
          <t>가금리</t>
        </is>
      </c>
      <c r="L15" s="6" t="inlineStr">
        <is>
          <t>하사리</t>
        </is>
      </c>
      <c r="M15" s="6" t="inlineStr">
        <is>
          <t>학운리</t>
        </is>
      </c>
      <c r="N15" s="6" t="inlineStr">
        <is>
          <t>가현리</t>
        </is>
      </c>
      <c r="O15" s="6" t="inlineStr">
        <is>
          <t>옹정리</t>
        </is>
      </c>
      <c r="P15" s="6" t="inlineStr">
        <is>
          <t>귀전리</t>
        </is>
      </c>
      <c r="Q15" s="6" t="inlineStr">
        <is>
          <t>마송리</t>
        </is>
      </c>
      <c r="R15" s="6" t="inlineStr">
        <is>
          <t>고정리</t>
        </is>
      </c>
      <c r="S15" s="6" t="inlineStr">
        <is>
          <t>갈산리</t>
        </is>
      </c>
      <c r="T15" s="6" t="inlineStr">
        <is>
          <t>고양리</t>
        </is>
      </c>
      <c r="U15" s="6" t="inlineStr">
        <is>
          <t>유현리</t>
        </is>
      </c>
    </row>
    <row r="16">
      <c r="A16" s="15" t="inlineStr">
        <is>
          <t>운양동</t>
        </is>
      </c>
      <c r="B16" s="6" t="inlineStr">
        <is>
          <t>구래동</t>
        </is>
      </c>
      <c r="C16" s="6" t="inlineStr">
        <is>
          <t>장기동</t>
        </is>
      </c>
      <c r="D16" s="6" t="inlineStr">
        <is>
          <t>사우동</t>
        </is>
      </c>
      <c r="E16" s="6" t="inlineStr">
        <is>
          <t>풍무동</t>
        </is>
      </c>
      <c r="F16" s="6" t="inlineStr">
        <is>
          <t>북변동</t>
        </is>
      </c>
      <c r="G16" s="6" t="inlineStr">
        <is>
          <t>마산동</t>
        </is>
      </c>
      <c r="H16" s="6" t="inlineStr">
        <is>
          <t>걸포동</t>
        </is>
      </c>
      <c r="I16" s="6" t="inlineStr">
        <is>
          <t>감정동</t>
        </is>
      </c>
      <c r="J16" s="6" t="inlineStr">
        <is>
          <t>김포본동</t>
        </is>
      </c>
      <c r="K16" s="6" t="inlineStr">
        <is>
          <t>장기본동</t>
        </is>
      </c>
      <c r="L16" s="6" t="inlineStr">
        <is>
          <t>학운리</t>
        </is>
      </c>
      <c r="M16" s="6" t="inlineStr">
        <is>
          <t>가현리</t>
        </is>
      </c>
      <c r="N16" s="6" t="inlineStr">
        <is>
          <t>옹정리</t>
        </is>
      </c>
      <c r="O16" s="6" t="inlineStr">
        <is>
          <t>귀전리</t>
        </is>
      </c>
      <c r="P16" s="6" t="inlineStr">
        <is>
          <t>마송리</t>
        </is>
      </c>
      <c r="Q16" s="6" t="inlineStr">
        <is>
          <t>고정리</t>
        </is>
      </c>
      <c r="R16" s="6" t="inlineStr">
        <is>
          <t>갈산리</t>
        </is>
      </c>
      <c r="S16" s="6" t="inlineStr">
        <is>
          <t>고양리</t>
        </is>
      </c>
      <c r="T16" s="6" t="inlineStr">
        <is>
          <t>유현리</t>
        </is>
      </c>
      <c r="U16" s="6" t="inlineStr">
        <is>
          <t>서암리</t>
        </is>
      </c>
    </row>
    <row r="17">
      <c r="A17" s="15" t="inlineStr">
        <is>
          <t>사우동</t>
        </is>
      </c>
      <c r="B17" s="6" t="inlineStr">
        <is>
          <t>구래동</t>
        </is>
      </c>
      <c r="C17" s="6" t="inlineStr">
        <is>
          <t>장기동</t>
        </is>
      </c>
      <c r="D17" s="6" t="inlineStr">
        <is>
          <t>운양동</t>
        </is>
      </c>
      <c r="E17" s="6" t="inlineStr">
        <is>
          <t>풍무동</t>
        </is>
      </c>
      <c r="F17" s="6" t="inlineStr">
        <is>
          <t>북변동</t>
        </is>
      </c>
      <c r="G17" s="6" t="inlineStr">
        <is>
          <t>마산동</t>
        </is>
      </c>
      <c r="H17" s="6" t="inlineStr">
        <is>
          <t>걸포동</t>
        </is>
      </c>
      <c r="I17" s="6" t="inlineStr">
        <is>
          <t>감정동</t>
        </is>
      </c>
      <c r="J17" s="6" t="inlineStr">
        <is>
          <t>김포본동</t>
        </is>
      </c>
      <c r="K17" s="6" t="inlineStr">
        <is>
          <t>장기본동</t>
        </is>
      </c>
      <c r="L17" s="6" t="inlineStr">
        <is>
          <t>학운리</t>
        </is>
      </c>
      <c r="M17" s="6" t="inlineStr">
        <is>
          <t>가현리</t>
        </is>
      </c>
      <c r="N17" s="6" t="inlineStr">
        <is>
          <t>옹정리</t>
        </is>
      </c>
      <c r="O17" s="6" t="inlineStr">
        <is>
          <t>귀전리</t>
        </is>
      </c>
      <c r="P17" s="6" t="inlineStr">
        <is>
          <t>마송리</t>
        </is>
      </c>
      <c r="Q17" s="6" t="inlineStr">
        <is>
          <t>고정리</t>
        </is>
      </c>
      <c r="R17" s="6" t="inlineStr">
        <is>
          <t>갈산리</t>
        </is>
      </c>
      <c r="S17" s="6" t="inlineStr">
        <is>
          <t>고양리</t>
        </is>
      </c>
      <c r="T17" s="6" t="inlineStr">
        <is>
          <t>유현리</t>
        </is>
      </c>
      <c r="U17" s="6" t="inlineStr">
        <is>
          <t>서암리</t>
        </is>
      </c>
    </row>
    <row r="18">
      <c r="A18" s="15" t="inlineStr">
        <is>
          <t>송내동</t>
        </is>
      </c>
      <c r="B18" s="6" t="inlineStr">
        <is>
          <t>소사동</t>
        </is>
      </c>
      <c r="C18" s="6" t="inlineStr">
        <is>
          <t>옥길동</t>
        </is>
      </c>
      <c r="D18" s="6" t="inlineStr">
        <is>
          <t>괴안동</t>
        </is>
      </c>
      <c r="E18" s="6" t="inlineStr">
        <is>
          <t>소사본동</t>
        </is>
      </c>
      <c r="F18" s="6" t="inlineStr">
        <is>
          <t>범박동</t>
        </is>
      </c>
      <c r="G18" s="6" t="inlineStr">
        <is>
          <t>계수동</t>
        </is>
      </c>
      <c r="H18" s="6" t="inlineStr">
        <is>
          <t>중동</t>
        </is>
      </c>
      <c r="I18" s="6" t="inlineStr">
        <is>
          <t>도당동</t>
        </is>
      </c>
      <c r="J18" s="6" t="inlineStr">
        <is>
          <t>상동</t>
        </is>
      </c>
      <c r="K18" s="6" t="inlineStr">
        <is>
          <t>심곡동</t>
        </is>
      </c>
      <c r="L18" s="6" t="inlineStr">
        <is>
          <t>춘의동</t>
        </is>
      </c>
      <c r="M18" s="6" t="inlineStr">
        <is>
          <t>원미동</t>
        </is>
      </c>
      <c r="N18" s="6" t="inlineStr">
        <is>
          <t>역곡동</t>
        </is>
      </c>
      <c r="O18" s="6" t="inlineStr">
        <is>
          <t>심곡본동</t>
        </is>
      </c>
      <c r="P18" s="6" t="inlineStr">
        <is>
          <t>내동</t>
        </is>
      </c>
      <c r="Q18" s="6" t="inlineStr">
        <is>
          <t>삼정동</t>
        </is>
      </c>
      <c r="R18" s="6" t="inlineStr">
        <is>
          <t>오정동</t>
        </is>
      </c>
      <c r="S18" s="6" t="inlineStr">
        <is>
          <t>원종동</t>
        </is>
      </c>
      <c r="T18" s="6" t="inlineStr">
        <is>
          <t>고강동</t>
        </is>
      </c>
      <c r="U18" s="6" t="inlineStr">
        <is>
          <t>여월동</t>
        </is>
      </c>
    </row>
    <row r="19">
      <c r="A19" s="15" t="inlineStr">
        <is>
          <t>풍무동</t>
        </is>
      </c>
      <c r="B19" s="6" t="inlineStr">
        <is>
          <t>구래동</t>
        </is>
      </c>
      <c r="C19" s="6" t="inlineStr">
        <is>
          <t>장기동</t>
        </is>
      </c>
      <c r="D19" s="6" t="inlineStr">
        <is>
          <t>운양동</t>
        </is>
      </c>
      <c r="E19" s="6" t="inlineStr">
        <is>
          <t>사우동</t>
        </is>
      </c>
      <c r="F19" s="6" t="inlineStr">
        <is>
          <t>북변동</t>
        </is>
      </c>
      <c r="G19" s="6" t="inlineStr">
        <is>
          <t>마산동</t>
        </is>
      </c>
      <c r="H19" s="6" t="inlineStr">
        <is>
          <t>걸포동</t>
        </is>
      </c>
      <c r="I19" s="6" t="inlineStr">
        <is>
          <t>감정동</t>
        </is>
      </c>
      <c r="J19" s="6" t="inlineStr">
        <is>
          <t>김포본동</t>
        </is>
      </c>
      <c r="K19" s="6" t="inlineStr">
        <is>
          <t>장기본동</t>
        </is>
      </c>
      <c r="L19" s="6" t="inlineStr">
        <is>
          <t>학운리</t>
        </is>
      </c>
      <c r="M19" s="6" t="inlineStr">
        <is>
          <t>가현리</t>
        </is>
      </c>
      <c r="N19" s="6" t="inlineStr">
        <is>
          <t>옹정리</t>
        </is>
      </c>
      <c r="O19" s="6" t="inlineStr">
        <is>
          <t>귀전리</t>
        </is>
      </c>
      <c r="P19" s="6" t="inlineStr">
        <is>
          <t>마송리</t>
        </is>
      </c>
      <c r="Q19" s="6" t="inlineStr">
        <is>
          <t>고정리</t>
        </is>
      </c>
      <c r="R19" s="6" t="inlineStr">
        <is>
          <t>갈산리</t>
        </is>
      </c>
      <c r="S19" s="6" t="inlineStr">
        <is>
          <t>고양리</t>
        </is>
      </c>
      <c r="T19" s="6" t="inlineStr">
        <is>
          <t>유현리</t>
        </is>
      </c>
      <c r="U19" s="6" t="inlineStr">
        <is>
          <t>서암리</t>
        </is>
      </c>
    </row>
    <row r="20">
      <c r="A20" s="15" t="inlineStr">
        <is>
          <t>옹정리</t>
        </is>
      </c>
      <c r="B20" s="6" t="inlineStr">
        <is>
          <t>학운리</t>
        </is>
      </c>
      <c r="C20" s="6" t="inlineStr">
        <is>
          <t>가현리</t>
        </is>
      </c>
      <c r="D20" s="6" t="inlineStr">
        <is>
          <t>귀전리</t>
        </is>
      </c>
      <c r="E20" s="6" t="inlineStr">
        <is>
          <t>마송리</t>
        </is>
      </c>
      <c r="F20" s="6" t="inlineStr">
        <is>
          <t>고정리</t>
        </is>
      </c>
      <c r="G20" s="6" t="inlineStr">
        <is>
          <t>갈산리</t>
        </is>
      </c>
      <c r="H20" s="6" t="inlineStr">
        <is>
          <t>고양리</t>
        </is>
      </c>
      <c r="I20" s="6" t="inlineStr">
        <is>
          <t>유현리</t>
        </is>
      </c>
      <c r="J20" s="6" t="inlineStr">
        <is>
          <t>서암리</t>
        </is>
      </c>
      <c r="K20" s="6" t="inlineStr">
        <is>
          <t>도사리</t>
        </is>
      </c>
      <c r="L20" s="6" t="inlineStr">
        <is>
          <t>동을산리</t>
        </is>
      </c>
      <c r="M20" s="6" t="inlineStr">
        <is>
          <t>수참리</t>
        </is>
      </c>
      <c r="N20" s="6" t="inlineStr">
        <is>
          <t>송마리</t>
        </is>
      </c>
      <c r="O20" s="6" t="inlineStr">
        <is>
          <t>대벽리</t>
        </is>
      </c>
      <c r="P20" s="6" t="inlineStr">
        <is>
          <t>대명리</t>
        </is>
      </c>
      <c r="Q20" s="6" t="inlineStr">
        <is>
          <t>석탄리</t>
        </is>
      </c>
      <c r="R20" s="6" t="inlineStr">
        <is>
          <t>쇄암리</t>
        </is>
      </c>
      <c r="S20" s="6" t="inlineStr">
        <is>
          <t>약암리</t>
        </is>
      </c>
      <c r="T20" s="6" t="inlineStr">
        <is>
          <t>대능리</t>
        </is>
      </c>
      <c r="U20" s="6" t="inlineStr">
        <is>
          <t>초원지리</t>
        </is>
      </c>
    </row>
    <row r="21">
      <c r="A21" s="15" t="inlineStr">
        <is>
          <t>귀전리</t>
        </is>
      </c>
      <c r="B21" s="6" t="inlineStr">
        <is>
          <t>학운리</t>
        </is>
      </c>
      <c r="C21" s="6" t="inlineStr">
        <is>
          <t>가현리</t>
        </is>
      </c>
      <c r="D21" s="6" t="inlineStr">
        <is>
          <t>옹정리</t>
        </is>
      </c>
      <c r="E21" s="6" t="inlineStr">
        <is>
          <t>마송리</t>
        </is>
      </c>
      <c r="F21" s="6" t="inlineStr">
        <is>
          <t>고정리</t>
        </is>
      </c>
      <c r="G21" s="6" t="inlineStr">
        <is>
          <t>갈산리</t>
        </is>
      </c>
      <c r="H21" s="6" t="inlineStr">
        <is>
          <t>고양리</t>
        </is>
      </c>
      <c r="I21" s="6" t="inlineStr">
        <is>
          <t>유현리</t>
        </is>
      </c>
      <c r="J21" s="6" t="inlineStr">
        <is>
          <t>서암리</t>
        </is>
      </c>
      <c r="K21" s="6" t="inlineStr">
        <is>
          <t>도사리</t>
        </is>
      </c>
      <c r="L21" s="6" t="inlineStr">
        <is>
          <t>동을산리</t>
        </is>
      </c>
      <c r="M21" s="6" t="inlineStr">
        <is>
          <t>수참리</t>
        </is>
      </c>
      <c r="N21" s="6" t="inlineStr">
        <is>
          <t>송마리</t>
        </is>
      </c>
      <c r="O21" s="6" t="inlineStr">
        <is>
          <t>대벽리</t>
        </is>
      </c>
      <c r="P21" s="6" t="inlineStr">
        <is>
          <t>대명리</t>
        </is>
      </c>
      <c r="Q21" s="6" t="inlineStr">
        <is>
          <t>석탄리</t>
        </is>
      </c>
      <c r="R21" s="6" t="inlineStr">
        <is>
          <t>쇄암리</t>
        </is>
      </c>
      <c r="S21" s="6" t="inlineStr">
        <is>
          <t>약암리</t>
        </is>
      </c>
      <c r="T21" s="6" t="inlineStr">
        <is>
          <t>대능리</t>
        </is>
      </c>
      <c r="U21" s="6" t="inlineStr">
        <is>
          <t>초원지리</t>
        </is>
      </c>
    </row>
    <row r="22">
      <c r="A22" s="15" t="inlineStr">
        <is>
          <t>소사동</t>
        </is>
      </c>
      <c r="B22" s="6" t="inlineStr">
        <is>
          <t>송내동</t>
        </is>
      </c>
      <c r="C22" s="6" t="inlineStr">
        <is>
          <t>옥길동</t>
        </is>
      </c>
      <c r="D22" s="6" t="inlineStr">
        <is>
          <t>괴안동</t>
        </is>
      </c>
      <c r="E22" s="6" t="inlineStr">
        <is>
          <t>소사본동</t>
        </is>
      </c>
      <c r="F22" s="6" t="inlineStr">
        <is>
          <t>범박동</t>
        </is>
      </c>
      <c r="G22" s="6" t="inlineStr">
        <is>
          <t>계수동</t>
        </is>
      </c>
      <c r="H22" s="6" t="inlineStr">
        <is>
          <t>중동</t>
        </is>
      </c>
      <c r="I22" s="6" t="inlineStr">
        <is>
          <t>도당동</t>
        </is>
      </c>
      <c r="J22" s="6" t="inlineStr">
        <is>
          <t>상동</t>
        </is>
      </c>
      <c r="K22" s="6" t="inlineStr">
        <is>
          <t>심곡동</t>
        </is>
      </c>
      <c r="L22" s="6" t="inlineStr">
        <is>
          <t>춘의동</t>
        </is>
      </c>
      <c r="M22" s="6" t="inlineStr">
        <is>
          <t>원미동</t>
        </is>
      </c>
      <c r="N22" s="6" t="inlineStr">
        <is>
          <t>역곡동</t>
        </is>
      </c>
      <c r="O22" s="6" t="inlineStr">
        <is>
          <t>심곡본동</t>
        </is>
      </c>
      <c r="P22" s="6" t="inlineStr">
        <is>
          <t>내동</t>
        </is>
      </c>
      <c r="Q22" s="6" t="inlineStr">
        <is>
          <t>삼정동</t>
        </is>
      </c>
      <c r="R22" s="6" t="inlineStr">
        <is>
          <t>오정동</t>
        </is>
      </c>
      <c r="S22" s="6" t="inlineStr">
        <is>
          <t>원종동</t>
        </is>
      </c>
      <c r="T22" s="6" t="inlineStr">
        <is>
          <t>고강동</t>
        </is>
      </c>
      <c r="U22" s="6" t="inlineStr">
        <is>
          <t>여월동</t>
        </is>
      </c>
    </row>
    <row r="23">
      <c r="A23" s="15" t="inlineStr">
        <is>
          <t>춘의동</t>
        </is>
      </c>
      <c r="B23" s="6" t="inlineStr">
        <is>
          <t>중동</t>
        </is>
      </c>
      <c r="C23" s="6" t="inlineStr">
        <is>
          <t>도당동</t>
        </is>
      </c>
      <c r="D23" s="6" t="inlineStr">
        <is>
          <t>상동</t>
        </is>
      </c>
      <c r="E23" s="6" t="inlineStr">
        <is>
          <t>심곡동</t>
        </is>
      </c>
      <c r="F23" s="6" t="inlineStr">
        <is>
          <t>원미동</t>
        </is>
      </c>
      <c r="G23" s="6" t="inlineStr">
        <is>
          <t>역곡동</t>
        </is>
      </c>
      <c r="H23" s="6" t="inlineStr">
        <is>
          <t>심곡본동</t>
        </is>
      </c>
      <c r="I23" s="6" t="inlineStr">
        <is>
          <t>내동</t>
        </is>
      </c>
      <c r="J23" s="6" t="inlineStr">
        <is>
          <t>삼정동</t>
        </is>
      </c>
      <c r="K23" s="6" t="inlineStr">
        <is>
          <t>오정동</t>
        </is>
      </c>
      <c r="L23" s="6" t="inlineStr">
        <is>
          <t>원종동</t>
        </is>
      </c>
      <c r="M23" s="6" t="inlineStr">
        <is>
          <t>고강동</t>
        </is>
      </c>
      <c r="N23" s="6" t="inlineStr">
        <is>
          <t>여월동</t>
        </is>
      </c>
      <c r="O23" s="6" t="inlineStr">
        <is>
          <t>대장동</t>
        </is>
      </c>
      <c r="P23" s="6" t="inlineStr">
        <is>
          <t>약대동</t>
        </is>
      </c>
      <c r="Q23" s="6" t="inlineStr">
        <is>
          <t>성곡동</t>
        </is>
      </c>
      <c r="R23" s="6" t="inlineStr">
        <is>
          <t>작동</t>
        </is>
      </c>
      <c r="S23" s="6" t="inlineStr">
        <is>
          <t>송내동</t>
        </is>
      </c>
      <c r="T23" s="6" t="inlineStr">
        <is>
          <t>소사동</t>
        </is>
      </c>
      <c r="U23" s="6" t="inlineStr">
        <is>
          <t>옥길동</t>
        </is>
      </c>
    </row>
    <row r="24">
      <c r="A24" s="15" t="inlineStr">
        <is>
          <t>원미동</t>
        </is>
      </c>
      <c r="B24" s="6" t="inlineStr">
        <is>
          <t>중동</t>
        </is>
      </c>
      <c r="C24" s="6" t="inlineStr">
        <is>
          <t>도당동</t>
        </is>
      </c>
      <c r="D24" s="6" t="inlineStr">
        <is>
          <t>상동</t>
        </is>
      </c>
      <c r="E24" s="6" t="inlineStr">
        <is>
          <t>심곡동</t>
        </is>
      </c>
      <c r="F24" s="6" t="inlineStr">
        <is>
          <t>춘의동</t>
        </is>
      </c>
      <c r="G24" s="6" t="inlineStr">
        <is>
          <t>역곡동</t>
        </is>
      </c>
      <c r="H24" s="6" t="inlineStr">
        <is>
          <t>심곡본동</t>
        </is>
      </c>
      <c r="I24" s="6" t="inlineStr">
        <is>
          <t>내동</t>
        </is>
      </c>
      <c r="J24" s="6" t="inlineStr">
        <is>
          <t>삼정동</t>
        </is>
      </c>
      <c r="K24" s="6" t="inlineStr">
        <is>
          <t>오정동</t>
        </is>
      </c>
      <c r="L24" s="6" t="inlineStr">
        <is>
          <t>원종동</t>
        </is>
      </c>
      <c r="M24" s="6" t="inlineStr">
        <is>
          <t>고강동</t>
        </is>
      </c>
      <c r="N24" s="6" t="inlineStr">
        <is>
          <t>여월동</t>
        </is>
      </c>
      <c r="O24" s="6" t="inlineStr">
        <is>
          <t>대장동</t>
        </is>
      </c>
      <c r="P24" s="6" t="inlineStr">
        <is>
          <t>약대동</t>
        </is>
      </c>
      <c r="Q24" s="6" t="inlineStr">
        <is>
          <t>성곡동</t>
        </is>
      </c>
      <c r="R24" s="6" t="inlineStr">
        <is>
          <t>작동</t>
        </is>
      </c>
      <c r="S24" s="6" t="inlineStr">
        <is>
          <t>송내동</t>
        </is>
      </c>
      <c r="T24" s="6" t="inlineStr">
        <is>
          <t>소사동</t>
        </is>
      </c>
      <c r="U24" s="6" t="inlineStr">
        <is>
          <t>옥길동</t>
        </is>
      </c>
    </row>
    <row r="25">
      <c r="A25" s="15" t="inlineStr">
        <is>
          <t>마송리</t>
        </is>
      </c>
      <c r="B25" s="6" t="inlineStr">
        <is>
          <t>학운리</t>
        </is>
      </c>
      <c r="C25" s="6" t="inlineStr">
        <is>
          <t>가현리</t>
        </is>
      </c>
      <c r="D25" s="6" t="inlineStr">
        <is>
          <t>옹정리</t>
        </is>
      </c>
      <c r="E25" s="6" t="inlineStr">
        <is>
          <t>귀전리</t>
        </is>
      </c>
      <c r="F25" s="6" t="inlineStr">
        <is>
          <t>고정리</t>
        </is>
      </c>
      <c r="G25" s="6" t="inlineStr">
        <is>
          <t>갈산리</t>
        </is>
      </c>
      <c r="H25" s="6" t="inlineStr">
        <is>
          <t>고양리</t>
        </is>
      </c>
      <c r="I25" s="6" t="inlineStr">
        <is>
          <t>유현리</t>
        </is>
      </c>
      <c r="J25" s="6" t="inlineStr">
        <is>
          <t>서암리</t>
        </is>
      </c>
      <c r="K25" s="6" t="inlineStr">
        <is>
          <t>도사리</t>
        </is>
      </c>
      <c r="L25" s="6" t="inlineStr">
        <is>
          <t>동을산리</t>
        </is>
      </c>
      <c r="M25" s="6" t="inlineStr">
        <is>
          <t>수참리</t>
        </is>
      </c>
      <c r="N25" s="6" t="inlineStr">
        <is>
          <t>송마리</t>
        </is>
      </c>
      <c r="O25" s="6" t="inlineStr">
        <is>
          <t>대벽리</t>
        </is>
      </c>
      <c r="P25" s="6" t="inlineStr">
        <is>
          <t>대명리</t>
        </is>
      </c>
      <c r="Q25" s="6" t="inlineStr">
        <is>
          <t>석탄리</t>
        </is>
      </c>
      <c r="R25" s="6" t="inlineStr">
        <is>
          <t>쇄암리</t>
        </is>
      </c>
      <c r="S25" s="6" t="inlineStr">
        <is>
          <t>약암리</t>
        </is>
      </c>
      <c r="T25" s="6" t="inlineStr">
        <is>
          <t>대능리</t>
        </is>
      </c>
      <c r="U25" s="6" t="inlineStr">
        <is>
          <t>초원지리</t>
        </is>
      </c>
    </row>
    <row r="26">
      <c r="A26" s="15" t="inlineStr">
        <is>
          <t>대명리</t>
        </is>
      </c>
      <c r="B26" s="6" t="inlineStr">
        <is>
          <t>송마리</t>
        </is>
      </c>
      <c r="C26" s="6" t="inlineStr">
        <is>
          <t>대벽리</t>
        </is>
      </c>
      <c r="D26" s="6" t="inlineStr">
        <is>
          <t>석탄리</t>
        </is>
      </c>
      <c r="E26" s="6" t="inlineStr">
        <is>
          <t>쇄암리</t>
        </is>
      </c>
      <c r="F26" s="6" t="inlineStr">
        <is>
          <t>약암리</t>
        </is>
      </c>
      <c r="G26" s="6" t="inlineStr">
        <is>
          <t>대능리</t>
        </is>
      </c>
      <c r="H26" s="6" t="inlineStr">
        <is>
          <t>초원지리</t>
        </is>
      </c>
      <c r="I26" s="6" t="inlineStr">
        <is>
          <t>상마리</t>
        </is>
      </c>
      <c r="J26" s="6" t="inlineStr">
        <is>
          <t>율생리</t>
        </is>
      </c>
      <c r="K26" s="6" t="inlineStr">
        <is>
          <t>거물대리</t>
        </is>
      </c>
      <c r="L26" s="6" t="inlineStr">
        <is>
          <t>신안리</t>
        </is>
      </c>
      <c r="M26" s="6" t="inlineStr">
        <is>
          <t>오니산리</t>
        </is>
      </c>
      <c r="N26" s="6" t="inlineStr">
        <is>
          <t>학운리</t>
        </is>
      </c>
      <c r="O26" s="6" t="inlineStr">
        <is>
          <t>가현리</t>
        </is>
      </c>
      <c r="P26" s="6" t="inlineStr">
        <is>
          <t>옹정리</t>
        </is>
      </c>
      <c r="Q26" s="6" t="inlineStr">
        <is>
          <t>귀전리</t>
        </is>
      </c>
      <c r="R26" s="6" t="inlineStr">
        <is>
          <t>마송리</t>
        </is>
      </c>
      <c r="S26" s="6" t="inlineStr">
        <is>
          <t>고정리</t>
        </is>
      </c>
      <c r="T26" s="6" t="inlineStr">
        <is>
          <t>갈산리</t>
        </is>
      </c>
      <c r="U26" s="6" t="inlineStr">
        <is>
          <t>고양리</t>
        </is>
      </c>
    </row>
    <row r="27">
      <c r="A27" s="15" t="inlineStr">
        <is>
          <t>석탄리</t>
        </is>
      </c>
      <c r="B27" s="6" t="inlineStr">
        <is>
          <t>송마리</t>
        </is>
      </c>
      <c r="C27" s="6" t="inlineStr">
        <is>
          <t>대벽리</t>
        </is>
      </c>
      <c r="D27" s="6" t="inlineStr">
        <is>
          <t>대명리</t>
        </is>
      </c>
      <c r="E27" s="6" t="inlineStr">
        <is>
          <t>쇄암리</t>
        </is>
      </c>
      <c r="F27" s="6" t="inlineStr">
        <is>
          <t>약암리</t>
        </is>
      </c>
      <c r="G27" s="6" t="inlineStr">
        <is>
          <t>대능리</t>
        </is>
      </c>
      <c r="H27" s="6" t="inlineStr">
        <is>
          <t>초원지리</t>
        </is>
      </c>
      <c r="I27" s="6" t="inlineStr">
        <is>
          <t>상마리</t>
        </is>
      </c>
      <c r="J27" s="6" t="inlineStr">
        <is>
          <t>율생리</t>
        </is>
      </c>
      <c r="K27" s="6" t="inlineStr">
        <is>
          <t>거물대리</t>
        </is>
      </c>
      <c r="L27" s="6" t="inlineStr">
        <is>
          <t>신안리</t>
        </is>
      </c>
      <c r="M27" s="6" t="inlineStr">
        <is>
          <t>오니산리</t>
        </is>
      </c>
      <c r="N27" s="6" t="inlineStr">
        <is>
          <t>학운리</t>
        </is>
      </c>
      <c r="O27" s="6" t="inlineStr">
        <is>
          <t>가현리</t>
        </is>
      </c>
      <c r="P27" s="6" t="inlineStr">
        <is>
          <t>옹정리</t>
        </is>
      </c>
      <c r="Q27" s="6" t="inlineStr">
        <is>
          <t>귀전리</t>
        </is>
      </c>
      <c r="R27" s="6" t="inlineStr">
        <is>
          <t>마송리</t>
        </is>
      </c>
      <c r="S27" s="6" t="inlineStr">
        <is>
          <t>고정리</t>
        </is>
      </c>
      <c r="T27" s="6" t="inlineStr">
        <is>
          <t>갈산리</t>
        </is>
      </c>
      <c r="U27" s="6" t="inlineStr">
        <is>
          <t>고양리</t>
        </is>
      </c>
    </row>
    <row r="28">
      <c r="A28" s="15" t="inlineStr">
        <is>
          <t>쇄암리</t>
        </is>
      </c>
      <c r="B28" s="6" t="inlineStr">
        <is>
          <t>송마리</t>
        </is>
      </c>
      <c r="C28" s="6" t="inlineStr">
        <is>
          <t>대벽리</t>
        </is>
      </c>
      <c r="D28" s="6" t="inlineStr">
        <is>
          <t>대명리</t>
        </is>
      </c>
      <c r="E28" s="6" t="inlineStr">
        <is>
          <t>석탄리</t>
        </is>
      </c>
      <c r="F28" s="6" t="inlineStr">
        <is>
          <t>약암리</t>
        </is>
      </c>
      <c r="G28" s="6" t="inlineStr">
        <is>
          <t>대능리</t>
        </is>
      </c>
      <c r="H28" s="6" t="inlineStr">
        <is>
          <t>초원지리</t>
        </is>
      </c>
      <c r="I28" s="6" t="inlineStr">
        <is>
          <t>상마리</t>
        </is>
      </c>
      <c r="J28" s="6" t="inlineStr">
        <is>
          <t>율생리</t>
        </is>
      </c>
      <c r="K28" s="6" t="inlineStr">
        <is>
          <t>거물대리</t>
        </is>
      </c>
      <c r="L28" s="6" t="inlineStr">
        <is>
          <t>신안리</t>
        </is>
      </c>
      <c r="M28" s="6" t="inlineStr">
        <is>
          <t>오니산리</t>
        </is>
      </c>
      <c r="N28" s="6" t="inlineStr">
        <is>
          <t>학운리</t>
        </is>
      </c>
      <c r="O28" s="6" t="inlineStr">
        <is>
          <t>가현리</t>
        </is>
      </c>
      <c r="P28" s="6" t="inlineStr">
        <is>
          <t>옹정리</t>
        </is>
      </c>
      <c r="Q28" s="6" t="inlineStr">
        <is>
          <t>귀전리</t>
        </is>
      </c>
      <c r="R28" s="6" t="inlineStr">
        <is>
          <t>마송리</t>
        </is>
      </c>
      <c r="S28" s="6" t="inlineStr">
        <is>
          <t>고정리</t>
        </is>
      </c>
      <c r="T28" s="6" t="inlineStr">
        <is>
          <t>갈산리</t>
        </is>
      </c>
      <c r="U28" s="6" t="inlineStr">
        <is>
          <t>고양리</t>
        </is>
      </c>
    </row>
    <row r="29">
      <c r="A29" s="15" t="inlineStr">
        <is>
          <t>원종동</t>
        </is>
      </c>
      <c r="B29" s="6" t="inlineStr">
        <is>
          <t>내동</t>
        </is>
      </c>
      <c r="C29" s="6" t="inlineStr">
        <is>
          <t>삼정동</t>
        </is>
      </c>
      <c r="D29" s="6" t="inlineStr">
        <is>
          <t>오정동</t>
        </is>
      </c>
      <c r="E29" s="6" t="inlineStr">
        <is>
          <t>고강동</t>
        </is>
      </c>
      <c r="F29" s="6" t="inlineStr">
        <is>
          <t>여월동</t>
        </is>
      </c>
      <c r="G29" s="6" t="inlineStr">
        <is>
          <t>대장동</t>
        </is>
      </c>
      <c r="H29" s="6" t="inlineStr">
        <is>
          <t>약대동</t>
        </is>
      </c>
      <c r="I29" s="6" t="inlineStr">
        <is>
          <t>성곡동</t>
        </is>
      </c>
      <c r="J29" s="6" t="inlineStr">
        <is>
          <t>작동</t>
        </is>
      </c>
      <c r="K29" s="6" t="inlineStr">
        <is>
          <t>중동</t>
        </is>
      </c>
      <c r="L29" s="6" t="inlineStr">
        <is>
          <t>도당동</t>
        </is>
      </c>
      <c r="M29" s="6" t="inlineStr">
        <is>
          <t>상동</t>
        </is>
      </c>
      <c r="N29" s="6" t="inlineStr">
        <is>
          <t>심곡동</t>
        </is>
      </c>
      <c r="O29" s="6" t="inlineStr">
        <is>
          <t>춘의동</t>
        </is>
      </c>
      <c r="P29" s="6" t="inlineStr">
        <is>
          <t>원미동</t>
        </is>
      </c>
      <c r="Q29" s="6" t="inlineStr">
        <is>
          <t>역곡동</t>
        </is>
      </c>
      <c r="R29" s="6" t="inlineStr">
        <is>
          <t>심곡본동</t>
        </is>
      </c>
      <c r="S29" s="6" t="inlineStr">
        <is>
          <t>신곡리</t>
        </is>
      </c>
      <c r="T29" s="6" t="inlineStr">
        <is>
          <t>태리</t>
        </is>
      </c>
      <c r="U29" s="6" t="inlineStr">
        <is>
          <t>전호리</t>
        </is>
      </c>
    </row>
    <row r="30">
      <c r="A30" s="15" t="inlineStr">
        <is>
          <t>고정리</t>
        </is>
      </c>
      <c r="B30" s="6" t="inlineStr">
        <is>
          <t>학운리</t>
        </is>
      </c>
      <c r="C30" s="6" t="inlineStr">
        <is>
          <t>가현리</t>
        </is>
      </c>
      <c r="D30" s="6" t="inlineStr">
        <is>
          <t>옹정리</t>
        </is>
      </c>
      <c r="E30" s="6" t="inlineStr">
        <is>
          <t>귀전리</t>
        </is>
      </c>
      <c r="F30" s="6" t="inlineStr">
        <is>
          <t>마송리</t>
        </is>
      </c>
      <c r="G30" s="6" t="inlineStr">
        <is>
          <t>갈산리</t>
        </is>
      </c>
      <c r="H30" s="6" t="inlineStr">
        <is>
          <t>고양리</t>
        </is>
      </c>
      <c r="I30" s="6" t="inlineStr">
        <is>
          <t>유현리</t>
        </is>
      </c>
      <c r="J30" s="6" t="inlineStr">
        <is>
          <t>서암리</t>
        </is>
      </c>
      <c r="K30" s="6" t="inlineStr">
        <is>
          <t>도사리</t>
        </is>
      </c>
      <c r="L30" s="6" t="inlineStr">
        <is>
          <t>동을산리</t>
        </is>
      </c>
      <c r="M30" s="6" t="inlineStr">
        <is>
          <t>수참리</t>
        </is>
      </c>
      <c r="N30" s="6" t="inlineStr">
        <is>
          <t>송마리</t>
        </is>
      </c>
      <c r="O30" s="6" t="inlineStr">
        <is>
          <t>대벽리</t>
        </is>
      </c>
      <c r="P30" s="6" t="inlineStr">
        <is>
          <t>대명리</t>
        </is>
      </c>
      <c r="Q30" s="6" t="inlineStr">
        <is>
          <t>석탄리</t>
        </is>
      </c>
      <c r="R30" s="6" t="inlineStr">
        <is>
          <t>쇄암리</t>
        </is>
      </c>
      <c r="S30" s="6" t="inlineStr">
        <is>
          <t>약암리</t>
        </is>
      </c>
      <c r="T30" s="6" t="inlineStr">
        <is>
          <t>대능리</t>
        </is>
      </c>
      <c r="U30" s="6" t="inlineStr">
        <is>
          <t>초원지리</t>
        </is>
      </c>
    </row>
    <row r="31">
      <c r="A31" s="15" t="inlineStr">
        <is>
          <t>약암리</t>
        </is>
      </c>
      <c r="B31" s="6" t="inlineStr">
        <is>
          <t>송마리</t>
        </is>
      </c>
      <c r="C31" s="6" t="inlineStr">
        <is>
          <t>대벽리</t>
        </is>
      </c>
      <c r="D31" s="6" t="inlineStr">
        <is>
          <t>대명리</t>
        </is>
      </c>
      <c r="E31" s="6" t="inlineStr">
        <is>
          <t>석탄리</t>
        </is>
      </c>
      <c r="F31" s="6" t="inlineStr">
        <is>
          <t>쇄암리</t>
        </is>
      </c>
      <c r="G31" s="6" t="inlineStr">
        <is>
          <t>대능리</t>
        </is>
      </c>
      <c r="H31" s="6" t="inlineStr">
        <is>
          <t>초원지리</t>
        </is>
      </c>
      <c r="I31" s="6" t="inlineStr">
        <is>
          <t>상마리</t>
        </is>
      </c>
      <c r="J31" s="6" t="inlineStr">
        <is>
          <t>율생리</t>
        </is>
      </c>
      <c r="K31" s="6" t="inlineStr">
        <is>
          <t>거물대리</t>
        </is>
      </c>
      <c r="L31" s="6" t="inlineStr">
        <is>
          <t>신안리</t>
        </is>
      </c>
      <c r="M31" s="6" t="inlineStr">
        <is>
          <t>오니산리</t>
        </is>
      </c>
      <c r="N31" s="6" t="inlineStr">
        <is>
          <t>학운리</t>
        </is>
      </c>
      <c r="O31" s="6" t="inlineStr">
        <is>
          <t>가현리</t>
        </is>
      </c>
      <c r="P31" s="6" t="inlineStr">
        <is>
          <t>옹정리</t>
        </is>
      </c>
      <c r="Q31" s="6" t="inlineStr">
        <is>
          <t>귀전리</t>
        </is>
      </c>
      <c r="R31" s="6" t="inlineStr">
        <is>
          <t>마송리</t>
        </is>
      </c>
      <c r="S31" s="6" t="inlineStr">
        <is>
          <t>고정리</t>
        </is>
      </c>
      <c r="T31" s="6" t="inlineStr">
        <is>
          <t>갈산리</t>
        </is>
      </c>
      <c r="U31" s="6" t="inlineStr">
        <is>
          <t>고양리</t>
        </is>
      </c>
    </row>
    <row r="32">
      <c r="A32" s="15" t="inlineStr">
        <is>
          <t>대능리</t>
        </is>
      </c>
      <c r="B32" s="6" t="inlineStr">
        <is>
          <t>송마리</t>
        </is>
      </c>
      <c r="C32" s="6" t="inlineStr">
        <is>
          <t>대벽리</t>
        </is>
      </c>
      <c r="D32" s="6" t="inlineStr">
        <is>
          <t>대명리</t>
        </is>
      </c>
      <c r="E32" s="6" t="inlineStr">
        <is>
          <t>석탄리</t>
        </is>
      </c>
      <c r="F32" s="6" t="inlineStr">
        <is>
          <t>쇄암리</t>
        </is>
      </c>
      <c r="G32" s="6" t="inlineStr">
        <is>
          <t>약암리</t>
        </is>
      </c>
      <c r="H32" s="6" t="inlineStr">
        <is>
          <t>초원지리</t>
        </is>
      </c>
      <c r="I32" s="6" t="inlineStr">
        <is>
          <t>상마리</t>
        </is>
      </c>
      <c r="J32" s="6" t="inlineStr">
        <is>
          <t>율생리</t>
        </is>
      </c>
      <c r="K32" s="6" t="inlineStr">
        <is>
          <t>거물대리</t>
        </is>
      </c>
      <c r="L32" s="6" t="inlineStr">
        <is>
          <t>신안리</t>
        </is>
      </c>
      <c r="M32" s="6" t="inlineStr">
        <is>
          <t>오니산리</t>
        </is>
      </c>
      <c r="N32" s="6" t="inlineStr">
        <is>
          <t>학운리</t>
        </is>
      </c>
      <c r="O32" s="6" t="inlineStr">
        <is>
          <t>가현리</t>
        </is>
      </c>
      <c r="P32" s="6" t="inlineStr">
        <is>
          <t>옹정리</t>
        </is>
      </c>
      <c r="Q32" s="6" t="inlineStr">
        <is>
          <t>귀전리</t>
        </is>
      </c>
      <c r="R32" s="6" t="inlineStr">
        <is>
          <t>마송리</t>
        </is>
      </c>
      <c r="S32" s="6" t="inlineStr">
        <is>
          <t>고정리</t>
        </is>
      </c>
      <c r="T32" s="6" t="inlineStr">
        <is>
          <t>갈산리</t>
        </is>
      </c>
      <c r="U32" s="6" t="inlineStr">
        <is>
          <t>고양리</t>
        </is>
      </c>
    </row>
    <row r="33">
      <c r="A33" s="15" t="inlineStr">
        <is>
          <t>갈산리</t>
        </is>
      </c>
      <c r="B33" s="6" t="inlineStr">
        <is>
          <t>학운리</t>
        </is>
      </c>
      <c r="C33" s="6" t="inlineStr">
        <is>
          <t>가현리</t>
        </is>
      </c>
      <c r="D33" s="6" t="inlineStr">
        <is>
          <t>옹정리</t>
        </is>
      </c>
      <c r="E33" s="6" t="inlineStr">
        <is>
          <t>귀전리</t>
        </is>
      </c>
      <c r="F33" s="6" t="inlineStr">
        <is>
          <t>마송리</t>
        </is>
      </c>
      <c r="G33" s="6" t="inlineStr">
        <is>
          <t>고정리</t>
        </is>
      </c>
      <c r="H33" s="6" t="inlineStr">
        <is>
          <t>고양리</t>
        </is>
      </c>
      <c r="I33" s="6" t="inlineStr">
        <is>
          <t>유현리</t>
        </is>
      </c>
      <c r="J33" s="6" t="inlineStr">
        <is>
          <t>서암리</t>
        </is>
      </c>
      <c r="K33" s="6" t="inlineStr">
        <is>
          <t>도사리</t>
        </is>
      </c>
      <c r="L33" s="6" t="inlineStr">
        <is>
          <t>동을산리</t>
        </is>
      </c>
      <c r="M33" s="6" t="inlineStr">
        <is>
          <t>수참리</t>
        </is>
      </c>
      <c r="N33" s="6" t="inlineStr">
        <is>
          <t>송마리</t>
        </is>
      </c>
      <c r="O33" s="6" t="inlineStr">
        <is>
          <t>대벽리</t>
        </is>
      </c>
      <c r="P33" s="6" t="inlineStr">
        <is>
          <t>대명리</t>
        </is>
      </c>
      <c r="Q33" s="6" t="inlineStr">
        <is>
          <t>석탄리</t>
        </is>
      </c>
      <c r="R33" s="6" t="inlineStr">
        <is>
          <t>쇄암리</t>
        </is>
      </c>
      <c r="S33" s="6" t="inlineStr">
        <is>
          <t>약암리</t>
        </is>
      </c>
      <c r="T33" s="6" t="inlineStr">
        <is>
          <t>대능리</t>
        </is>
      </c>
      <c r="U33" s="6" t="inlineStr">
        <is>
          <t>초원지리</t>
        </is>
      </c>
    </row>
    <row r="34">
      <c r="A34" s="15" t="inlineStr">
        <is>
          <t>초원지리</t>
        </is>
      </c>
      <c r="B34" s="6" t="inlineStr">
        <is>
          <t>송마리</t>
        </is>
      </c>
      <c r="C34" s="6" t="inlineStr">
        <is>
          <t>대벽리</t>
        </is>
      </c>
      <c r="D34" s="6" t="inlineStr">
        <is>
          <t>대명리</t>
        </is>
      </c>
      <c r="E34" s="6" t="inlineStr">
        <is>
          <t>석탄리</t>
        </is>
      </c>
      <c r="F34" s="6" t="inlineStr">
        <is>
          <t>쇄암리</t>
        </is>
      </c>
      <c r="G34" s="6" t="inlineStr">
        <is>
          <t>약암리</t>
        </is>
      </c>
      <c r="H34" s="6" t="inlineStr">
        <is>
          <t>대능리</t>
        </is>
      </c>
      <c r="I34" s="6" t="inlineStr">
        <is>
          <t>상마리</t>
        </is>
      </c>
      <c r="J34" s="6" t="inlineStr">
        <is>
          <t>율생리</t>
        </is>
      </c>
      <c r="K34" s="6" t="inlineStr">
        <is>
          <t>거물대리</t>
        </is>
      </c>
      <c r="L34" s="6" t="inlineStr">
        <is>
          <t>신안리</t>
        </is>
      </c>
      <c r="M34" s="6" t="inlineStr">
        <is>
          <t>오니산리</t>
        </is>
      </c>
      <c r="N34" s="6" t="inlineStr">
        <is>
          <t>학운리</t>
        </is>
      </c>
      <c r="O34" s="6" t="inlineStr">
        <is>
          <t>가현리</t>
        </is>
      </c>
      <c r="P34" s="6" t="inlineStr">
        <is>
          <t>옹정리</t>
        </is>
      </c>
      <c r="Q34" s="6" t="inlineStr">
        <is>
          <t>귀전리</t>
        </is>
      </c>
      <c r="R34" s="6" t="inlineStr">
        <is>
          <t>마송리</t>
        </is>
      </c>
      <c r="S34" s="6" t="inlineStr">
        <is>
          <t>고정리</t>
        </is>
      </c>
      <c r="T34" s="6" t="inlineStr">
        <is>
          <t>갈산리</t>
        </is>
      </c>
      <c r="U34" s="6" t="inlineStr">
        <is>
          <t>고양리</t>
        </is>
      </c>
    </row>
    <row r="35">
      <c r="A35" s="15" t="inlineStr">
        <is>
          <t>상마리</t>
        </is>
      </c>
      <c r="B35" s="6" t="inlineStr">
        <is>
          <t>송마리</t>
        </is>
      </c>
      <c r="C35" s="6" t="inlineStr">
        <is>
          <t>대벽리</t>
        </is>
      </c>
      <c r="D35" s="6" t="inlineStr">
        <is>
          <t>대명리</t>
        </is>
      </c>
      <c r="E35" s="6" t="inlineStr">
        <is>
          <t>석탄리</t>
        </is>
      </c>
      <c r="F35" s="6" t="inlineStr">
        <is>
          <t>쇄암리</t>
        </is>
      </c>
      <c r="G35" s="6" t="inlineStr">
        <is>
          <t>약암리</t>
        </is>
      </c>
      <c r="H35" s="6" t="inlineStr">
        <is>
          <t>대능리</t>
        </is>
      </c>
      <c r="I35" s="6" t="inlineStr">
        <is>
          <t>초원지리</t>
        </is>
      </c>
      <c r="J35" s="6" t="inlineStr">
        <is>
          <t>율생리</t>
        </is>
      </c>
      <c r="K35" s="6" t="inlineStr">
        <is>
          <t>거물대리</t>
        </is>
      </c>
      <c r="L35" s="6" t="inlineStr">
        <is>
          <t>신안리</t>
        </is>
      </c>
      <c r="M35" s="6" t="inlineStr">
        <is>
          <t>오니산리</t>
        </is>
      </c>
      <c r="N35" s="6" t="inlineStr">
        <is>
          <t>학운리</t>
        </is>
      </c>
      <c r="O35" s="6" t="inlineStr">
        <is>
          <t>가현리</t>
        </is>
      </c>
      <c r="P35" s="6" t="inlineStr">
        <is>
          <t>옹정리</t>
        </is>
      </c>
      <c r="Q35" s="6" t="inlineStr">
        <is>
          <t>귀전리</t>
        </is>
      </c>
      <c r="R35" s="6" t="inlineStr">
        <is>
          <t>마송리</t>
        </is>
      </c>
      <c r="S35" s="6" t="inlineStr">
        <is>
          <t>고정리</t>
        </is>
      </c>
      <c r="T35" s="6" t="inlineStr">
        <is>
          <t>갈산리</t>
        </is>
      </c>
      <c r="U35" s="6" t="inlineStr">
        <is>
          <t>고양리</t>
        </is>
      </c>
    </row>
    <row r="36">
      <c r="A36" s="15" t="inlineStr">
        <is>
          <t>북변동</t>
        </is>
      </c>
      <c r="B36" s="6" t="inlineStr">
        <is>
          <t>구래동</t>
        </is>
      </c>
      <c r="C36" s="6" t="inlineStr">
        <is>
          <t>장기동</t>
        </is>
      </c>
      <c r="D36" s="6" t="inlineStr">
        <is>
          <t>운양동</t>
        </is>
      </c>
      <c r="E36" s="6" t="inlineStr">
        <is>
          <t>사우동</t>
        </is>
      </c>
      <c r="F36" s="6" t="inlineStr">
        <is>
          <t>풍무동</t>
        </is>
      </c>
      <c r="G36" s="6" t="inlineStr">
        <is>
          <t>마산동</t>
        </is>
      </c>
      <c r="H36" s="6" t="inlineStr">
        <is>
          <t>걸포동</t>
        </is>
      </c>
      <c r="I36" s="6" t="inlineStr">
        <is>
          <t>감정동</t>
        </is>
      </c>
      <c r="J36" s="6" t="inlineStr">
        <is>
          <t>김포본동</t>
        </is>
      </c>
      <c r="K36" s="6" t="inlineStr">
        <is>
          <t>장기본동</t>
        </is>
      </c>
      <c r="L36" s="6" t="inlineStr">
        <is>
          <t>학운리</t>
        </is>
      </c>
      <c r="M36" s="6" t="inlineStr">
        <is>
          <t>가현리</t>
        </is>
      </c>
      <c r="N36" s="6" t="inlineStr">
        <is>
          <t>옹정리</t>
        </is>
      </c>
      <c r="O36" s="6" t="inlineStr">
        <is>
          <t>귀전리</t>
        </is>
      </c>
      <c r="P36" s="6" t="inlineStr">
        <is>
          <t>마송리</t>
        </is>
      </c>
      <c r="Q36" s="6" t="inlineStr">
        <is>
          <t>고정리</t>
        </is>
      </c>
      <c r="R36" s="6" t="inlineStr">
        <is>
          <t>갈산리</t>
        </is>
      </c>
      <c r="S36" s="6" t="inlineStr">
        <is>
          <t>고양리</t>
        </is>
      </c>
      <c r="T36" s="6" t="inlineStr">
        <is>
          <t>유현리</t>
        </is>
      </c>
      <c r="U36" s="6" t="inlineStr">
        <is>
          <t>서암리</t>
        </is>
      </c>
    </row>
    <row r="37">
      <c r="A37" s="15" t="inlineStr">
        <is>
          <t>옥길동</t>
        </is>
      </c>
      <c r="B37" s="6" t="inlineStr">
        <is>
          <t>송내동</t>
        </is>
      </c>
      <c r="C37" s="6" t="inlineStr">
        <is>
          <t>소사동</t>
        </is>
      </c>
      <c r="D37" s="6" t="inlineStr">
        <is>
          <t>괴안동</t>
        </is>
      </c>
      <c r="E37" s="6" t="inlineStr">
        <is>
          <t>소사본동</t>
        </is>
      </c>
      <c r="F37" s="6" t="inlineStr">
        <is>
          <t>범박동</t>
        </is>
      </c>
      <c r="G37" s="6" t="inlineStr">
        <is>
          <t>계수동</t>
        </is>
      </c>
      <c r="H37" s="6" t="inlineStr">
        <is>
          <t>중동</t>
        </is>
      </c>
      <c r="I37" s="6" t="inlineStr">
        <is>
          <t>도당동</t>
        </is>
      </c>
      <c r="J37" s="6" t="inlineStr">
        <is>
          <t>상동</t>
        </is>
      </c>
      <c r="K37" s="6" t="inlineStr">
        <is>
          <t>심곡동</t>
        </is>
      </c>
      <c r="L37" s="6" t="inlineStr">
        <is>
          <t>춘의동</t>
        </is>
      </c>
      <c r="M37" s="6" t="inlineStr">
        <is>
          <t>원미동</t>
        </is>
      </c>
      <c r="N37" s="6" t="inlineStr">
        <is>
          <t>역곡동</t>
        </is>
      </c>
      <c r="O37" s="6" t="inlineStr">
        <is>
          <t>심곡본동</t>
        </is>
      </c>
      <c r="P37" s="6" t="inlineStr">
        <is>
          <t>내동</t>
        </is>
      </c>
      <c r="Q37" s="6" t="inlineStr">
        <is>
          <t>삼정동</t>
        </is>
      </c>
      <c r="R37" s="6" t="inlineStr">
        <is>
          <t>오정동</t>
        </is>
      </c>
      <c r="S37" s="6" t="inlineStr">
        <is>
          <t>원종동</t>
        </is>
      </c>
      <c r="T37" s="6" t="inlineStr">
        <is>
          <t>고강동</t>
        </is>
      </c>
      <c r="U37" s="6" t="inlineStr">
        <is>
          <t>여월동</t>
        </is>
      </c>
    </row>
    <row r="38">
      <c r="A38" s="15" t="inlineStr">
        <is>
          <t>마곡리</t>
        </is>
      </c>
      <c r="B38" s="6" t="inlineStr">
        <is>
          <t>원산리</t>
        </is>
      </c>
      <c r="C38" s="6" t="inlineStr">
        <is>
          <t>양택리</t>
        </is>
      </c>
      <c r="D38" s="6" t="inlineStr">
        <is>
          <t>전류리</t>
        </is>
      </c>
      <c r="E38" s="6" t="inlineStr">
        <is>
          <t>고막리</t>
        </is>
      </c>
      <c r="F38" s="6" t="inlineStr">
        <is>
          <t>시암리</t>
        </is>
      </c>
      <c r="G38" s="6" t="inlineStr">
        <is>
          <t>후평리</t>
        </is>
      </c>
      <c r="H38" s="6" t="inlineStr">
        <is>
          <t>봉성리</t>
        </is>
      </c>
      <c r="I38" s="6" t="inlineStr">
        <is>
          <t>석모리</t>
        </is>
      </c>
      <c r="J38" s="6" t="inlineStr">
        <is>
          <t>마조리</t>
        </is>
      </c>
      <c r="K38" s="6" t="inlineStr">
        <is>
          <t>가금리</t>
        </is>
      </c>
      <c r="L38" s="6" t="inlineStr">
        <is>
          <t>하사리</t>
        </is>
      </c>
      <c r="M38" s="6" t="inlineStr">
        <is>
          <t>학운리</t>
        </is>
      </c>
      <c r="N38" s="6" t="inlineStr">
        <is>
          <t>가현리</t>
        </is>
      </c>
      <c r="O38" s="6" t="inlineStr">
        <is>
          <t>옹정리</t>
        </is>
      </c>
      <c r="P38" s="6" t="inlineStr">
        <is>
          <t>귀전리</t>
        </is>
      </c>
      <c r="Q38" s="6" t="inlineStr">
        <is>
          <t>마송리</t>
        </is>
      </c>
      <c r="R38" s="6" t="inlineStr">
        <is>
          <t>고정리</t>
        </is>
      </c>
      <c r="S38" s="6" t="inlineStr">
        <is>
          <t>갈산리</t>
        </is>
      </c>
      <c r="T38" s="6" t="inlineStr">
        <is>
          <t>고양리</t>
        </is>
      </c>
      <c r="U38" s="6" t="inlineStr">
        <is>
          <t>유현리</t>
        </is>
      </c>
    </row>
    <row r="39">
      <c r="A39" s="15" t="inlineStr">
        <is>
          <t>고강동</t>
        </is>
      </c>
      <c r="B39" s="6" t="inlineStr">
        <is>
          <t>내동</t>
        </is>
      </c>
      <c r="C39" s="6" t="inlineStr">
        <is>
          <t>삼정동</t>
        </is>
      </c>
      <c r="D39" s="6" t="inlineStr">
        <is>
          <t>오정동</t>
        </is>
      </c>
      <c r="E39" s="6" t="inlineStr">
        <is>
          <t>원종동</t>
        </is>
      </c>
      <c r="F39" s="6" t="inlineStr">
        <is>
          <t>여월동</t>
        </is>
      </c>
      <c r="G39" s="6" t="inlineStr">
        <is>
          <t>대장동</t>
        </is>
      </c>
      <c r="H39" s="6" t="inlineStr">
        <is>
          <t>약대동</t>
        </is>
      </c>
      <c r="I39" s="6" t="inlineStr">
        <is>
          <t>성곡동</t>
        </is>
      </c>
      <c r="J39" s="6" t="inlineStr">
        <is>
          <t>작동</t>
        </is>
      </c>
      <c r="K39" s="6" t="inlineStr">
        <is>
          <t>중동</t>
        </is>
      </c>
      <c r="L39" s="6" t="inlineStr">
        <is>
          <t>도당동</t>
        </is>
      </c>
      <c r="M39" s="6" t="inlineStr">
        <is>
          <t>상동</t>
        </is>
      </c>
      <c r="N39" s="6" t="inlineStr">
        <is>
          <t>심곡동</t>
        </is>
      </c>
      <c r="O39" s="6" t="inlineStr">
        <is>
          <t>춘의동</t>
        </is>
      </c>
      <c r="P39" s="6" t="inlineStr">
        <is>
          <t>원미동</t>
        </is>
      </c>
      <c r="Q39" s="6" t="inlineStr">
        <is>
          <t>역곡동</t>
        </is>
      </c>
      <c r="R39" s="6" t="inlineStr">
        <is>
          <t>심곡본동</t>
        </is>
      </c>
      <c r="S39" s="6" t="inlineStr">
        <is>
          <t>신곡리</t>
        </is>
      </c>
      <c r="T39" s="6" t="inlineStr">
        <is>
          <t>태리</t>
        </is>
      </c>
      <c r="U39" s="6" t="inlineStr">
        <is>
          <t>전호리</t>
        </is>
      </c>
    </row>
    <row r="40">
      <c r="A40" s="15" t="inlineStr">
        <is>
          <t>역곡동</t>
        </is>
      </c>
      <c r="B40" s="6" t="inlineStr">
        <is>
          <t>중동</t>
        </is>
      </c>
      <c r="C40" s="6" t="inlineStr">
        <is>
          <t>도당동</t>
        </is>
      </c>
      <c r="D40" s="6" t="inlineStr">
        <is>
          <t>상동</t>
        </is>
      </c>
      <c r="E40" s="6" t="inlineStr">
        <is>
          <t>심곡동</t>
        </is>
      </c>
      <c r="F40" s="6" t="inlineStr">
        <is>
          <t>춘의동</t>
        </is>
      </c>
      <c r="G40" s="6" t="inlineStr">
        <is>
          <t>원미동</t>
        </is>
      </c>
      <c r="H40" s="6" t="inlineStr">
        <is>
          <t>심곡본동</t>
        </is>
      </c>
      <c r="I40" s="6" t="inlineStr">
        <is>
          <t>내동</t>
        </is>
      </c>
      <c r="J40" s="6" t="inlineStr">
        <is>
          <t>삼정동</t>
        </is>
      </c>
      <c r="K40" s="6" t="inlineStr">
        <is>
          <t>오정동</t>
        </is>
      </c>
      <c r="L40" s="6" t="inlineStr">
        <is>
          <t>원종동</t>
        </is>
      </c>
      <c r="M40" s="6" t="inlineStr">
        <is>
          <t>고강동</t>
        </is>
      </c>
      <c r="N40" s="6" t="inlineStr">
        <is>
          <t>여월동</t>
        </is>
      </c>
      <c r="O40" s="6" t="inlineStr">
        <is>
          <t>대장동</t>
        </is>
      </c>
      <c r="P40" s="6" t="inlineStr">
        <is>
          <t>약대동</t>
        </is>
      </c>
      <c r="Q40" s="6" t="inlineStr">
        <is>
          <t>성곡동</t>
        </is>
      </c>
      <c r="R40" s="6" t="inlineStr">
        <is>
          <t>작동</t>
        </is>
      </c>
      <c r="S40" s="6" t="inlineStr">
        <is>
          <t>송내동</t>
        </is>
      </c>
      <c r="T40" s="6" t="inlineStr">
        <is>
          <t>소사동</t>
        </is>
      </c>
      <c r="U40" s="6" t="inlineStr">
        <is>
          <t>옥길동</t>
        </is>
      </c>
    </row>
    <row r="41">
      <c r="A41" s="15" t="inlineStr">
        <is>
          <t>양곡리</t>
        </is>
      </c>
      <c r="B41" s="6" t="inlineStr">
        <is>
          <t>개곡리</t>
        </is>
      </c>
      <c r="C41" s="6" t="inlineStr">
        <is>
          <t>누산리</t>
        </is>
      </c>
      <c r="D41" s="6" t="inlineStr">
        <is>
          <t>대포리</t>
        </is>
      </c>
      <c r="E41" s="6" t="inlineStr">
        <is>
          <t>흥신리</t>
        </is>
      </c>
      <c r="F41" s="6" t="inlineStr">
        <is>
          <t>향산리</t>
        </is>
      </c>
      <c r="G41" s="6" t="inlineStr">
        <is>
          <t>송마리</t>
        </is>
      </c>
      <c r="H41" s="6" t="inlineStr">
        <is>
          <t>대벽리</t>
        </is>
      </c>
      <c r="I41" s="6" t="inlineStr">
        <is>
          <t>대명리</t>
        </is>
      </c>
      <c r="J41" s="6" t="inlineStr">
        <is>
          <t>석탄리</t>
        </is>
      </c>
      <c r="K41" s="6" t="inlineStr">
        <is>
          <t>쇄암리</t>
        </is>
      </c>
      <c r="L41" s="6" t="inlineStr">
        <is>
          <t>약암리</t>
        </is>
      </c>
      <c r="M41" s="6" t="inlineStr">
        <is>
          <t>대능리</t>
        </is>
      </c>
      <c r="N41" s="6" t="inlineStr">
        <is>
          <t>초원지리</t>
        </is>
      </c>
      <c r="O41" s="6" t="inlineStr">
        <is>
          <t>상마리</t>
        </is>
      </c>
      <c r="P41" s="6" t="inlineStr">
        <is>
          <t>율생리</t>
        </is>
      </c>
      <c r="Q41" s="6" t="inlineStr">
        <is>
          <t>거물대리</t>
        </is>
      </c>
      <c r="R41" s="6" t="inlineStr">
        <is>
          <t>신안리</t>
        </is>
      </c>
      <c r="S41" s="6" t="inlineStr">
        <is>
          <t>오니산리</t>
        </is>
      </c>
      <c r="T41" s="6" t="inlineStr">
        <is>
          <t>구래동</t>
        </is>
      </c>
      <c r="U41" s="6" t="inlineStr">
        <is>
          <t>장기동</t>
        </is>
      </c>
    </row>
    <row r="42">
      <c r="A42" s="15" t="inlineStr">
        <is>
          <t>양택리</t>
        </is>
      </c>
      <c r="B42" s="6" t="inlineStr">
        <is>
          <t>원산리</t>
        </is>
      </c>
      <c r="C42" s="6" t="inlineStr">
        <is>
          <t>마곡리</t>
        </is>
      </c>
      <c r="D42" s="6" t="inlineStr">
        <is>
          <t>전류리</t>
        </is>
      </c>
      <c r="E42" s="6" t="inlineStr">
        <is>
          <t>고막리</t>
        </is>
      </c>
      <c r="F42" s="6" t="inlineStr">
        <is>
          <t>시암리</t>
        </is>
      </c>
      <c r="G42" s="6" t="inlineStr">
        <is>
          <t>후평리</t>
        </is>
      </c>
      <c r="H42" s="6" t="inlineStr">
        <is>
          <t>봉성리</t>
        </is>
      </c>
      <c r="I42" s="6" t="inlineStr">
        <is>
          <t>석모리</t>
        </is>
      </c>
      <c r="J42" s="6" t="inlineStr">
        <is>
          <t>마조리</t>
        </is>
      </c>
      <c r="K42" s="6" t="inlineStr">
        <is>
          <t>가금리</t>
        </is>
      </c>
      <c r="L42" s="6" t="inlineStr">
        <is>
          <t>하사리</t>
        </is>
      </c>
      <c r="M42" s="6" t="inlineStr">
        <is>
          <t>학운리</t>
        </is>
      </c>
      <c r="N42" s="6" t="inlineStr">
        <is>
          <t>가현리</t>
        </is>
      </c>
      <c r="O42" s="6" t="inlineStr">
        <is>
          <t>옹정리</t>
        </is>
      </c>
      <c r="P42" s="6" t="inlineStr">
        <is>
          <t>귀전리</t>
        </is>
      </c>
      <c r="Q42" s="6" t="inlineStr">
        <is>
          <t>마송리</t>
        </is>
      </c>
      <c r="R42" s="6" t="inlineStr">
        <is>
          <t>고정리</t>
        </is>
      </c>
      <c r="S42" s="6" t="inlineStr">
        <is>
          <t>갈산리</t>
        </is>
      </c>
      <c r="T42" s="6" t="inlineStr">
        <is>
          <t>고양리</t>
        </is>
      </c>
      <c r="U42" s="6" t="inlineStr">
        <is>
          <t>유현리</t>
        </is>
      </c>
    </row>
    <row r="43">
      <c r="A43" s="15" t="inlineStr">
        <is>
          <t>고양리</t>
        </is>
      </c>
      <c r="B43" s="6" t="inlineStr">
        <is>
          <t>학운리</t>
        </is>
      </c>
      <c r="C43" s="6" t="inlineStr">
        <is>
          <t>가현리</t>
        </is>
      </c>
      <c r="D43" s="6" t="inlineStr">
        <is>
          <t>옹정리</t>
        </is>
      </c>
      <c r="E43" s="6" t="inlineStr">
        <is>
          <t>귀전리</t>
        </is>
      </c>
      <c r="F43" s="6" t="inlineStr">
        <is>
          <t>마송리</t>
        </is>
      </c>
      <c r="G43" s="6" t="inlineStr">
        <is>
          <t>고정리</t>
        </is>
      </c>
      <c r="H43" s="6" t="inlineStr">
        <is>
          <t>갈산리</t>
        </is>
      </c>
      <c r="I43" s="6" t="inlineStr">
        <is>
          <t>유현리</t>
        </is>
      </c>
      <c r="J43" s="6" t="inlineStr">
        <is>
          <t>서암리</t>
        </is>
      </c>
      <c r="K43" s="6" t="inlineStr">
        <is>
          <t>도사리</t>
        </is>
      </c>
      <c r="L43" s="6" t="inlineStr">
        <is>
          <t>동을산리</t>
        </is>
      </c>
      <c r="M43" s="6" t="inlineStr">
        <is>
          <t>수참리</t>
        </is>
      </c>
      <c r="N43" s="6" t="inlineStr">
        <is>
          <t>송마리</t>
        </is>
      </c>
      <c r="O43" s="6" t="inlineStr">
        <is>
          <t>대벽리</t>
        </is>
      </c>
      <c r="P43" s="6" t="inlineStr">
        <is>
          <t>대명리</t>
        </is>
      </c>
      <c r="Q43" s="6" t="inlineStr">
        <is>
          <t>석탄리</t>
        </is>
      </c>
      <c r="R43" s="6" t="inlineStr">
        <is>
          <t>쇄암리</t>
        </is>
      </c>
      <c r="S43" s="6" t="inlineStr">
        <is>
          <t>약암리</t>
        </is>
      </c>
      <c r="T43" s="6" t="inlineStr">
        <is>
          <t>대능리</t>
        </is>
      </c>
      <c r="U43" s="6" t="inlineStr">
        <is>
          <t>초원지리</t>
        </is>
      </c>
    </row>
    <row r="44">
      <c r="A44" s="15" t="inlineStr">
        <is>
          <t>유현리</t>
        </is>
      </c>
      <c r="B44" s="6" t="inlineStr">
        <is>
          <t>학운리</t>
        </is>
      </c>
      <c r="C44" s="6" t="inlineStr">
        <is>
          <t>가현리</t>
        </is>
      </c>
      <c r="D44" s="6" t="inlineStr">
        <is>
          <t>옹정리</t>
        </is>
      </c>
      <c r="E44" s="6" t="inlineStr">
        <is>
          <t>귀전리</t>
        </is>
      </c>
      <c r="F44" s="6" t="inlineStr">
        <is>
          <t>마송리</t>
        </is>
      </c>
      <c r="G44" s="6" t="inlineStr">
        <is>
          <t>고정리</t>
        </is>
      </c>
      <c r="H44" s="6" t="inlineStr">
        <is>
          <t>갈산리</t>
        </is>
      </c>
      <c r="I44" s="6" t="inlineStr">
        <is>
          <t>고양리</t>
        </is>
      </c>
      <c r="J44" s="6" t="inlineStr">
        <is>
          <t>서암리</t>
        </is>
      </c>
      <c r="K44" s="6" t="inlineStr">
        <is>
          <t>도사리</t>
        </is>
      </c>
      <c r="L44" s="6" t="inlineStr">
        <is>
          <t>동을산리</t>
        </is>
      </c>
      <c r="M44" s="6" t="inlineStr">
        <is>
          <t>수참리</t>
        </is>
      </c>
      <c r="N44" s="6" t="inlineStr">
        <is>
          <t>송마리</t>
        </is>
      </c>
      <c r="O44" s="6" t="inlineStr">
        <is>
          <t>대벽리</t>
        </is>
      </c>
      <c r="P44" s="6" t="inlineStr">
        <is>
          <t>대명리</t>
        </is>
      </c>
      <c r="Q44" s="6" t="inlineStr">
        <is>
          <t>석탄리</t>
        </is>
      </c>
      <c r="R44" s="6" t="inlineStr">
        <is>
          <t>쇄암리</t>
        </is>
      </c>
      <c r="S44" s="6" t="inlineStr">
        <is>
          <t>약암리</t>
        </is>
      </c>
      <c r="T44" s="6" t="inlineStr">
        <is>
          <t>대능리</t>
        </is>
      </c>
      <c r="U44" s="6" t="inlineStr">
        <is>
          <t>초원지리</t>
        </is>
      </c>
    </row>
    <row r="45">
      <c r="A45" s="15" t="inlineStr">
        <is>
          <t>율생리</t>
        </is>
      </c>
      <c r="B45" s="6" t="inlineStr">
        <is>
          <t>송마리</t>
        </is>
      </c>
      <c r="C45" s="6" t="inlineStr">
        <is>
          <t>대벽리</t>
        </is>
      </c>
      <c r="D45" s="6" t="inlineStr">
        <is>
          <t>대명리</t>
        </is>
      </c>
      <c r="E45" s="6" t="inlineStr">
        <is>
          <t>석탄리</t>
        </is>
      </c>
      <c r="F45" s="6" t="inlineStr">
        <is>
          <t>쇄암리</t>
        </is>
      </c>
      <c r="G45" s="6" t="inlineStr">
        <is>
          <t>약암리</t>
        </is>
      </c>
      <c r="H45" s="6" t="inlineStr">
        <is>
          <t>대능리</t>
        </is>
      </c>
      <c r="I45" s="6" t="inlineStr">
        <is>
          <t>초원지리</t>
        </is>
      </c>
      <c r="J45" s="6" t="inlineStr">
        <is>
          <t>상마리</t>
        </is>
      </c>
      <c r="K45" s="6" t="inlineStr">
        <is>
          <t>거물대리</t>
        </is>
      </c>
      <c r="L45" s="6" t="inlineStr">
        <is>
          <t>신안리</t>
        </is>
      </c>
      <c r="M45" s="6" t="inlineStr">
        <is>
          <t>오니산리</t>
        </is>
      </c>
      <c r="N45" s="6" t="inlineStr">
        <is>
          <t>학운리</t>
        </is>
      </c>
      <c r="O45" s="6" t="inlineStr">
        <is>
          <t>가현리</t>
        </is>
      </c>
      <c r="P45" s="6" t="inlineStr">
        <is>
          <t>옹정리</t>
        </is>
      </c>
      <c r="Q45" s="6" t="inlineStr">
        <is>
          <t>귀전리</t>
        </is>
      </c>
      <c r="R45" s="6" t="inlineStr">
        <is>
          <t>마송리</t>
        </is>
      </c>
      <c r="S45" s="6" t="inlineStr">
        <is>
          <t>고정리</t>
        </is>
      </c>
      <c r="T45" s="6" t="inlineStr">
        <is>
          <t>갈산리</t>
        </is>
      </c>
      <c r="U45" s="6" t="inlineStr">
        <is>
          <t>고양리</t>
        </is>
      </c>
    </row>
    <row r="46">
      <c r="A46" s="15" t="inlineStr">
        <is>
          <t>심곡본동</t>
        </is>
      </c>
      <c r="B46" s="6" t="inlineStr">
        <is>
          <t>중동</t>
        </is>
      </c>
      <c r="C46" s="6" t="inlineStr">
        <is>
          <t>도당동</t>
        </is>
      </c>
      <c r="D46" s="6" t="inlineStr">
        <is>
          <t>상동</t>
        </is>
      </c>
      <c r="E46" s="6" t="inlineStr">
        <is>
          <t>심곡동</t>
        </is>
      </c>
      <c r="F46" s="6" t="inlineStr">
        <is>
          <t>춘의동</t>
        </is>
      </c>
      <c r="G46" s="6" t="inlineStr">
        <is>
          <t>원미동</t>
        </is>
      </c>
      <c r="H46" s="6" t="inlineStr">
        <is>
          <t>역곡동</t>
        </is>
      </c>
      <c r="I46" s="6" t="inlineStr">
        <is>
          <t>내동</t>
        </is>
      </c>
      <c r="J46" s="6" t="inlineStr">
        <is>
          <t>삼정동</t>
        </is>
      </c>
      <c r="K46" s="6" t="inlineStr">
        <is>
          <t>오정동</t>
        </is>
      </c>
      <c r="L46" s="6" t="inlineStr">
        <is>
          <t>원종동</t>
        </is>
      </c>
      <c r="M46" s="6" t="inlineStr">
        <is>
          <t>고강동</t>
        </is>
      </c>
      <c r="N46" s="6" t="inlineStr">
        <is>
          <t>여월동</t>
        </is>
      </c>
      <c r="O46" s="6" t="inlineStr">
        <is>
          <t>대장동</t>
        </is>
      </c>
      <c r="P46" s="6" t="inlineStr">
        <is>
          <t>약대동</t>
        </is>
      </c>
      <c r="Q46" s="6" t="inlineStr">
        <is>
          <t>성곡동</t>
        </is>
      </c>
      <c r="R46" s="6" t="inlineStr">
        <is>
          <t>작동</t>
        </is>
      </c>
      <c r="S46" s="6" t="inlineStr">
        <is>
          <t>송내동</t>
        </is>
      </c>
      <c r="T46" s="6" t="inlineStr">
        <is>
          <t>소사동</t>
        </is>
      </c>
      <c r="U46" s="6" t="inlineStr">
        <is>
          <t>옥길동</t>
        </is>
      </c>
    </row>
    <row r="47">
      <c r="A47" s="15" t="inlineStr">
        <is>
          <t>서암리</t>
        </is>
      </c>
      <c r="B47" s="6" t="inlineStr">
        <is>
          <t>학운리</t>
        </is>
      </c>
      <c r="C47" s="6" t="inlineStr">
        <is>
          <t>가현리</t>
        </is>
      </c>
      <c r="D47" s="6" t="inlineStr">
        <is>
          <t>옹정리</t>
        </is>
      </c>
      <c r="E47" s="6" t="inlineStr">
        <is>
          <t>귀전리</t>
        </is>
      </c>
      <c r="F47" s="6" t="inlineStr">
        <is>
          <t>마송리</t>
        </is>
      </c>
      <c r="G47" s="6" t="inlineStr">
        <is>
          <t>고정리</t>
        </is>
      </c>
      <c r="H47" s="6" t="inlineStr">
        <is>
          <t>갈산리</t>
        </is>
      </c>
      <c r="I47" s="6" t="inlineStr">
        <is>
          <t>고양리</t>
        </is>
      </c>
      <c r="J47" s="6" t="inlineStr">
        <is>
          <t>유현리</t>
        </is>
      </c>
      <c r="K47" s="6" t="inlineStr">
        <is>
          <t>도사리</t>
        </is>
      </c>
      <c r="L47" s="6" t="inlineStr">
        <is>
          <t>동을산리</t>
        </is>
      </c>
      <c r="M47" s="6" t="inlineStr">
        <is>
          <t>수참리</t>
        </is>
      </c>
      <c r="N47" s="6" t="inlineStr">
        <is>
          <t>송마리</t>
        </is>
      </c>
      <c r="O47" s="6" t="inlineStr">
        <is>
          <t>대벽리</t>
        </is>
      </c>
      <c r="P47" s="6" t="inlineStr">
        <is>
          <t>대명리</t>
        </is>
      </c>
      <c r="Q47" s="6" t="inlineStr">
        <is>
          <t>석탄리</t>
        </is>
      </c>
      <c r="R47" s="6" t="inlineStr">
        <is>
          <t>쇄암리</t>
        </is>
      </c>
      <c r="S47" s="6" t="inlineStr">
        <is>
          <t>약암리</t>
        </is>
      </c>
      <c r="T47" s="6" t="inlineStr">
        <is>
          <t>대능리</t>
        </is>
      </c>
      <c r="U47" s="6" t="inlineStr">
        <is>
          <t>초원지리</t>
        </is>
      </c>
    </row>
    <row r="48">
      <c r="A48" s="15" t="inlineStr">
        <is>
          <t>개곡리</t>
        </is>
      </c>
      <c r="B48" s="6" t="inlineStr">
        <is>
          <t>양곡리</t>
        </is>
      </c>
      <c r="C48" s="6" t="inlineStr">
        <is>
          <t>누산리</t>
        </is>
      </c>
      <c r="D48" s="6" t="inlineStr">
        <is>
          <t>대포리</t>
        </is>
      </c>
      <c r="E48" s="6" t="inlineStr">
        <is>
          <t>흥신리</t>
        </is>
      </c>
      <c r="F48" s="6" t="inlineStr">
        <is>
          <t>향산리</t>
        </is>
      </c>
      <c r="G48" s="6" t="inlineStr">
        <is>
          <t>송마리</t>
        </is>
      </c>
      <c r="H48" s="6" t="inlineStr">
        <is>
          <t>대벽리</t>
        </is>
      </c>
      <c r="I48" s="6" t="inlineStr">
        <is>
          <t>대명리</t>
        </is>
      </c>
      <c r="J48" s="6" t="inlineStr">
        <is>
          <t>석탄리</t>
        </is>
      </c>
      <c r="K48" s="6" t="inlineStr">
        <is>
          <t>쇄암리</t>
        </is>
      </c>
      <c r="L48" s="6" t="inlineStr">
        <is>
          <t>약암리</t>
        </is>
      </c>
      <c r="M48" s="6" t="inlineStr">
        <is>
          <t>대능리</t>
        </is>
      </c>
      <c r="N48" s="6" t="inlineStr">
        <is>
          <t>초원지리</t>
        </is>
      </c>
      <c r="O48" s="6" t="inlineStr">
        <is>
          <t>상마리</t>
        </is>
      </c>
      <c r="P48" s="6" t="inlineStr">
        <is>
          <t>율생리</t>
        </is>
      </c>
      <c r="Q48" s="6" t="inlineStr">
        <is>
          <t>거물대리</t>
        </is>
      </c>
      <c r="R48" s="6" t="inlineStr">
        <is>
          <t>신안리</t>
        </is>
      </c>
      <c r="S48" s="6" t="inlineStr">
        <is>
          <t>오니산리</t>
        </is>
      </c>
      <c r="T48" s="6" t="inlineStr">
        <is>
          <t>구래동</t>
        </is>
      </c>
      <c r="U48" s="6" t="inlineStr">
        <is>
          <t>장기동</t>
        </is>
      </c>
    </row>
    <row r="49">
      <c r="A49" s="15" t="inlineStr">
        <is>
          <t>괴안동</t>
        </is>
      </c>
      <c r="B49" s="6" t="inlineStr">
        <is>
          <t>송내동</t>
        </is>
      </c>
      <c r="C49" s="6" t="inlineStr">
        <is>
          <t>소사동</t>
        </is>
      </c>
      <c r="D49" s="6" t="inlineStr">
        <is>
          <t>옥길동</t>
        </is>
      </c>
      <c r="E49" s="6" t="inlineStr">
        <is>
          <t>소사본동</t>
        </is>
      </c>
      <c r="F49" s="6" t="inlineStr">
        <is>
          <t>범박동</t>
        </is>
      </c>
      <c r="G49" s="6" t="inlineStr">
        <is>
          <t>계수동</t>
        </is>
      </c>
      <c r="H49" s="6" t="inlineStr">
        <is>
          <t>중동</t>
        </is>
      </c>
      <c r="I49" s="6" t="inlineStr">
        <is>
          <t>도당동</t>
        </is>
      </c>
      <c r="J49" s="6" t="inlineStr">
        <is>
          <t>상동</t>
        </is>
      </c>
      <c r="K49" s="6" t="inlineStr">
        <is>
          <t>심곡동</t>
        </is>
      </c>
      <c r="L49" s="6" t="inlineStr">
        <is>
          <t>춘의동</t>
        </is>
      </c>
      <c r="M49" s="6" t="inlineStr">
        <is>
          <t>원미동</t>
        </is>
      </c>
      <c r="N49" s="6" t="inlineStr">
        <is>
          <t>역곡동</t>
        </is>
      </c>
      <c r="O49" s="6" t="inlineStr">
        <is>
          <t>심곡본동</t>
        </is>
      </c>
      <c r="P49" s="6" t="inlineStr">
        <is>
          <t>내동</t>
        </is>
      </c>
      <c r="Q49" s="6" t="inlineStr">
        <is>
          <t>삼정동</t>
        </is>
      </c>
      <c r="R49" s="6" t="inlineStr">
        <is>
          <t>오정동</t>
        </is>
      </c>
      <c r="S49" s="6" t="inlineStr">
        <is>
          <t>원종동</t>
        </is>
      </c>
      <c r="T49" s="6" t="inlineStr">
        <is>
          <t>고강동</t>
        </is>
      </c>
      <c r="U49" s="6" t="inlineStr">
        <is>
          <t>여월동</t>
        </is>
      </c>
    </row>
    <row r="50">
      <c r="A50" s="15" t="inlineStr">
        <is>
          <t>누산리</t>
        </is>
      </c>
      <c r="B50" s="6" t="inlineStr">
        <is>
          <t>양곡리</t>
        </is>
      </c>
      <c r="C50" s="6" t="inlineStr">
        <is>
          <t>개곡리</t>
        </is>
      </c>
      <c r="D50" s="6" t="inlineStr">
        <is>
          <t>대포리</t>
        </is>
      </c>
      <c r="E50" s="6" t="inlineStr">
        <is>
          <t>흥신리</t>
        </is>
      </c>
      <c r="F50" s="6" t="inlineStr">
        <is>
          <t>향산리</t>
        </is>
      </c>
      <c r="G50" s="6" t="inlineStr">
        <is>
          <t>송마리</t>
        </is>
      </c>
      <c r="H50" s="6" t="inlineStr">
        <is>
          <t>대벽리</t>
        </is>
      </c>
      <c r="I50" s="6" t="inlineStr">
        <is>
          <t>대명리</t>
        </is>
      </c>
      <c r="J50" s="6" t="inlineStr">
        <is>
          <t>석탄리</t>
        </is>
      </c>
      <c r="K50" s="6" t="inlineStr">
        <is>
          <t>쇄암리</t>
        </is>
      </c>
      <c r="L50" s="6" t="inlineStr">
        <is>
          <t>약암리</t>
        </is>
      </c>
      <c r="M50" s="6" t="inlineStr">
        <is>
          <t>대능리</t>
        </is>
      </c>
      <c r="N50" s="6" t="inlineStr">
        <is>
          <t>초원지리</t>
        </is>
      </c>
      <c r="O50" s="6" t="inlineStr">
        <is>
          <t>상마리</t>
        </is>
      </c>
      <c r="P50" s="6" t="inlineStr">
        <is>
          <t>율생리</t>
        </is>
      </c>
      <c r="Q50" s="6" t="inlineStr">
        <is>
          <t>거물대리</t>
        </is>
      </c>
      <c r="R50" s="6" t="inlineStr">
        <is>
          <t>신안리</t>
        </is>
      </c>
      <c r="S50" s="6" t="inlineStr">
        <is>
          <t>오니산리</t>
        </is>
      </c>
      <c r="T50" s="6" t="inlineStr">
        <is>
          <t>구래동</t>
        </is>
      </c>
      <c r="U50" s="6" t="inlineStr">
        <is>
          <t>장기동</t>
        </is>
      </c>
    </row>
    <row r="51">
      <c r="A51" s="15" t="inlineStr">
        <is>
          <t>대포리</t>
        </is>
      </c>
      <c r="B51" s="6" t="inlineStr">
        <is>
          <t>양곡리</t>
        </is>
      </c>
      <c r="C51" s="6" t="inlineStr">
        <is>
          <t>개곡리</t>
        </is>
      </c>
      <c r="D51" s="6" t="inlineStr">
        <is>
          <t>누산리</t>
        </is>
      </c>
      <c r="E51" s="6" t="inlineStr">
        <is>
          <t>흥신리</t>
        </is>
      </c>
      <c r="F51" s="6" t="inlineStr">
        <is>
          <t>향산리</t>
        </is>
      </c>
      <c r="G51" s="6" t="inlineStr">
        <is>
          <t>송마리</t>
        </is>
      </c>
      <c r="H51" s="6" t="inlineStr">
        <is>
          <t>대벽리</t>
        </is>
      </c>
      <c r="I51" s="6" t="inlineStr">
        <is>
          <t>대명리</t>
        </is>
      </c>
      <c r="J51" s="6" t="inlineStr">
        <is>
          <t>석탄리</t>
        </is>
      </c>
      <c r="K51" s="6" t="inlineStr">
        <is>
          <t>쇄암리</t>
        </is>
      </c>
      <c r="L51" s="6" t="inlineStr">
        <is>
          <t>약암리</t>
        </is>
      </c>
      <c r="M51" s="6" t="inlineStr">
        <is>
          <t>대능리</t>
        </is>
      </c>
      <c r="N51" s="6" t="inlineStr">
        <is>
          <t>초원지리</t>
        </is>
      </c>
      <c r="O51" s="6" t="inlineStr">
        <is>
          <t>상마리</t>
        </is>
      </c>
      <c r="P51" s="6" t="inlineStr">
        <is>
          <t>율생리</t>
        </is>
      </c>
      <c r="Q51" s="6" t="inlineStr">
        <is>
          <t>거물대리</t>
        </is>
      </c>
      <c r="R51" s="6" t="inlineStr">
        <is>
          <t>신안리</t>
        </is>
      </c>
      <c r="S51" s="6" t="inlineStr">
        <is>
          <t>오니산리</t>
        </is>
      </c>
      <c r="T51" s="6" t="inlineStr">
        <is>
          <t>구래동</t>
        </is>
      </c>
      <c r="U51" s="6" t="inlineStr">
        <is>
          <t>장기동</t>
        </is>
      </c>
    </row>
    <row r="52">
      <c r="A52" s="15" t="inlineStr">
        <is>
          <t>마산동</t>
        </is>
      </c>
      <c r="B52" s="6" t="inlineStr">
        <is>
          <t>구래동</t>
        </is>
      </c>
      <c r="C52" s="6" t="inlineStr">
        <is>
          <t>장기동</t>
        </is>
      </c>
      <c r="D52" s="6" t="inlineStr">
        <is>
          <t>운양동</t>
        </is>
      </c>
      <c r="E52" s="6" t="inlineStr">
        <is>
          <t>사우동</t>
        </is>
      </c>
      <c r="F52" s="6" t="inlineStr">
        <is>
          <t>풍무동</t>
        </is>
      </c>
      <c r="G52" s="6" t="inlineStr">
        <is>
          <t>북변동</t>
        </is>
      </c>
      <c r="H52" s="6" t="inlineStr">
        <is>
          <t>걸포동</t>
        </is>
      </c>
      <c r="I52" s="6" t="inlineStr">
        <is>
          <t>감정동</t>
        </is>
      </c>
      <c r="J52" s="6" t="inlineStr">
        <is>
          <t>김포본동</t>
        </is>
      </c>
      <c r="K52" s="6" t="inlineStr">
        <is>
          <t>장기본동</t>
        </is>
      </c>
      <c r="L52" s="6" t="inlineStr">
        <is>
          <t>학운리</t>
        </is>
      </c>
      <c r="M52" s="6" t="inlineStr">
        <is>
          <t>가현리</t>
        </is>
      </c>
      <c r="N52" s="6" t="inlineStr">
        <is>
          <t>옹정리</t>
        </is>
      </c>
      <c r="O52" s="6" t="inlineStr">
        <is>
          <t>귀전리</t>
        </is>
      </c>
      <c r="P52" s="6" t="inlineStr">
        <is>
          <t>마송리</t>
        </is>
      </c>
      <c r="Q52" s="6" t="inlineStr">
        <is>
          <t>고정리</t>
        </is>
      </c>
      <c r="R52" s="6" t="inlineStr">
        <is>
          <t>갈산리</t>
        </is>
      </c>
      <c r="S52" s="6" t="inlineStr">
        <is>
          <t>고양리</t>
        </is>
      </c>
      <c r="T52" s="6" t="inlineStr">
        <is>
          <t>유현리</t>
        </is>
      </c>
      <c r="U52" s="6" t="inlineStr">
        <is>
          <t>서암리</t>
        </is>
      </c>
    </row>
    <row r="53">
      <c r="A53" s="15" t="inlineStr">
        <is>
          <t>거물대리</t>
        </is>
      </c>
      <c r="B53" s="6" t="inlineStr">
        <is>
          <t>송마리</t>
        </is>
      </c>
      <c r="C53" s="6" t="inlineStr">
        <is>
          <t>대벽리</t>
        </is>
      </c>
      <c r="D53" s="6" t="inlineStr">
        <is>
          <t>대명리</t>
        </is>
      </c>
      <c r="E53" s="6" t="inlineStr">
        <is>
          <t>석탄리</t>
        </is>
      </c>
      <c r="F53" s="6" t="inlineStr">
        <is>
          <t>쇄암리</t>
        </is>
      </c>
      <c r="G53" s="6" t="inlineStr">
        <is>
          <t>약암리</t>
        </is>
      </c>
      <c r="H53" s="6" t="inlineStr">
        <is>
          <t>대능리</t>
        </is>
      </c>
      <c r="I53" s="6" t="inlineStr">
        <is>
          <t>초원지리</t>
        </is>
      </c>
      <c r="J53" s="6" t="inlineStr">
        <is>
          <t>상마리</t>
        </is>
      </c>
      <c r="K53" s="6" t="inlineStr">
        <is>
          <t>율생리</t>
        </is>
      </c>
      <c r="L53" s="6" t="inlineStr">
        <is>
          <t>신안리</t>
        </is>
      </c>
      <c r="M53" s="6" t="inlineStr">
        <is>
          <t>오니산리</t>
        </is>
      </c>
      <c r="N53" s="6" t="inlineStr">
        <is>
          <t>학운리</t>
        </is>
      </c>
      <c r="O53" s="6" t="inlineStr">
        <is>
          <t>가현리</t>
        </is>
      </c>
      <c r="P53" s="6" t="inlineStr">
        <is>
          <t>옹정리</t>
        </is>
      </c>
      <c r="Q53" s="6" t="inlineStr">
        <is>
          <t>귀전리</t>
        </is>
      </c>
      <c r="R53" s="6" t="inlineStr">
        <is>
          <t>마송리</t>
        </is>
      </c>
      <c r="S53" s="6" t="inlineStr">
        <is>
          <t>고정리</t>
        </is>
      </c>
      <c r="T53" s="6" t="inlineStr">
        <is>
          <t>갈산리</t>
        </is>
      </c>
      <c r="U53" s="6" t="inlineStr">
        <is>
          <t>고양리</t>
        </is>
      </c>
    </row>
    <row r="54">
      <c r="A54" s="15" t="inlineStr">
        <is>
          <t>흥신리</t>
        </is>
      </c>
      <c r="B54" s="6" t="inlineStr">
        <is>
          <t>양곡리</t>
        </is>
      </c>
      <c r="C54" s="6" t="inlineStr">
        <is>
          <t>개곡리</t>
        </is>
      </c>
      <c r="D54" s="6" t="inlineStr">
        <is>
          <t>누산리</t>
        </is>
      </c>
      <c r="E54" s="6" t="inlineStr">
        <is>
          <t>대포리</t>
        </is>
      </c>
      <c r="F54" s="6" t="inlineStr">
        <is>
          <t>향산리</t>
        </is>
      </c>
      <c r="G54" s="6" t="inlineStr">
        <is>
          <t>송마리</t>
        </is>
      </c>
      <c r="H54" s="6" t="inlineStr">
        <is>
          <t>대벽리</t>
        </is>
      </c>
      <c r="I54" s="6" t="inlineStr">
        <is>
          <t>대명리</t>
        </is>
      </c>
      <c r="J54" s="6" t="inlineStr">
        <is>
          <t>석탄리</t>
        </is>
      </c>
      <c r="K54" s="6" t="inlineStr">
        <is>
          <t>쇄암리</t>
        </is>
      </c>
      <c r="L54" s="6" t="inlineStr">
        <is>
          <t>약암리</t>
        </is>
      </c>
      <c r="M54" s="6" t="inlineStr">
        <is>
          <t>대능리</t>
        </is>
      </c>
      <c r="N54" s="6" t="inlineStr">
        <is>
          <t>초원지리</t>
        </is>
      </c>
      <c r="O54" s="6" t="inlineStr">
        <is>
          <t>상마리</t>
        </is>
      </c>
      <c r="P54" s="6" t="inlineStr">
        <is>
          <t>율생리</t>
        </is>
      </c>
      <c r="Q54" s="6" t="inlineStr">
        <is>
          <t>거물대리</t>
        </is>
      </c>
      <c r="R54" s="6" t="inlineStr">
        <is>
          <t>신안리</t>
        </is>
      </c>
      <c r="S54" s="6" t="inlineStr">
        <is>
          <t>오니산리</t>
        </is>
      </c>
      <c r="T54" s="6" t="inlineStr">
        <is>
          <t>구래동</t>
        </is>
      </c>
      <c r="U54" s="6" t="inlineStr">
        <is>
          <t>장기동</t>
        </is>
      </c>
    </row>
    <row r="55">
      <c r="A55" s="15" t="inlineStr">
        <is>
          <t>여월동</t>
        </is>
      </c>
      <c r="B55" s="6" t="inlineStr">
        <is>
          <t>내동</t>
        </is>
      </c>
      <c r="C55" s="6" t="inlineStr">
        <is>
          <t>삼정동</t>
        </is>
      </c>
      <c r="D55" s="6" t="inlineStr">
        <is>
          <t>오정동</t>
        </is>
      </c>
      <c r="E55" s="6" t="inlineStr">
        <is>
          <t>원종동</t>
        </is>
      </c>
      <c r="F55" s="6" t="inlineStr">
        <is>
          <t>고강동</t>
        </is>
      </c>
      <c r="G55" s="6" t="inlineStr">
        <is>
          <t>대장동</t>
        </is>
      </c>
      <c r="H55" s="6" t="inlineStr">
        <is>
          <t>약대동</t>
        </is>
      </c>
      <c r="I55" s="6" t="inlineStr">
        <is>
          <t>성곡동</t>
        </is>
      </c>
      <c r="J55" s="6" t="inlineStr">
        <is>
          <t>작동</t>
        </is>
      </c>
      <c r="K55" s="6" t="inlineStr">
        <is>
          <t>중동</t>
        </is>
      </c>
      <c r="L55" s="6" t="inlineStr">
        <is>
          <t>도당동</t>
        </is>
      </c>
      <c r="M55" s="6" t="inlineStr">
        <is>
          <t>상동</t>
        </is>
      </c>
      <c r="N55" s="6" t="inlineStr">
        <is>
          <t>심곡동</t>
        </is>
      </c>
      <c r="O55" s="6" t="inlineStr">
        <is>
          <t>춘의동</t>
        </is>
      </c>
      <c r="P55" s="6" t="inlineStr">
        <is>
          <t>원미동</t>
        </is>
      </c>
      <c r="Q55" s="6" t="inlineStr">
        <is>
          <t>역곡동</t>
        </is>
      </c>
      <c r="R55" s="6" t="inlineStr">
        <is>
          <t>심곡본동</t>
        </is>
      </c>
      <c r="S55" s="6" t="inlineStr">
        <is>
          <t>신곡리</t>
        </is>
      </c>
      <c r="T55" s="6" t="inlineStr">
        <is>
          <t>태리</t>
        </is>
      </c>
      <c r="U55" s="6" t="inlineStr">
        <is>
          <t>전호리</t>
        </is>
      </c>
    </row>
    <row r="56">
      <c r="A56" s="15" t="inlineStr">
        <is>
          <t>도사리</t>
        </is>
      </c>
      <c r="B56" s="6" t="inlineStr">
        <is>
          <t>학운리</t>
        </is>
      </c>
      <c r="C56" s="6" t="inlineStr">
        <is>
          <t>가현리</t>
        </is>
      </c>
      <c r="D56" s="6" t="inlineStr">
        <is>
          <t>옹정리</t>
        </is>
      </c>
      <c r="E56" s="6" t="inlineStr">
        <is>
          <t>귀전리</t>
        </is>
      </c>
      <c r="F56" s="6" t="inlineStr">
        <is>
          <t>마송리</t>
        </is>
      </c>
      <c r="G56" s="6" t="inlineStr">
        <is>
          <t>고정리</t>
        </is>
      </c>
      <c r="H56" s="6" t="inlineStr">
        <is>
          <t>갈산리</t>
        </is>
      </c>
      <c r="I56" s="6" t="inlineStr">
        <is>
          <t>고양리</t>
        </is>
      </c>
      <c r="J56" s="6" t="inlineStr">
        <is>
          <t>유현리</t>
        </is>
      </c>
      <c r="K56" s="6" t="inlineStr">
        <is>
          <t>서암리</t>
        </is>
      </c>
      <c r="L56" s="6" t="inlineStr">
        <is>
          <t>동을산리</t>
        </is>
      </c>
      <c r="M56" s="6" t="inlineStr">
        <is>
          <t>수참리</t>
        </is>
      </c>
      <c r="N56" s="6" t="inlineStr">
        <is>
          <t>송마리</t>
        </is>
      </c>
      <c r="O56" s="6" t="inlineStr">
        <is>
          <t>대벽리</t>
        </is>
      </c>
      <c r="P56" s="6" t="inlineStr">
        <is>
          <t>대명리</t>
        </is>
      </c>
      <c r="Q56" s="6" t="inlineStr">
        <is>
          <t>석탄리</t>
        </is>
      </c>
      <c r="R56" s="6" t="inlineStr">
        <is>
          <t>쇄암리</t>
        </is>
      </c>
      <c r="S56" s="6" t="inlineStr">
        <is>
          <t>약암리</t>
        </is>
      </c>
      <c r="T56" s="6" t="inlineStr">
        <is>
          <t>대능리</t>
        </is>
      </c>
      <c r="U56" s="6" t="inlineStr">
        <is>
          <t>초원지리</t>
        </is>
      </c>
    </row>
    <row r="57">
      <c r="A57" s="15" t="inlineStr">
        <is>
          <t>향산리</t>
        </is>
      </c>
      <c r="B57" s="6" t="inlineStr">
        <is>
          <t>양곡리</t>
        </is>
      </c>
      <c r="C57" s="6" t="inlineStr">
        <is>
          <t>개곡리</t>
        </is>
      </c>
      <c r="D57" s="6" t="inlineStr">
        <is>
          <t>누산리</t>
        </is>
      </c>
      <c r="E57" s="6" t="inlineStr">
        <is>
          <t>대포리</t>
        </is>
      </c>
      <c r="F57" s="6" t="inlineStr">
        <is>
          <t>흥신리</t>
        </is>
      </c>
      <c r="G57" s="6" t="inlineStr">
        <is>
          <t>송마리</t>
        </is>
      </c>
      <c r="H57" s="6" t="inlineStr">
        <is>
          <t>대벽리</t>
        </is>
      </c>
      <c r="I57" s="6" t="inlineStr">
        <is>
          <t>대명리</t>
        </is>
      </c>
      <c r="J57" s="6" t="inlineStr">
        <is>
          <t>석탄리</t>
        </is>
      </c>
      <c r="K57" s="6" t="inlineStr">
        <is>
          <t>쇄암리</t>
        </is>
      </c>
      <c r="L57" s="6" t="inlineStr">
        <is>
          <t>약암리</t>
        </is>
      </c>
      <c r="M57" s="6" t="inlineStr">
        <is>
          <t>대능리</t>
        </is>
      </c>
      <c r="N57" s="6" t="inlineStr">
        <is>
          <t>초원지리</t>
        </is>
      </c>
      <c r="O57" s="6" t="inlineStr">
        <is>
          <t>상마리</t>
        </is>
      </c>
      <c r="P57" s="6" t="inlineStr">
        <is>
          <t>율생리</t>
        </is>
      </c>
      <c r="Q57" s="6" t="inlineStr">
        <is>
          <t>거물대리</t>
        </is>
      </c>
      <c r="R57" s="6" t="inlineStr">
        <is>
          <t>신안리</t>
        </is>
      </c>
      <c r="S57" s="6" t="inlineStr">
        <is>
          <t>오니산리</t>
        </is>
      </c>
      <c r="T57" s="6" t="inlineStr">
        <is>
          <t>구래동</t>
        </is>
      </c>
      <c r="U57" s="6" t="inlineStr">
        <is>
          <t>장기동</t>
        </is>
      </c>
    </row>
    <row r="58">
      <c r="A58" s="15" t="inlineStr">
        <is>
          <t>걸포동</t>
        </is>
      </c>
      <c r="B58" s="6" t="inlineStr">
        <is>
          <t>구래동</t>
        </is>
      </c>
      <c r="C58" s="6" t="inlineStr">
        <is>
          <t>장기동</t>
        </is>
      </c>
      <c r="D58" s="6" t="inlineStr">
        <is>
          <t>운양동</t>
        </is>
      </c>
      <c r="E58" s="6" t="inlineStr">
        <is>
          <t>사우동</t>
        </is>
      </c>
      <c r="F58" s="6" t="inlineStr">
        <is>
          <t>풍무동</t>
        </is>
      </c>
      <c r="G58" s="6" t="inlineStr">
        <is>
          <t>북변동</t>
        </is>
      </c>
      <c r="H58" s="6" t="inlineStr">
        <is>
          <t>마산동</t>
        </is>
      </c>
      <c r="I58" s="6" t="inlineStr">
        <is>
          <t>감정동</t>
        </is>
      </c>
      <c r="J58" s="6" t="inlineStr">
        <is>
          <t>김포본동</t>
        </is>
      </c>
      <c r="K58" s="6" t="inlineStr">
        <is>
          <t>장기본동</t>
        </is>
      </c>
      <c r="L58" s="6" t="inlineStr">
        <is>
          <t>학운리</t>
        </is>
      </c>
      <c r="M58" s="6" t="inlineStr">
        <is>
          <t>가현리</t>
        </is>
      </c>
      <c r="N58" s="6" t="inlineStr">
        <is>
          <t>옹정리</t>
        </is>
      </c>
      <c r="O58" s="6" t="inlineStr">
        <is>
          <t>귀전리</t>
        </is>
      </c>
      <c r="P58" s="6" t="inlineStr">
        <is>
          <t>마송리</t>
        </is>
      </c>
      <c r="Q58" s="6" t="inlineStr">
        <is>
          <t>고정리</t>
        </is>
      </c>
      <c r="R58" s="6" t="inlineStr">
        <is>
          <t>갈산리</t>
        </is>
      </c>
      <c r="S58" s="6" t="inlineStr">
        <is>
          <t>고양리</t>
        </is>
      </c>
      <c r="T58" s="6" t="inlineStr">
        <is>
          <t>유현리</t>
        </is>
      </c>
      <c r="U58" s="6" t="inlineStr">
        <is>
          <t>서암리</t>
        </is>
      </c>
    </row>
    <row r="59">
      <c r="A59" s="15" t="inlineStr">
        <is>
          <t>소사본동</t>
        </is>
      </c>
      <c r="B59" s="6" t="inlineStr">
        <is>
          <t>송내동</t>
        </is>
      </c>
      <c r="C59" s="6" t="inlineStr">
        <is>
          <t>소사동</t>
        </is>
      </c>
      <c r="D59" s="6" t="inlineStr">
        <is>
          <t>옥길동</t>
        </is>
      </c>
      <c r="E59" s="6" t="inlineStr">
        <is>
          <t>괴안동</t>
        </is>
      </c>
      <c r="F59" s="6" t="inlineStr">
        <is>
          <t>범박동</t>
        </is>
      </c>
      <c r="G59" s="6" t="inlineStr">
        <is>
          <t>계수동</t>
        </is>
      </c>
      <c r="H59" s="6" t="inlineStr">
        <is>
          <t>중동</t>
        </is>
      </c>
      <c r="I59" s="6" t="inlineStr">
        <is>
          <t>도당동</t>
        </is>
      </c>
      <c r="J59" s="6" t="inlineStr">
        <is>
          <t>상동</t>
        </is>
      </c>
      <c r="K59" s="6" t="inlineStr">
        <is>
          <t>심곡동</t>
        </is>
      </c>
      <c r="L59" s="6" t="inlineStr">
        <is>
          <t>춘의동</t>
        </is>
      </c>
      <c r="M59" s="6" t="inlineStr">
        <is>
          <t>원미동</t>
        </is>
      </c>
      <c r="N59" s="6" t="inlineStr">
        <is>
          <t>역곡동</t>
        </is>
      </c>
      <c r="O59" s="6" t="inlineStr">
        <is>
          <t>심곡본동</t>
        </is>
      </c>
      <c r="P59" s="6" t="inlineStr">
        <is>
          <t>내동</t>
        </is>
      </c>
      <c r="Q59" s="6" t="inlineStr">
        <is>
          <t>삼정동</t>
        </is>
      </c>
      <c r="R59" s="6" t="inlineStr">
        <is>
          <t>오정동</t>
        </is>
      </c>
      <c r="S59" s="6" t="inlineStr">
        <is>
          <t>원종동</t>
        </is>
      </c>
      <c r="T59" s="6" t="inlineStr">
        <is>
          <t>고강동</t>
        </is>
      </c>
      <c r="U59" s="6" t="inlineStr">
        <is>
          <t>여월동</t>
        </is>
      </c>
    </row>
    <row r="60">
      <c r="A60" s="15" t="inlineStr">
        <is>
          <t>전류리</t>
        </is>
      </c>
      <c r="B60" s="6" t="inlineStr">
        <is>
          <t>원산리</t>
        </is>
      </c>
      <c r="C60" s="6" t="inlineStr">
        <is>
          <t>마곡리</t>
        </is>
      </c>
      <c r="D60" s="6" t="inlineStr">
        <is>
          <t>양택리</t>
        </is>
      </c>
      <c r="E60" s="6" t="inlineStr">
        <is>
          <t>고막리</t>
        </is>
      </c>
      <c r="F60" s="6" t="inlineStr">
        <is>
          <t>시암리</t>
        </is>
      </c>
      <c r="G60" s="6" t="inlineStr">
        <is>
          <t>후평리</t>
        </is>
      </c>
      <c r="H60" s="6" t="inlineStr">
        <is>
          <t>봉성리</t>
        </is>
      </c>
      <c r="I60" s="6" t="inlineStr">
        <is>
          <t>석모리</t>
        </is>
      </c>
      <c r="J60" s="6" t="inlineStr">
        <is>
          <t>마조리</t>
        </is>
      </c>
      <c r="K60" s="6" t="inlineStr">
        <is>
          <t>가금리</t>
        </is>
      </c>
      <c r="L60" s="6" t="inlineStr">
        <is>
          <t>하사리</t>
        </is>
      </c>
      <c r="M60" s="6" t="inlineStr">
        <is>
          <t>학운리</t>
        </is>
      </c>
      <c r="N60" s="6" t="inlineStr">
        <is>
          <t>가현리</t>
        </is>
      </c>
      <c r="O60" s="6" t="inlineStr">
        <is>
          <t>옹정리</t>
        </is>
      </c>
      <c r="P60" s="6" t="inlineStr">
        <is>
          <t>귀전리</t>
        </is>
      </c>
      <c r="Q60" s="6" t="inlineStr">
        <is>
          <t>마송리</t>
        </is>
      </c>
      <c r="R60" s="6" t="inlineStr">
        <is>
          <t>고정리</t>
        </is>
      </c>
      <c r="S60" s="6" t="inlineStr">
        <is>
          <t>갈산리</t>
        </is>
      </c>
      <c r="T60" s="6" t="inlineStr">
        <is>
          <t>고양리</t>
        </is>
      </c>
      <c r="U60" s="6" t="inlineStr">
        <is>
          <t>유현리</t>
        </is>
      </c>
    </row>
    <row r="61">
      <c r="A61" s="15" t="inlineStr">
        <is>
          <t>고막리</t>
        </is>
      </c>
      <c r="B61" s="6" t="inlineStr">
        <is>
          <t>원산리</t>
        </is>
      </c>
      <c r="C61" s="6" t="inlineStr">
        <is>
          <t>마곡리</t>
        </is>
      </c>
      <c r="D61" s="6" t="inlineStr">
        <is>
          <t>양택리</t>
        </is>
      </c>
      <c r="E61" s="6" t="inlineStr">
        <is>
          <t>전류리</t>
        </is>
      </c>
      <c r="F61" s="6" t="inlineStr">
        <is>
          <t>시암리</t>
        </is>
      </c>
      <c r="G61" s="6" t="inlineStr">
        <is>
          <t>후평리</t>
        </is>
      </c>
      <c r="H61" s="6" t="inlineStr">
        <is>
          <t>봉성리</t>
        </is>
      </c>
      <c r="I61" s="6" t="inlineStr">
        <is>
          <t>석모리</t>
        </is>
      </c>
      <c r="J61" s="6" t="inlineStr">
        <is>
          <t>마조리</t>
        </is>
      </c>
      <c r="K61" s="6" t="inlineStr">
        <is>
          <t>가금리</t>
        </is>
      </c>
      <c r="L61" s="6" t="inlineStr">
        <is>
          <t>하사리</t>
        </is>
      </c>
      <c r="M61" s="6" t="inlineStr">
        <is>
          <t>학운리</t>
        </is>
      </c>
      <c r="N61" s="6" t="inlineStr">
        <is>
          <t>가현리</t>
        </is>
      </c>
      <c r="O61" s="6" t="inlineStr">
        <is>
          <t>옹정리</t>
        </is>
      </c>
      <c r="P61" s="6" t="inlineStr">
        <is>
          <t>귀전리</t>
        </is>
      </c>
      <c r="Q61" s="6" t="inlineStr">
        <is>
          <t>마송리</t>
        </is>
      </c>
      <c r="R61" s="6" t="inlineStr">
        <is>
          <t>고정리</t>
        </is>
      </c>
      <c r="S61" s="6" t="inlineStr">
        <is>
          <t>갈산리</t>
        </is>
      </c>
      <c r="T61" s="6" t="inlineStr">
        <is>
          <t>고양리</t>
        </is>
      </c>
      <c r="U61" s="6" t="inlineStr">
        <is>
          <t>유현리</t>
        </is>
      </c>
    </row>
    <row r="62">
      <c r="A62" s="15" t="inlineStr">
        <is>
          <t>대장동</t>
        </is>
      </c>
      <c r="B62" s="6" t="inlineStr">
        <is>
          <t>내동</t>
        </is>
      </c>
      <c r="C62" s="6" t="inlineStr">
        <is>
          <t>삼정동</t>
        </is>
      </c>
      <c r="D62" s="6" t="inlineStr">
        <is>
          <t>오정동</t>
        </is>
      </c>
      <c r="E62" s="6" t="inlineStr">
        <is>
          <t>원종동</t>
        </is>
      </c>
      <c r="F62" s="6" t="inlineStr">
        <is>
          <t>고강동</t>
        </is>
      </c>
      <c r="G62" s="6" t="inlineStr">
        <is>
          <t>여월동</t>
        </is>
      </c>
      <c r="H62" s="6" t="inlineStr">
        <is>
          <t>약대동</t>
        </is>
      </c>
      <c r="I62" s="6" t="inlineStr">
        <is>
          <t>성곡동</t>
        </is>
      </c>
      <c r="J62" s="6" t="inlineStr">
        <is>
          <t>작동</t>
        </is>
      </c>
      <c r="K62" s="6" t="inlineStr">
        <is>
          <t>중동</t>
        </is>
      </c>
      <c r="L62" s="6" t="inlineStr">
        <is>
          <t>도당동</t>
        </is>
      </c>
      <c r="M62" s="6" t="inlineStr">
        <is>
          <t>상동</t>
        </is>
      </c>
      <c r="N62" s="6" t="inlineStr">
        <is>
          <t>심곡동</t>
        </is>
      </c>
      <c r="O62" s="6" t="inlineStr">
        <is>
          <t>춘의동</t>
        </is>
      </c>
      <c r="P62" s="6" t="inlineStr">
        <is>
          <t>원미동</t>
        </is>
      </c>
      <c r="Q62" s="6" t="inlineStr">
        <is>
          <t>역곡동</t>
        </is>
      </c>
      <c r="R62" s="6" t="inlineStr">
        <is>
          <t>심곡본동</t>
        </is>
      </c>
      <c r="S62" s="6" t="inlineStr">
        <is>
          <t>신곡리</t>
        </is>
      </c>
      <c r="T62" s="6" t="inlineStr">
        <is>
          <t>태리</t>
        </is>
      </c>
      <c r="U62" s="6" t="inlineStr">
        <is>
          <t>전호리</t>
        </is>
      </c>
    </row>
    <row r="63">
      <c r="A63" s="15" t="inlineStr">
        <is>
          <t>감정동</t>
        </is>
      </c>
      <c r="B63" s="6" t="inlineStr">
        <is>
          <t>구래동</t>
        </is>
      </c>
      <c r="C63" s="6" t="inlineStr">
        <is>
          <t>장기동</t>
        </is>
      </c>
      <c r="D63" s="6" t="inlineStr">
        <is>
          <t>운양동</t>
        </is>
      </c>
      <c r="E63" s="6" t="inlineStr">
        <is>
          <t>사우동</t>
        </is>
      </c>
      <c r="F63" s="6" t="inlineStr">
        <is>
          <t>풍무동</t>
        </is>
      </c>
      <c r="G63" s="6" t="inlineStr">
        <is>
          <t>북변동</t>
        </is>
      </c>
      <c r="H63" s="6" t="inlineStr">
        <is>
          <t>마산동</t>
        </is>
      </c>
      <c r="I63" s="6" t="inlineStr">
        <is>
          <t>걸포동</t>
        </is>
      </c>
      <c r="J63" s="6" t="inlineStr">
        <is>
          <t>김포본동</t>
        </is>
      </c>
      <c r="K63" s="6" t="inlineStr">
        <is>
          <t>장기본동</t>
        </is>
      </c>
      <c r="L63" s="6" t="inlineStr">
        <is>
          <t>학운리</t>
        </is>
      </c>
      <c r="M63" s="6" t="inlineStr">
        <is>
          <t>가현리</t>
        </is>
      </c>
      <c r="N63" s="6" t="inlineStr">
        <is>
          <t>옹정리</t>
        </is>
      </c>
      <c r="O63" s="6" t="inlineStr">
        <is>
          <t>귀전리</t>
        </is>
      </c>
      <c r="P63" s="6" t="inlineStr">
        <is>
          <t>마송리</t>
        </is>
      </c>
      <c r="Q63" s="6" t="inlineStr">
        <is>
          <t>고정리</t>
        </is>
      </c>
      <c r="R63" s="6" t="inlineStr">
        <is>
          <t>갈산리</t>
        </is>
      </c>
      <c r="S63" s="6" t="inlineStr">
        <is>
          <t>고양리</t>
        </is>
      </c>
      <c r="T63" s="6" t="inlineStr">
        <is>
          <t>유현리</t>
        </is>
      </c>
      <c r="U63" s="6" t="inlineStr">
        <is>
          <t>서암리</t>
        </is>
      </c>
    </row>
    <row r="64">
      <c r="A64" s="15" t="inlineStr">
        <is>
          <t>동을산리</t>
        </is>
      </c>
      <c r="B64" s="6" t="inlineStr">
        <is>
          <t>학운리</t>
        </is>
      </c>
      <c r="C64" s="6" t="inlineStr">
        <is>
          <t>가현리</t>
        </is>
      </c>
      <c r="D64" s="6" t="inlineStr">
        <is>
          <t>옹정리</t>
        </is>
      </c>
      <c r="E64" s="6" t="inlineStr">
        <is>
          <t>귀전리</t>
        </is>
      </c>
      <c r="F64" s="6" t="inlineStr">
        <is>
          <t>마송리</t>
        </is>
      </c>
      <c r="G64" s="6" t="inlineStr">
        <is>
          <t>고정리</t>
        </is>
      </c>
      <c r="H64" s="6" t="inlineStr">
        <is>
          <t>갈산리</t>
        </is>
      </c>
      <c r="I64" s="6" t="inlineStr">
        <is>
          <t>고양리</t>
        </is>
      </c>
      <c r="J64" s="6" t="inlineStr">
        <is>
          <t>유현리</t>
        </is>
      </c>
      <c r="K64" s="6" t="inlineStr">
        <is>
          <t>서암리</t>
        </is>
      </c>
      <c r="L64" s="6" t="inlineStr">
        <is>
          <t>도사리</t>
        </is>
      </c>
      <c r="M64" s="6" t="inlineStr">
        <is>
          <t>수참리</t>
        </is>
      </c>
      <c r="N64" s="6" t="inlineStr">
        <is>
          <t>송마리</t>
        </is>
      </c>
      <c r="O64" s="6" t="inlineStr">
        <is>
          <t>대벽리</t>
        </is>
      </c>
      <c r="P64" s="6" t="inlineStr">
        <is>
          <t>대명리</t>
        </is>
      </c>
      <c r="Q64" s="6" t="inlineStr">
        <is>
          <t>석탄리</t>
        </is>
      </c>
      <c r="R64" s="6" t="inlineStr">
        <is>
          <t>쇄암리</t>
        </is>
      </c>
      <c r="S64" s="6" t="inlineStr">
        <is>
          <t>약암리</t>
        </is>
      </c>
      <c r="T64" s="6" t="inlineStr">
        <is>
          <t>대능리</t>
        </is>
      </c>
      <c r="U64" s="6" t="inlineStr">
        <is>
          <t>초원지리</t>
        </is>
      </c>
    </row>
    <row r="65">
      <c r="A65" s="15" t="inlineStr">
        <is>
          <t>포내리</t>
        </is>
      </c>
      <c r="B65" s="6" t="inlineStr">
        <is>
          <t>군하리</t>
        </is>
      </c>
      <c r="C65" s="6" t="inlineStr">
        <is>
          <t>조강리</t>
        </is>
      </c>
      <c r="D65" s="6" t="inlineStr">
        <is>
          <t>학운리</t>
        </is>
      </c>
      <c r="E65" s="6" t="inlineStr">
        <is>
          <t>가현리</t>
        </is>
      </c>
      <c r="F65" s="6" t="inlineStr">
        <is>
          <t>옹정리</t>
        </is>
      </c>
      <c r="G65" s="6" t="inlineStr">
        <is>
          <t>귀전리</t>
        </is>
      </c>
      <c r="H65" s="6" t="inlineStr">
        <is>
          <t>마송리</t>
        </is>
      </c>
      <c r="I65" s="6" t="inlineStr">
        <is>
          <t>고정리</t>
        </is>
      </c>
      <c r="J65" s="6" t="inlineStr">
        <is>
          <t>갈산리</t>
        </is>
      </c>
      <c r="K65" s="6" t="inlineStr">
        <is>
          <t>고양리</t>
        </is>
      </c>
      <c r="L65" s="6" t="inlineStr">
        <is>
          <t>유현리</t>
        </is>
      </c>
      <c r="M65" s="6" t="inlineStr">
        <is>
          <t>서암리</t>
        </is>
      </c>
      <c r="N65" s="6" t="inlineStr">
        <is>
          <t>도사리</t>
        </is>
      </c>
      <c r="O65" s="6" t="inlineStr">
        <is>
          <t>동을산리</t>
        </is>
      </c>
      <c r="P65" s="6" t="inlineStr">
        <is>
          <t>수참리</t>
        </is>
      </c>
      <c r="Q65" s="6" t="inlineStr">
        <is>
          <t>송마리</t>
        </is>
      </c>
      <c r="R65" s="6" t="inlineStr">
        <is>
          <t>대벽리</t>
        </is>
      </c>
      <c r="S65" s="6" t="inlineStr">
        <is>
          <t>대명리</t>
        </is>
      </c>
      <c r="T65" s="6" t="inlineStr">
        <is>
          <t>석탄리</t>
        </is>
      </c>
      <c r="U65" s="6" t="inlineStr">
        <is>
          <t>쇄암리</t>
        </is>
      </c>
    </row>
    <row r="66">
      <c r="A66" s="15" t="inlineStr">
        <is>
          <t>신곡리</t>
        </is>
      </c>
      <c r="B66" s="6" t="inlineStr">
        <is>
          <t>태리</t>
        </is>
      </c>
      <c r="C66" s="6" t="inlineStr">
        <is>
          <t>전호리</t>
        </is>
      </c>
      <c r="D66" s="6" t="inlineStr">
        <is>
          <t>용강리</t>
        </is>
      </c>
      <c r="E66" s="6" t="inlineStr">
        <is>
          <t>구래동</t>
        </is>
      </c>
      <c r="F66" s="6" t="inlineStr">
        <is>
          <t>장기동</t>
        </is>
      </c>
      <c r="G66" s="6" t="inlineStr">
        <is>
          <t>운양동</t>
        </is>
      </c>
      <c r="H66" s="6" t="inlineStr">
        <is>
          <t>사우동</t>
        </is>
      </c>
      <c r="I66" s="6" t="inlineStr">
        <is>
          <t>풍무동</t>
        </is>
      </c>
      <c r="J66" s="6" t="inlineStr">
        <is>
          <t>북변동</t>
        </is>
      </c>
      <c r="K66" s="6" t="inlineStr">
        <is>
          <t>마산동</t>
        </is>
      </c>
      <c r="L66" s="6" t="inlineStr">
        <is>
          <t>걸포동</t>
        </is>
      </c>
      <c r="M66" s="6" t="inlineStr">
        <is>
          <t>감정동</t>
        </is>
      </c>
      <c r="N66" s="6" t="inlineStr">
        <is>
          <t>김포본동</t>
        </is>
      </c>
      <c r="O66" s="6" t="inlineStr">
        <is>
          <t>장기본동</t>
        </is>
      </c>
      <c r="P66" s="6" t="inlineStr">
        <is>
          <t>양곡리</t>
        </is>
      </c>
      <c r="Q66" s="6" t="inlineStr">
        <is>
          <t>개곡리</t>
        </is>
      </c>
      <c r="R66" s="6" t="inlineStr">
        <is>
          <t>누산리</t>
        </is>
      </c>
      <c r="S66" s="6" t="inlineStr">
        <is>
          <t>대포리</t>
        </is>
      </c>
      <c r="T66" s="6" t="inlineStr">
        <is>
          <t>흥신리</t>
        </is>
      </c>
      <c r="U66" s="6" t="inlineStr">
        <is>
          <t>향산리</t>
        </is>
      </c>
    </row>
    <row r="67">
      <c r="A67" s="15" t="inlineStr">
        <is>
          <t>태리</t>
        </is>
      </c>
      <c r="B67" s="6" t="inlineStr">
        <is>
          <t>신곡리</t>
        </is>
      </c>
      <c r="C67" s="6" t="inlineStr">
        <is>
          <t>전호리</t>
        </is>
      </c>
      <c r="D67" s="6" t="inlineStr">
        <is>
          <t>용강리</t>
        </is>
      </c>
      <c r="E67" s="6" t="inlineStr">
        <is>
          <t>구래동</t>
        </is>
      </c>
      <c r="F67" s="6" t="inlineStr">
        <is>
          <t>장기동</t>
        </is>
      </c>
      <c r="G67" s="6" t="inlineStr">
        <is>
          <t>운양동</t>
        </is>
      </c>
      <c r="H67" s="6" t="inlineStr">
        <is>
          <t>사우동</t>
        </is>
      </c>
      <c r="I67" s="6" t="inlineStr">
        <is>
          <t>풍무동</t>
        </is>
      </c>
      <c r="J67" s="6" t="inlineStr">
        <is>
          <t>북변동</t>
        </is>
      </c>
      <c r="K67" s="6" t="inlineStr">
        <is>
          <t>마산동</t>
        </is>
      </c>
      <c r="L67" s="6" t="inlineStr">
        <is>
          <t>걸포동</t>
        </is>
      </c>
      <c r="M67" s="6" t="inlineStr">
        <is>
          <t>감정동</t>
        </is>
      </c>
      <c r="N67" s="6" t="inlineStr">
        <is>
          <t>김포본동</t>
        </is>
      </c>
      <c r="O67" s="6" t="inlineStr">
        <is>
          <t>장기본동</t>
        </is>
      </c>
      <c r="P67" s="6" t="inlineStr">
        <is>
          <t>양곡리</t>
        </is>
      </c>
      <c r="Q67" s="6" t="inlineStr">
        <is>
          <t>개곡리</t>
        </is>
      </c>
      <c r="R67" s="6" t="inlineStr">
        <is>
          <t>누산리</t>
        </is>
      </c>
      <c r="S67" s="6" t="inlineStr">
        <is>
          <t>대포리</t>
        </is>
      </c>
      <c r="T67" s="6" t="inlineStr">
        <is>
          <t>흥신리</t>
        </is>
      </c>
      <c r="U67" s="6" t="inlineStr">
        <is>
          <t>향산리</t>
        </is>
      </c>
    </row>
    <row r="68">
      <c r="A68" s="15" t="inlineStr">
        <is>
          <t>약대동</t>
        </is>
      </c>
      <c r="B68" s="6" t="inlineStr">
        <is>
          <t>내동</t>
        </is>
      </c>
      <c r="C68" s="6" t="inlineStr">
        <is>
          <t>삼정동</t>
        </is>
      </c>
      <c r="D68" s="6" t="inlineStr">
        <is>
          <t>오정동</t>
        </is>
      </c>
      <c r="E68" s="6" t="inlineStr">
        <is>
          <t>원종동</t>
        </is>
      </c>
      <c r="F68" s="6" t="inlineStr">
        <is>
          <t>고강동</t>
        </is>
      </c>
      <c r="G68" s="6" t="inlineStr">
        <is>
          <t>여월동</t>
        </is>
      </c>
      <c r="H68" s="6" t="inlineStr">
        <is>
          <t>대장동</t>
        </is>
      </c>
      <c r="I68" s="6" t="inlineStr">
        <is>
          <t>성곡동</t>
        </is>
      </c>
      <c r="J68" s="6" t="inlineStr">
        <is>
          <t>작동</t>
        </is>
      </c>
      <c r="K68" s="6" t="inlineStr">
        <is>
          <t>중동</t>
        </is>
      </c>
      <c r="L68" s="6" t="inlineStr">
        <is>
          <t>도당동</t>
        </is>
      </c>
      <c r="M68" s="6" t="inlineStr">
        <is>
          <t>상동</t>
        </is>
      </c>
      <c r="N68" s="6" t="inlineStr">
        <is>
          <t>심곡동</t>
        </is>
      </c>
      <c r="O68" s="6" t="inlineStr">
        <is>
          <t>춘의동</t>
        </is>
      </c>
      <c r="P68" s="6" t="inlineStr">
        <is>
          <t>원미동</t>
        </is>
      </c>
      <c r="Q68" s="6" t="inlineStr">
        <is>
          <t>역곡동</t>
        </is>
      </c>
      <c r="R68" s="6" t="inlineStr">
        <is>
          <t>심곡본동</t>
        </is>
      </c>
      <c r="S68" s="6" t="inlineStr">
        <is>
          <t>신곡리</t>
        </is>
      </c>
      <c r="T68" s="6" t="inlineStr">
        <is>
          <t>태리</t>
        </is>
      </c>
      <c r="U68" s="6" t="inlineStr">
        <is>
          <t>전호리</t>
        </is>
      </c>
    </row>
    <row r="69">
      <c r="A69" s="15" t="inlineStr">
        <is>
          <t>군하리</t>
        </is>
      </c>
      <c r="B69" s="6" t="inlineStr">
        <is>
          <t>포내리</t>
        </is>
      </c>
      <c r="C69" s="6" t="inlineStr">
        <is>
          <t>조강리</t>
        </is>
      </c>
      <c r="D69" s="6" t="inlineStr">
        <is>
          <t>학운리</t>
        </is>
      </c>
      <c r="E69" s="6" t="inlineStr">
        <is>
          <t>가현리</t>
        </is>
      </c>
      <c r="F69" s="6" t="inlineStr">
        <is>
          <t>옹정리</t>
        </is>
      </c>
      <c r="G69" s="6" t="inlineStr">
        <is>
          <t>귀전리</t>
        </is>
      </c>
      <c r="H69" s="6" t="inlineStr">
        <is>
          <t>마송리</t>
        </is>
      </c>
      <c r="I69" s="6" t="inlineStr">
        <is>
          <t>고정리</t>
        </is>
      </c>
      <c r="J69" s="6" t="inlineStr">
        <is>
          <t>갈산리</t>
        </is>
      </c>
      <c r="K69" s="6" t="inlineStr">
        <is>
          <t>고양리</t>
        </is>
      </c>
      <c r="L69" s="6" t="inlineStr">
        <is>
          <t>유현리</t>
        </is>
      </c>
      <c r="M69" s="6" t="inlineStr">
        <is>
          <t>서암리</t>
        </is>
      </c>
      <c r="N69" s="6" t="inlineStr">
        <is>
          <t>도사리</t>
        </is>
      </c>
      <c r="O69" s="6" t="inlineStr">
        <is>
          <t>동을산리</t>
        </is>
      </c>
      <c r="P69" s="6" t="inlineStr">
        <is>
          <t>수참리</t>
        </is>
      </c>
      <c r="Q69" s="6" t="inlineStr">
        <is>
          <t>송마리</t>
        </is>
      </c>
      <c r="R69" s="6" t="inlineStr">
        <is>
          <t>대벽리</t>
        </is>
      </c>
      <c r="S69" s="6" t="inlineStr">
        <is>
          <t>대명리</t>
        </is>
      </c>
      <c r="T69" s="6" t="inlineStr">
        <is>
          <t>석탄리</t>
        </is>
      </c>
      <c r="U69" s="6" t="inlineStr">
        <is>
          <t>쇄암리</t>
        </is>
      </c>
    </row>
    <row r="70">
      <c r="A70" s="15" t="inlineStr">
        <is>
          <t>시암리</t>
        </is>
      </c>
      <c r="B70" s="6" t="inlineStr">
        <is>
          <t>원산리</t>
        </is>
      </c>
      <c r="C70" s="6" t="inlineStr">
        <is>
          <t>마곡리</t>
        </is>
      </c>
      <c r="D70" s="6" t="inlineStr">
        <is>
          <t>양택리</t>
        </is>
      </c>
      <c r="E70" s="6" t="inlineStr">
        <is>
          <t>전류리</t>
        </is>
      </c>
      <c r="F70" s="6" t="inlineStr">
        <is>
          <t>고막리</t>
        </is>
      </c>
      <c r="G70" s="6" t="inlineStr">
        <is>
          <t>후평리</t>
        </is>
      </c>
      <c r="H70" s="6" t="inlineStr">
        <is>
          <t>봉성리</t>
        </is>
      </c>
      <c r="I70" s="6" t="inlineStr">
        <is>
          <t>석모리</t>
        </is>
      </c>
      <c r="J70" s="6" t="inlineStr">
        <is>
          <t>마조리</t>
        </is>
      </c>
      <c r="K70" s="6" t="inlineStr">
        <is>
          <t>가금리</t>
        </is>
      </c>
      <c r="L70" s="6" t="inlineStr">
        <is>
          <t>하사리</t>
        </is>
      </c>
      <c r="M70" s="6" t="inlineStr">
        <is>
          <t>학운리</t>
        </is>
      </c>
      <c r="N70" s="6" t="inlineStr">
        <is>
          <t>가현리</t>
        </is>
      </c>
      <c r="O70" s="6" t="inlineStr">
        <is>
          <t>옹정리</t>
        </is>
      </c>
      <c r="P70" s="6" t="inlineStr">
        <is>
          <t>귀전리</t>
        </is>
      </c>
      <c r="Q70" s="6" t="inlineStr">
        <is>
          <t>마송리</t>
        </is>
      </c>
      <c r="R70" s="6" t="inlineStr">
        <is>
          <t>고정리</t>
        </is>
      </c>
      <c r="S70" s="6" t="inlineStr">
        <is>
          <t>갈산리</t>
        </is>
      </c>
      <c r="T70" s="6" t="inlineStr">
        <is>
          <t>고양리</t>
        </is>
      </c>
      <c r="U70" s="6" t="inlineStr">
        <is>
          <t>유현리</t>
        </is>
      </c>
    </row>
    <row r="71">
      <c r="A71" s="15" t="inlineStr">
        <is>
          <t>범박동</t>
        </is>
      </c>
      <c r="B71" s="6" t="inlineStr">
        <is>
          <t>송내동</t>
        </is>
      </c>
      <c r="C71" s="6" t="inlineStr">
        <is>
          <t>소사동</t>
        </is>
      </c>
      <c r="D71" s="6" t="inlineStr">
        <is>
          <t>옥길동</t>
        </is>
      </c>
      <c r="E71" s="6" t="inlineStr">
        <is>
          <t>괴안동</t>
        </is>
      </c>
      <c r="F71" s="6" t="inlineStr">
        <is>
          <t>소사본동</t>
        </is>
      </c>
      <c r="G71" s="6" t="inlineStr">
        <is>
          <t>계수동</t>
        </is>
      </c>
      <c r="H71" s="6" t="inlineStr">
        <is>
          <t>중동</t>
        </is>
      </c>
      <c r="I71" s="6" t="inlineStr">
        <is>
          <t>도당동</t>
        </is>
      </c>
      <c r="J71" s="6" t="inlineStr">
        <is>
          <t>상동</t>
        </is>
      </c>
      <c r="K71" s="6" t="inlineStr">
        <is>
          <t>심곡동</t>
        </is>
      </c>
      <c r="L71" s="6" t="inlineStr">
        <is>
          <t>춘의동</t>
        </is>
      </c>
      <c r="M71" s="6" t="inlineStr">
        <is>
          <t>원미동</t>
        </is>
      </c>
      <c r="N71" s="6" t="inlineStr">
        <is>
          <t>역곡동</t>
        </is>
      </c>
      <c r="O71" s="6" t="inlineStr">
        <is>
          <t>심곡본동</t>
        </is>
      </c>
      <c r="P71" s="6" t="inlineStr">
        <is>
          <t>내동</t>
        </is>
      </c>
      <c r="Q71" s="6" t="inlineStr">
        <is>
          <t>삼정동</t>
        </is>
      </c>
      <c r="R71" s="6" t="inlineStr">
        <is>
          <t>오정동</t>
        </is>
      </c>
      <c r="S71" s="6" t="inlineStr">
        <is>
          <t>원종동</t>
        </is>
      </c>
      <c r="T71" s="6" t="inlineStr">
        <is>
          <t>고강동</t>
        </is>
      </c>
      <c r="U71" s="6" t="inlineStr">
        <is>
          <t>여월동</t>
        </is>
      </c>
    </row>
    <row r="72">
      <c r="A72" s="15" t="inlineStr">
        <is>
          <t>후평리</t>
        </is>
      </c>
      <c r="B72" s="6" t="inlineStr">
        <is>
          <t>원산리</t>
        </is>
      </c>
      <c r="C72" s="6" t="inlineStr">
        <is>
          <t>마곡리</t>
        </is>
      </c>
      <c r="D72" s="6" t="inlineStr">
        <is>
          <t>양택리</t>
        </is>
      </c>
      <c r="E72" s="6" t="inlineStr">
        <is>
          <t>전류리</t>
        </is>
      </c>
      <c r="F72" s="6" t="inlineStr">
        <is>
          <t>고막리</t>
        </is>
      </c>
      <c r="G72" s="6" t="inlineStr">
        <is>
          <t>시암리</t>
        </is>
      </c>
      <c r="H72" s="6" t="inlineStr">
        <is>
          <t>봉성리</t>
        </is>
      </c>
      <c r="I72" s="6" t="inlineStr">
        <is>
          <t>석모리</t>
        </is>
      </c>
      <c r="J72" s="6" t="inlineStr">
        <is>
          <t>마조리</t>
        </is>
      </c>
      <c r="K72" s="6" t="inlineStr">
        <is>
          <t>가금리</t>
        </is>
      </c>
      <c r="L72" s="6" t="inlineStr">
        <is>
          <t>하사리</t>
        </is>
      </c>
      <c r="M72" s="6" t="inlineStr">
        <is>
          <t>학운리</t>
        </is>
      </c>
      <c r="N72" s="6" t="inlineStr">
        <is>
          <t>가현리</t>
        </is>
      </c>
      <c r="O72" s="6" t="inlineStr">
        <is>
          <t>옹정리</t>
        </is>
      </c>
      <c r="P72" s="6" t="inlineStr">
        <is>
          <t>귀전리</t>
        </is>
      </c>
      <c r="Q72" s="6" t="inlineStr">
        <is>
          <t>마송리</t>
        </is>
      </c>
      <c r="R72" s="6" t="inlineStr">
        <is>
          <t>고정리</t>
        </is>
      </c>
      <c r="S72" s="6" t="inlineStr">
        <is>
          <t>갈산리</t>
        </is>
      </c>
      <c r="T72" s="6" t="inlineStr">
        <is>
          <t>고양리</t>
        </is>
      </c>
      <c r="U72" s="6" t="inlineStr">
        <is>
          <t>유현리</t>
        </is>
      </c>
    </row>
    <row r="73">
      <c r="A73" s="15" t="inlineStr">
        <is>
          <t>봉성리</t>
        </is>
      </c>
      <c r="B73" s="6" t="inlineStr">
        <is>
          <t>원산리</t>
        </is>
      </c>
      <c r="C73" s="6" t="inlineStr">
        <is>
          <t>마곡리</t>
        </is>
      </c>
      <c r="D73" s="6" t="inlineStr">
        <is>
          <t>양택리</t>
        </is>
      </c>
      <c r="E73" s="6" t="inlineStr">
        <is>
          <t>전류리</t>
        </is>
      </c>
      <c r="F73" s="6" t="inlineStr">
        <is>
          <t>고막리</t>
        </is>
      </c>
      <c r="G73" s="6" t="inlineStr">
        <is>
          <t>시암리</t>
        </is>
      </c>
      <c r="H73" s="6" t="inlineStr">
        <is>
          <t>후평리</t>
        </is>
      </c>
      <c r="I73" s="6" t="inlineStr">
        <is>
          <t>석모리</t>
        </is>
      </c>
      <c r="J73" s="6" t="inlineStr">
        <is>
          <t>마조리</t>
        </is>
      </c>
      <c r="K73" s="6" t="inlineStr">
        <is>
          <t>가금리</t>
        </is>
      </c>
      <c r="L73" s="6" t="inlineStr">
        <is>
          <t>하사리</t>
        </is>
      </c>
      <c r="M73" s="6" t="inlineStr">
        <is>
          <t>학운리</t>
        </is>
      </c>
      <c r="N73" s="6" t="inlineStr">
        <is>
          <t>가현리</t>
        </is>
      </c>
      <c r="O73" s="6" t="inlineStr">
        <is>
          <t>옹정리</t>
        </is>
      </c>
      <c r="P73" s="6" t="inlineStr">
        <is>
          <t>귀전리</t>
        </is>
      </c>
      <c r="Q73" s="6" t="inlineStr">
        <is>
          <t>마송리</t>
        </is>
      </c>
      <c r="R73" s="6" t="inlineStr">
        <is>
          <t>고정리</t>
        </is>
      </c>
      <c r="S73" s="6" t="inlineStr">
        <is>
          <t>갈산리</t>
        </is>
      </c>
      <c r="T73" s="6" t="inlineStr">
        <is>
          <t>고양리</t>
        </is>
      </c>
      <c r="U73" s="6" t="inlineStr">
        <is>
          <t>유현리</t>
        </is>
      </c>
    </row>
    <row r="74">
      <c r="A74" s="15" t="inlineStr">
        <is>
          <t>석모리</t>
        </is>
      </c>
      <c r="B74" s="6" t="inlineStr">
        <is>
          <t>원산리</t>
        </is>
      </c>
      <c r="C74" s="6" t="inlineStr">
        <is>
          <t>마곡리</t>
        </is>
      </c>
      <c r="D74" s="6" t="inlineStr">
        <is>
          <t>양택리</t>
        </is>
      </c>
      <c r="E74" s="6" t="inlineStr">
        <is>
          <t>전류리</t>
        </is>
      </c>
      <c r="F74" s="6" t="inlineStr">
        <is>
          <t>고막리</t>
        </is>
      </c>
      <c r="G74" s="6" t="inlineStr">
        <is>
          <t>시암리</t>
        </is>
      </c>
      <c r="H74" s="6" t="inlineStr">
        <is>
          <t>후평리</t>
        </is>
      </c>
      <c r="I74" s="6" t="inlineStr">
        <is>
          <t>봉성리</t>
        </is>
      </c>
      <c r="J74" s="6" t="inlineStr">
        <is>
          <t>마조리</t>
        </is>
      </c>
      <c r="K74" s="6" t="inlineStr">
        <is>
          <t>가금리</t>
        </is>
      </c>
      <c r="L74" s="6" t="inlineStr">
        <is>
          <t>하사리</t>
        </is>
      </c>
      <c r="M74" s="6" t="inlineStr">
        <is>
          <t>학운리</t>
        </is>
      </c>
      <c r="N74" s="6" t="inlineStr">
        <is>
          <t>가현리</t>
        </is>
      </c>
      <c r="O74" s="6" t="inlineStr">
        <is>
          <t>옹정리</t>
        </is>
      </c>
      <c r="P74" s="6" t="inlineStr">
        <is>
          <t>귀전리</t>
        </is>
      </c>
      <c r="Q74" s="6" t="inlineStr">
        <is>
          <t>마송리</t>
        </is>
      </c>
      <c r="R74" s="6" t="inlineStr">
        <is>
          <t>고정리</t>
        </is>
      </c>
      <c r="S74" s="6" t="inlineStr">
        <is>
          <t>갈산리</t>
        </is>
      </c>
      <c r="T74" s="6" t="inlineStr">
        <is>
          <t>고양리</t>
        </is>
      </c>
      <c r="U74" s="6" t="inlineStr">
        <is>
          <t>유현리</t>
        </is>
      </c>
    </row>
    <row r="75">
      <c r="A75" s="15" t="inlineStr">
        <is>
          <t>수참리</t>
        </is>
      </c>
      <c r="B75" s="6" t="inlineStr">
        <is>
          <t>학운리</t>
        </is>
      </c>
      <c r="C75" s="6" t="inlineStr">
        <is>
          <t>가현리</t>
        </is>
      </c>
      <c r="D75" s="6" t="inlineStr">
        <is>
          <t>옹정리</t>
        </is>
      </c>
      <c r="E75" s="6" t="inlineStr">
        <is>
          <t>귀전리</t>
        </is>
      </c>
      <c r="F75" s="6" t="inlineStr">
        <is>
          <t>마송리</t>
        </is>
      </c>
      <c r="G75" s="6" t="inlineStr">
        <is>
          <t>고정리</t>
        </is>
      </c>
      <c r="H75" s="6" t="inlineStr">
        <is>
          <t>갈산리</t>
        </is>
      </c>
      <c r="I75" s="6" t="inlineStr">
        <is>
          <t>고양리</t>
        </is>
      </c>
      <c r="J75" s="6" t="inlineStr">
        <is>
          <t>유현리</t>
        </is>
      </c>
      <c r="K75" s="6" t="inlineStr">
        <is>
          <t>서암리</t>
        </is>
      </c>
      <c r="L75" s="6" t="inlineStr">
        <is>
          <t>도사리</t>
        </is>
      </c>
      <c r="M75" s="6" t="inlineStr">
        <is>
          <t>동을산리</t>
        </is>
      </c>
      <c r="N75" s="6" t="inlineStr">
        <is>
          <t>송마리</t>
        </is>
      </c>
      <c r="O75" s="6" t="inlineStr">
        <is>
          <t>대벽리</t>
        </is>
      </c>
      <c r="P75" s="6" t="inlineStr">
        <is>
          <t>대명리</t>
        </is>
      </c>
      <c r="Q75" s="6" t="inlineStr">
        <is>
          <t>석탄리</t>
        </is>
      </c>
      <c r="R75" s="6" t="inlineStr">
        <is>
          <t>쇄암리</t>
        </is>
      </c>
      <c r="S75" s="6" t="inlineStr">
        <is>
          <t>약암리</t>
        </is>
      </c>
      <c r="T75" s="6" t="inlineStr">
        <is>
          <t>대능리</t>
        </is>
      </c>
      <c r="U75" s="6" t="inlineStr">
        <is>
          <t>초원지리</t>
        </is>
      </c>
    </row>
    <row r="76">
      <c r="A76" s="15" t="inlineStr">
        <is>
          <t>마조리</t>
        </is>
      </c>
      <c r="B76" s="6" t="inlineStr">
        <is>
          <t>원산리</t>
        </is>
      </c>
      <c r="C76" s="6" t="inlineStr">
        <is>
          <t>마곡리</t>
        </is>
      </c>
      <c r="D76" s="6" t="inlineStr">
        <is>
          <t>양택리</t>
        </is>
      </c>
      <c r="E76" s="6" t="inlineStr">
        <is>
          <t>전류리</t>
        </is>
      </c>
      <c r="F76" s="6" t="inlineStr">
        <is>
          <t>고막리</t>
        </is>
      </c>
      <c r="G76" s="6" t="inlineStr">
        <is>
          <t>시암리</t>
        </is>
      </c>
      <c r="H76" s="6" t="inlineStr">
        <is>
          <t>후평리</t>
        </is>
      </c>
      <c r="I76" s="6" t="inlineStr">
        <is>
          <t>봉성리</t>
        </is>
      </c>
      <c r="J76" s="6" t="inlineStr">
        <is>
          <t>석모리</t>
        </is>
      </c>
      <c r="K76" s="6" t="inlineStr">
        <is>
          <t>가금리</t>
        </is>
      </c>
      <c r="L76" s="6" t="inlineStr">
        <is>
          <t>하사리</t>
        </is>
      </c>
      <c r="M76" s="6" t="inlineStr">
        <is>
          <t>학운리</t>
        </is>
      </c>
      <c r="N76" s="6" t="inlineStr">
        <is>
          <t>가현리</t>
        </is>
      </c>
      <c r="O76" s="6" t="inlineStr">
        <is>
          <t>옹정리</t>
        </is>
      </c>
      <c r="P76" s="6" t="inlineStr">
        <is>
          <t>귀전리</t>
        </is>
      </c>
      <c r="Q76" s="6" t="inlineStr">
        <is>
          <t>마송리</t>
        </is>
      </c>
      <c r="R76" s="6" t="inlineStr">
        <is>
          <t>고정리</t>
        </is>
      </c>
      <c r="S76" s="6" t="inlineStr">
        <is>
          <t>갈산리</t>
        </is>
      </c>
      <c r="T76" s="6" t="inlineStr">
        <is>
          <t>고양리</t>
        </is>
      </c>
      <c r="U76" s="6" t="inlineStr">
        <is>
          <t>유현리</t>
        </is>
      </c>
    </row>
    <row r="77">
      <c r="A77" s="15" t="inlineStr">
        <is>
          <t>가금리</t>
        </is>
      </c>
      <c r="B77" s="6" t="inlineStr">
        <is>
          <t>원산리</t>
        </is>
      </c>
      <c r="C77" s="6" t="inlineStr">
        <is>
          <t>마곡리</t>
        </is>
      </c>
      <c r="D77" s="6" t="inlineStr">
        <is>
          <t>양택리</t>
        </is>
      </c>
      <c r="E77" s="6" t="inlineStr">
        <is>
          <t>전류리</t>
        </is>
      </c>
      <c r="F77" s="6" t="inlineStr">
        <is>
          <t>고막리</t>
        </is>
      </c>
      <c r="G77" s="6" t="inlineStr">
        <is>
          <t>시암리</t>
        </is>
      </c>
      <c r="H77" s="6" t="inlineStr">
        <is>
          <t>후평리</t>
        </is>
      </c>
      <c r="I77" s="6" t="inlineStr">
        <is>
          <t>봉성리</t>
        </is>
      </c>
      <c r="J77" s="6" t="inlineStr">
        <is>
          <t>석모리</t>
        </is>
      </c>
      <c r="K77" s="6" t="inlineStr">
        <is>
          <t>마조리</t>
        </is>
      </c>
      <c r="L77" s="6" t="inlineStr">
        <is>
          <t>하사리</t>
        </is>
      </c>
      <c r="M77" s="6" t="inlineStr">
        <is>
          <t>학운리</t>
        </is>
      </c>
      <c r="N77" s="6" t="inlineStr">
        <is>
          <t>가현리</t>
        </is>
      </c>
      <c r="O77" s="6" t="inlineStr">
        <is>
          <t>옹정리</t>
        </is>
      </c>
      <c r="P77" s="6" t="inlineStr">
        <is>
          <t>귀전리</t>
        </is>
      </c>
      <c r="Q77" s="6" t="inlineStr">
        <is>
          <t>마송리</t>
        </is>
      </c>
      <c r="R77" s="6" t="inlineStr">
        <is>
          <t>고정리</t>
        </is>
      </c>
      <c r="S77" s="6" t="inlineStr">
        <is>
          <t>갈산리</t>
        </is>
      </c>
      <c r="T77" s="6" t="inlineStr">
        <is>
          <t>고양리</t>
        </is>
      </c>
      <c r="U77" s="6" t="inlineStr">
        <is>
          <t>유현리</t>
        </is>
      </c>
    </row>
    <row r="78">
      <c r="A78" s="15" t="inlineStr">
        <is>
          <t>신안리</t>
        </is>
      </c>
      <c r="B78" s="6" t="inlineStr">
        <is>
          <t>송마리</t>
        </is>
      </c>
      <c r="C78" s="6" t="inlineStr">
        <is>
          <t>대벽리</t>
        </is>
      </c>
      <c r="D78" s="6" t="inlineStr">
        <is>
          <t>대명리</t>
        </is>
      </c>
      <c r="E78" s="6" t="inlineStr">
        <is>
          <t>석탄리</t>
        </is>
      </c>
      <c r="F78" s="6" t="inlineStr">
        <is>
          <t>쇄암리</t>
        </is>
      </c>
      <c r="G78" s="6" t="inlineStr">
        <is>
          <t>약암리</t>
        </is>
      </c>
      <c r="H78" s="6" t="inlineStr">
        <is>
          <t>대능리</t>
        </is>
      </c>
      <c r="I78" s="6" t="inlineStr">
        <is>
          <t>초원지리</t>
        </is>
      </c>
      <c r="J78" s="6" t="inlineStr">
        <is>
          <t>상마리</t>
        </is>
      </c>
      <c r="K78" s="6" t="inlineStr">
        <is>
          <t>율생리</t>
        </is>
      </c>
      <c r="L78" s="6" t="inlineStr">
        <is>
          <t>거물대리</t>
        </is>
      </c>
      <c r="M78" s="6" t="inlineStr">
        <is>
          <t>오니산리</t>
        </is>
      </c>
      <c r="N78" s="6" t="inlineStr">
        <is>
          <t>학운리</t>
        </is>
      </c>
      <c r="O78" s="6" t="inlineStr">
        <is>
          <t>가현리</t>
        </is>
      </c>
      <c r="P78" s="6" t="inlineStr">
        <is>
          <t>옹정리</t>
        </is>
      </c>
      <c r="Q78" s="6" t="inlineStr">
        <is>
          <t>귀전리</t>
        </is>
      </c>
      <c r="R78" s="6" t="inlineStr">
        <is>
          <t>마송리</t>
        </is>
      </c>
      <c r="S78" s="6" t="inlineStr">
        <is>
          <t>고정리</t>
        </is>
      </c>
      <c r="T78" s="6" t="inlineStr">
        <is>
          <t>갈산리</t>
        </is>
      </c>
      <c r="U78" s="6" t="inlineStr">
        <is>
          <t>고양리</t>
        </is>
      </c>
    </row>
    <row r="79">
      <c r="A79" s="15" t="inlineStr">
        <is>
          <t>오니산리</t>
        </is>
      </c>
      <c r="B79" s="6" t="inlineStr">
        <is>
          <t>송마리</t>
        </is>
      </c>
      <c r="C79" s="6" t="inlineStr">
        <is>
          <t>대벽리</t>
        </is>
      </c>
      <c r="D79" s="6" t="inlineStr">
        <is>
          <t>대명리</t>
        </is>
      </c>
      <c r="E79" s="6" t="inlineStr">
        <is>
          <t>석탄리</t>
        </is>
      </c>
      <c r="F79" s="6" t="inlineStr">
        <is>
          <t>쇄암리</t>
        </is>
      </c>
      <c r="G79" s="6" t="inlineStr">
        <is>
          <t>약암리</t>
        </is>
      </c>
      <c r="H79" s="6" t="inlineStr">
        <is>
          <t>대능리</t>
        </is>
      </c>
      <c r="I79" s="6" t="inlineStr">
        <is>
          <t>초원지리</t>
        </is>
      </c>
      <c r="J79" s="6" t="inlineStr">
        <is>
          <t>상마리</t>
        </is>
      </c>
      <c r="K79" s="6" t="inlineStr">
        <is>
          <t>율생리</t>
        </is>
      </c>
      <c r="L79" s="6" t="inlineStr">
        <is>
          <t>거물대리</t>
        </is>
      </c>
      <c r="M79" s="6" t="inlineStr">
        <is>
          <t>신안리</t>
        </is>
      </c>
      <c r="N79" s="6" t="inlineStr">
        <is>
          <t>학운리</t>
        </is>
      </c>
      <c r="O79" s="6" t="inlineStr">
        <is>
          <t>가현리</t>
        </is>
      </c>
      <c r="P79" s="6" t="inlineStr">
        <is>
          <t>옹정리</t>
        </is>
      </c>
      <c r="Q79" s="6" t="inlineStr">
        <is>
          <t>귀전리</t>
        </is>
      </c>
      <c r="R79" s="6" t="inlineStr">
        <is>
          <t>마송리</t>
        </is>
      </c>
      <c r="S79" s="6" t="inlineStr">
        <is>
          <t>고정리</t>
        </is>
      </c>
      <c r="T79" s="6" t="inlineStr">
        <is>
          <t>갈산리</t>
        </is>
      </c>
      <c r="U79" s="6" t="inlineStr">
        <is>
          <t>고양리</t>
        </is>
      </c>
    </row>
    <row r="80">
      <c r="A80" s="15" t="inlineStr">
        <is>
          <t>전호리</t>
        </is>
      </c>
      <c r="B80" s="6" t="inlineStr">
        <is>
          <t>신곡리</t>
        </is>
      </c>
      <c r="C80" s="6" t="inlineStr">
        <is>
          <t>태리</t>
        </is>
      </c>
      <c r="D80" s="6" t="inlineStr">
        <is>
          <t>용강리</t>
        </is>
      </c>
      <c r="E80" s="6" t="inlineStr">
        <is>
          <t>구래동</t>
        </is>
      </c>
      <c r="F80" s="6" t="inlineStr">
        <is>
          <t>장기동</t>
        </is>
      </c>
      <c r="G80" s="6" t="inlineStr">
        <is>
          <t>운양동</t>
        </is>
      </c>
      <c r="H80" s="6" t="inlineStr">
        <is>
          <t>사우동</t>
        </is>
      </c>
      <c r="I80" s="6" t="inlineStr">
        <is>
          <t>풍무동</t>
        </is>
      </c>
      <c r="J80" s="6" t="inlineStr">
        <is>
          <t>북변동</t>
        </is>
      </c>
      <c r="K80" s="6" t="inlineStr">
        <is>
          <t>마산동</t>
        </is>
      </c>
      <c r="L80" s="6" t="inlineStr">
        <is>
          <t>걸포동</t>
        </is>
      </c>
      <c r="M80" s="6" t="inlineStr">
        <is>
          <t>감정동</t>
        </is>
      </c>
      <c r="N80" s="6" t="inlineStr">
        <is>
          <t>김포본동</t>
        </is>
      </c>
      <c r="O80" s="6" t="inlineStr">
        <is>
          <t>장기본동</t>
        </is>
      </c>
      <c r="P80" s="6" t="inlineStr">
        <is>
          <t>양곡리</t>
        </is>
      </c>
      <c r="Q80" s="6" t="inlineStr">
        <is>
          <t>개곡리</t>
        </is>
      </c>
      <c r="R80" s="6" t="inlineStr">
        <is>
          <t>누산리</t>
        </is>
      </c>
      <c r="S80" s="6" t="inlineStr">
        <is>
          <t>대포리</t>
        </is>
      </c>
      <c r="T80" s="6" t="inlineStr">
        <is>
          <t>흥신리</t>
        </is>
      </c>
      <c r="U80" s="6" t="inlineStr">
        <is>
          <t>향산리</t>
        </is>
      </c>
    </row>
    <row r="81">
      <c r="A81" s="15" t="inlineStr">
        <is>
          <t>성곡동</t>
        </is>
      </c>
      <c r="B81" s="6" t="inlineStr">
        <is>
          <t>내동</t>
        </is>
      </c>
      <c r="C81" s="6" t="inlineStr">
        <is>
          <t>삼정동</t>
        </is>
      </c>
      <c r="D81" s="6" t="inlineStr">
        <is>
          <t>오정동</t>
        </is>
      </c>
      <c r="E81" s="6" t="inlineStr">
        <is>
          <t>원종동</t>
        </is>
      </c>
      <c r="F81" s="6" t="inlineStr">
        <is>
          <t>고강동</t>
        </is>
      </c>
      <c r="G81" s="6" t="inlineStr">
        <is>
          <t>여월동</t>
        </is>
      </c>
      <c r="H81" s="6" t="inlineStr">
        <is>
          <t>대장동</t>
        </is>
      </c>
      <c r="I81" s="6" t="inlineStr">
        <is>
          <t>약대동</t>
        </is>
      </c>
      <c r="J81" s="6" t="inlineStr">
        <is>
          <t>작동</t>
        </is>
      </c>
      <c r="K81" s="6" t="inlineStr">
        <is>
          <t>중동</t>
        </is>
      </c>
      <c r="L81" s="6" t="inlineStr">
        <is>
          <t>도당동</t>
        </is>
      </c>
      <c r="M81" s="6" t="inlineStr">
        <is>
          <t>상동</t>
        </is>
      </c>
      <c r="N81" s="6" t="inlineStr">
        <is>
          <t>심곡동</t>
        </is>
      </c>
      <c r="O81" s="6" t="inlineStr">
        <is>
          <t>춘의동</t>
        </is>
      </c>
      <c r="P81" s="6" t="inlineStr">
        <is>
          <t>원미동</t>
        </is>
      </c>
      <c r="Q81" s="6" t="inlineStr">
        <is>
          <t>역곡동</t>
        </is>
      </c>
      <c r="R81" s="6" t="inlineStr">
        <is>
          <t>심곡본동</t>
        </is>
      </c>
      <c r="S81" s="6" t="inlineStr">
        <is>
          <t>신곡리</t>
        </is>
      </c>
      <c r="T81" s="6" t="inlineStr">
        <is>
          <t>태리</t>
        </is>
      </c>
      <c r="U81" s="6" t="inlineStr">
        <is>
          <t>전호리</t>
        </is>
      </c>
    </row>
    <row r="82">
      <c r="A82" s="15" t="inlineStr">
        <is>
          <t>작동</t>
        </is>
      </c>
      <c r="B82" s="6" t="inlineStr">
        <is>
          <t>내동</t>
        </is>
      </c>
      <c r="C82" s="6" t="inlineStr">
        <is>
          <t>삼정동</t>
        </is>
      </c>
      <c r="D82" s="6" t="inlineStr">
        <is>
          <t>오정동</t>
        </is>
      </c>
      <c r="E82" s="6" t="inlineStr">
        <is>
          <t>원종동</t>
        </is>
      </c>
      <c r="F82" s="6" t="inlineStr">
        <is>
          <t>고강동</t>
        </is>
      </c>
      <c r="G82" s="6" t="inlineStr">
        <is>
          <t>여월동</t>
        </is>
      </c>
      <c r="H82" s="6" t="inlineStr">
        <is>
          <t>대장동</t>
        </is>
      </c>
      <c r="I82" s="6" t="inlineStr">
        <is>
          <t>약대동</t>
        </is>
      </c>
      <c r="J82" s="6" t="inlineStr">
        <is>
          <t>성곡동</t>
        </is>
      </c>
      <c r="K82" s="6" t="inlineStr">
        <is>
          <t>중동</t>
        </is>
      </c>
      <c r="L82" s="6" t="inlineStr">
        <is>
          <t>도당동</t>
        </is>
      </c>
      <c r="M82" s="6" t="inlineStr">
        <is>
          <t>상동</t>
        </is>
      </c>
      <c r="N82" s="6" t="inlineStr">
        <is>
          <t>심곡동</t>
        </is>
      </c>
      <c r="O82" s="6" t="inlineStr">
        <is>
          <t>춘의동</t>
        </is>
      </c>
      <c r="P82" s="6" t="inlineStr">
        <is>
          <t>원미동</t>
        </is>
      </c>
      <c r="Q82" s="6" t="inlineStr">
        <is>
          <t>역곡동</t>
        </is>
      </c>
      <c r="R82" s="6" t="inlineStr">
        <is>
          <t>심곡본동</t>
        </is>
      </c>
      <c r="S82" s="6" t="inlineStr">
        <is>
          <t>신곡리</t>
        </is>
      </c>
      <c r="T82" s="6" t="inlineStr">
        <is>
          <t>태리</t>
        </is>
      </c>
      <c r="U82" s="6" t="inlineStr">
        <is>
          <t>전호리</t>
        </is>
      </c>
    </row>
    <row r="83">
      <c r="A83" s="15" t="inlineStr">
        <is>
          <t>조강리</t>
        </is>
      </c>
      <c r="B83" s="6" t="inlineStr">
        <is>
          <t>포내리</t>
        </is>
      </c>
      <c r="C83" s="6" t="inlineStr">
        <is>
          <t>군하리</t>
        </is>
      </c>
      <c r="D83" s="6" t="inlineStr">
        <is>
          <t>학운리</t>
        </is>
      </c>
      <c r="E83" s="6" t="inlineStr">
        <is>
          <t>가현리</t>
        </is>
      </c>
      <c r="F83" s="6" t="inlineStr">
        <is>
          <t>옹정리</t>
        </is>
      </c>
      <c r="G83" s="6" t="inlineStr">
        <is>
          <t>귀전리</t>
        </is>
      </c>
      <c r="H83" s="6" t="inlineStr">
        <is>
          <t>마송리</t>
        </is>
      </c>
      <c r="I83" s="6" t="inlineStr">
        <is>
          <t>고정리</t>
        </is>
      </c>
      <c r="J83" s="6" t="inlineStr">
        <is>
          <t>갈산리</t>
        </is>
      </c>
      <c r="K83" s="6" t="inlineStr">
        <is>
          <t>고양리</t>
        </is>
      </c>
      <c r="L83" s="6" t="inlineStr">
        <is>
          <t>유현리</t>
        </is>
      </c>
      <c r="M83" s="6" t="inlineStr">
        <is>
          <t>서암리</t>
        </is>
      </c>
      <c r="N83" s="6" t="inlineStr">
        <is>
          <t>도사리</t>
        </is>
      </c>
      <c r="O83" s="6" t="inlineStr">
        <is>
          <t>동을산리</t>
        </is>
      </c>
      <c r="P83" s="6" t="inlineStr">
        <is>
          <t>수참리</t>
        </is>
      </c>
      <c r="Q83" s="6" t="inlineStr">
        <is>
          <t>송마리</t>
        </is>
      </c>
      <c r="R83" s="6" t="inlineStr">
        <is>
          <t>대벽리</t>
        </is>
      </c>
      <c r="S83" s="6" t="inlineStr">
        <is>
          <t>대명리</t>
        </is>
      </c>
      <c r="T83" s="6" t="inlineStr">
        <is>
          <t>석탄리</t>
        </is>
      </c>
      <c r="U83" s="6" t="inlineStr">
        <is>
          <t>쇄암리</t>
        </is>
      </c>
    </row>
    <row r="84">
      <c r="A84" s="15" t="inlineStr">
        <is>
          <t>하사리</t>
        </is>
      </c>
      <c r="B84" s="6" t="inlineStr">
        <is>
          <t>원산리</t>
        </is>
      </c>
      <c r="C84" s="6" t="inlineStr">
        <is>
          <t>마곡리</t>
        </is>
      </c>
      <c r="D84" s="6" t="inlineStr">
        <is>
          <t>양택리</t>
        </is>
      </c>
      <c r="E84" s="6" t="inlineStr">
        <is>
          <t>전류리</t>
        </is>
      </c>
      <c r="F84" s="6" t="inlineStr">
        <is>
          <t>고막리</t>
        </is>
      </c>
      <c r="G84" s="6" t="inlineStr">
        <is>
          <t>시암리</t>
        </is>
      </c>
      <c r="H84" s="6" t="inlineStr">
        <is>
          <t>후평리</t>
        </is>
      </c>
      <c r="I84" s="6" t="inlineStr">
        <is>
          <t>봉성리</t>
        </is>
      </c>
      <c r="J84" s="6" t="inlineStr">
        <is>
          <t>석모리</t>
        </is>
      </c>
      <c r="K84" s="6" t="inlineStr">
        <is>
          <t>마조리</t>
        </is>
      </c>
      <c r="L84" s="6" t="inlineStr">
        <is>
          <t>가금리</t>
        </is>
      </c>
      <c r="M84" s="6" t="inlineStr">
        <is>
          <t>학운리</t>
        </is>
      </c>
      <c r="N84" s="6" t="inlineStr">
        <is>
          <t>가현리</t>
        </is>
      </c>
      <c r="O84" s="6" t="inlineStr">
        <is>
          <t>옹정리</t>
        </is>
      </c>
      <c r="P84" s="6" t="inlineStr">
        <is>
          <t>귀전리</t>
        </is>
      </c>
      <c r="Q84" s="6" t="inlineStr">
        <is>
          <t>마송리</t>
        </is>
      </c>
      <c r="R84" s="6" t="inlineStr">
        <is>
          <t>고정리</t>
        </is>
      </c>
      <c r="S84" s="6" t="inlineStr">
        <is>
          <t>갈산리</t>
        </is>
      </c>
      <c r="T84" s="6" t="inlineStr">
        <is>
          <t>고양리</t>
        </is>
      </c>
      <c r="U84" s="6" t="inlineStr">
        <is>
          <t>유현리</t>
        </is>
      </c>
    </row>
    <row r="85">
      <c r="A85" s="15" t="inlineStr">
        <is>
          <t>용강리</t>
        </is>
      </c>
      <c r="B85" s="6" t="inlineStr">
        <is>
          <t>신곡리</t>
        </is>
      </c>
      <c r="C85" s="6" t="inlineStr">
        <is>
          <t>태리</t>
        </is>
      </c>
      <c r="D85" s="6" t="inlineStr">
        <is>
          <t>전호리</t>
        </is>
      </c>
      <c r="E85" s="6" t="inlineStr">
        <is>
          <t>구래동</t>
        </is>
      </c>
      <c r="F85" s="6" t="inlineStr">
        <is>
          <t>장기동</t>
        </is>
      </c>
      <c r="G85" s="6" t="inlineStr">
        <is>
          <t>운양동</t>
        </is>
      </c>
      <c r="H85" s="6" t="inlineStr">
        <is>
          <t>사우동</t>
        </is>
      </c>
      <c r="I85" s="6" t="inlineStr">
        <is>
          <t>풍무동</t>
        </is>
      </c>
      <c r="J85" s="6" t="inlineStr">
        <is>
          <t>북변동</t>
        </is>
      </c>
      <c r="K85" s="6" t="inlineStr">
        <is>
          <t>마산동</t>
        </is>
      </c>
      <c r="L85" s="6" t="inlineStr">
        <is>
          <t>걸포동</t>
        </is>
      </c>
      <c r="M85" s="6" t="inlineStr">
        <is>
          <t>감정동</t>
        </is>
      </c>
      <c r="N85" s="6" t="inlineStr">
        <is>
          <t>김포본동</t>
        </is>
      </c>
      <c r="O85" s="6" t="inlineStr">
        <is>
          <t>장기본동</t>
        </is>
      </c>
      <c r="P85" s="6" t="inlineStr">
        <is>
          <t>양곡리</t>
        </is>
      </c>
      <c r="Q85" s="6" t="inlineStr">
        <is>
          <t>개곡리</t>
        </is>
      </c>
      <c r="R85" s="6" t="inlineStr">
        <is>
          <t>누산리</t>
        </is>
      </c>
      <c r="S85" s="6" t="inlineStr">
        <is>
          <t>대포리</t>
        </is>
      </c>
      <c r="T85" s="6" t="inlineStr">
        <is>
          <t>흥신리</t>
        </is>
      </c>
      <c r="U85" s="6" t="inlineStr">
        <is>
          <t>향산리</t>
        </is>
      </c>
    </row>
    <row r="86">
      <c r="A86" s="15" t="inlineStr">
        <is>
          <t>계수동</t>
        </is>
      </c>
      <c r="B86" s="6" t="inlineStr">
        <is>
          <t>송내동</t>
        </is>
      </c>
      <c r="C86" s="6" t="inlineStr">
        <is>
          <t>소사동</t>
        </is>
      </c>
      <c r="D86" s="6" t="inlineStr">
        <is>
          <t>옥길동</t>
        </is>
      </c>
      <c r="E86" s="6" t="inlineStr">
        <is>
          <t>괴안동</t>
        </is>
      </c>
      <c r="F86" s="6" t="inlineStr">
        <is>
          <t>소사본동</t>
        </is>
      </c>
      <c r="G86" s="6" t="inlineStr">
        <is>
          <t>범박동</t>
        </is>
      </c>
      <c r="H86" s="6" t="inlineStr">
        <is>
          <t>중동</t>
        </is>
      </c>
      <c r="I86" s="6" t="inlineStr">
        <is>
          <t>도당동</t>
        </is>
      </c>
      <c r="J86" s="6" t="inlineStr">
        <is>
          <t>상동</t>
        </is>
      </c>
      <c r="K86" s="6" t="inlineStr">
        <is>
          <t>심곡동</t>
        </is>
      </c>
      <c r="L86" s="6" t="inlineStr">
        <is>
          <t>춘의동</t>
        </is>
      </c>
      <c r="M86" s="6" t="inlineStr">
        <is>
          <t>원미동</t>
        </is>
      </c>
      <c r="N86" s="6" t="inlineStr">
        <is>
          <t>역곡동</t>
        </is>
      </c>
      <c r="O86" s="6" t="inlineStr">
        <is>
          <t>심곡본동</t>
        </is>
      </c>
      <c r="P86" s="6" t="inlineStr">
        <is>
          <t>내동</t>
        </is>
      </c>
      <c r="Q86" s="6" t="inlineStr">
        <is>
          <t>삼정동</t>
        </is>
      </c>
      <c r="R86" s="6" t="inlineStr">
        <is>
          <t>오정동</t>
        </is>
      </c>
      <c r="S86" s="6" t="inlineStr">
        <is>
          <t>원종동</t>
        </is>
      </c>
      <c r="T86" s="6" t="inlineStr">
        <is>
          <t>고강동</t>
        </is>
      </c>
      <c r="U86" s="6" t="inlineStr">
        <is>
          <t>여월동</t>
        </is>
      </c>
    </row>
    <row r="87">
      <c r="A87" s="15" t="inlineStr">
        <is>
          <t>김포본동</t>
        </is>
      </c>
      <c r="B87" s="6" t="inlineStr">
        <is>
          <t>구래동</t>
        </is>
      </c>
      <c r="C87" s="6" t="inlineStr">
        <is>
          <t>장기동</t>
        </is>
      </c>
      <c r="D87" s="6" t="inlineStr">
        <is>
          <t>운양동</t>
        </is>
      </c>
      <c r="E87" s="6" t="inlineStr">
        <is>
          <t>사우동</t>
        </is>
      </c>
      <c r="F87" s="6" t="inlineStr">
        <is>
          <t>풍무동</t>
        </is>
      </c>
      <c r="G87" s="6" t="inlineStr">
        <is>
          <t>북변동</t>
        </is>
      </c>
      <c r="H87" s="6" t="inlineStr">
        <is>
          <t>마산동</t>
        </is>
      </c>
      <c r="I87" s="6" t="inlineStr">
        <is>
          <t>걸포동</t>
        </is>
      </c>
      <c r="J87" s="6" t="inlineStr">
        <is>
          <t>감정동</t>
        </is>
      </c>
      <c r="K87" s="6" t="inlineStr">
        <is>
          <t>장기본동</t>
        </is>
      </c>
      <c r="L87" s="6" t="inlineStr">
        <is>
          <t>학운리</t>
        </is>
      </c>
      <c r="M87" s="6" t="inlineStr">
        <is>
          <t>가현리</t>
        </is>
      </c>
      <c r="N87" s="6" t="inlineStr">
        <is>
          <t>옹정리</t>
        </is>
      </c>
      <c r="O87" s="6" t="inlineStr">
        <is>
          <t>귀전리</t>
        </is>
      </c>
      <c r="P87" s="6" t="inlineStr">
        <is>
          <t>마송리</t>
        </is>
      </c>
      <c r="Q87" s="6" t="inlineStr">
        <is>
          <t>고정리</t>
        </is>
      </c>
      <c r="R87" s="6" t="inlineStr">
        <is>
          <t>갈산리</t>
        </is>
      </c>
      <c r="S87" s="6" t="inlineStr">
        <is>
          <t>고양리</t>
        </is>
      </c>
      <c r="T87" s="6" t="inlineStr">
        <is>
          <t>유현리</t>
        </is>
      </c>
      <c r="U87" s="6" t="inlineStr">
        <is>
          <t>서암리</t>
        </is>
      </c>
    </row>
    <row r="88">
      <c r="A88" s="15" t="inlineStr">
        <is>
          <t>장기본동</t>
        </is>
      </c>
      <c r="B88" s="6" t="inlineStr">
        <is>
          <t>구래동</t>
        </is>
      </c>
      <c r="C88" s="6" t="inlineStr">
        <is>
          <t>장기동</t>
        </is>
      </c>
      <c r="D88" s="6" t="inlineStr">
        <is>
          <t>운양동</t>
        </is>
      </c>
      <c r="E88" s="6" t="inlineStr">
        <is>
          <t>사우동</t>
        </is>
      </c>
      <c r="F88" s="6" t="inlineStr">
        <is>
          <t>풍무동</t>
        </is>
      </c>
      <c r="G88" s="6" t="inlineStr">
        <is>
          <t>북변동</t>
        </is>
      </c>
      <c r="H88" s="6" t="inlineStr">
        <is>
          <t>마산동</t>
        </is>
      </c>
      <c r="I88" s="6" t="inlineStr">
        <is>
          <t>걸포동</t>
        </is>
      </c>
      <c r="J88" s="6" t="inlineStr">
        <is>
          <t>감정동</t>
        </is>
      </c>
      <c r="K88" s="6" t="inlineStr">
        <is>
          <t>김포본동</t>
        </is>
      </c>
      <c r="L88" s="6" t="inlineStr">
        <is>
          <t>학운리</t>
        </is>
      </c>
      <c r="M88" s="6" t="inlineStr">
        <is>
          <t>가현리</t>
        </is>
      </c>
      <c r="N88" s="6" t="inlineStr">
        <is>
          <t>옹정리</t>
        </is>
      </c>
      <c r="O88" s="6" t="inlineStr">
        <is>
          <t>귀전리</t>
        </is>
      </c>
      <c r="P88" s="6" t="inlineStr">
        <is>
          <t>마송리</t>
        </is>
      </c>
      <c r="Q88" s="6" t="inlineStr">
        <is>
          <t>고정리</t>
        </is>
      </c>
      <c r="R88" s="6" t="inlineStr">
        <is>
          <t>갈산리</t>
        </is>
      </c>
      <c r="S88" s="6" t="inlineStr">
        <is>
          <t>고양리</t>
        </is>
      </c>
      <c r="T88" s="6" t="inlineStr">
        <is>
          <t>유현리</t>
        </is>
      </c>
      <c r="U88" s="6" t="inlineStr">
        <is>
          <t>서암리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R60"/>
  <sheetViews>
    <sheetView tabSelected="0"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12.77734375" customWidth="1" style="17" min="1" max="1"/>
    <col width="10.77734375" customWidth="1" style="22" min="2" max="2"/>
    <col width="22.77734375" customWidth="1" style="22" min="3" max="3"/>
    <col width="11.77734375" customWidth="1" style="22" min="4" max="6"/>
    <col width="11.77734375" customWidth="1" style="16" min="7" max="7"/>
    <col width="11.77734375" customWidth="1" style="22" min="8" max="9"/>
    <col width="11.77734375" customWidth="1" style="16" min="10" max="10"/>
    <col width="11.77734375" customWidth="1" style="22" min="11" max="16"/>
  </cols>
  <sheetData>
    <row r="1">
      <c r="A1" s="18" t="inlineStr">
        <is>
          <t>날짜</t>
        </is>
      </c>
      <c r="B1" s="19" t="inlineStr">
        <is>
          <t>원데이터ID</t>
        </is>
      </c>
      <c r="C1" s="19" t="inlineStr">
        <is>
          <t>상호</t>
        </is>
      </c>
      <c r="D1" s="19" t="inlineStr">
        <is>
          <t>용량(kW)</t>
        </is>
      </c>
      <c r="E1" s="19" t="inlineStr">
        <is>
          <t>표준지역</t>
        </is>
      </c>
      <c r="F1" s="19" t="inlineStr">
        <is>
          <t>소요(분)</t>
        </is>
      </c>
      <c r="G1" s="20" t="inlineStr">
        <is>
          <t>약속시간</t>
        </is>
      </c>
      <c r="H1" s="19" t="inlineStr">
        <is>
          <t>검사자</t>
        </is>
      </c>
      <c r="I1" s="19" t="inlineStr">
        <is>
          <t>시작슬롯</t>
        </is>
      </c>
      <c r="J1" s="20" t="inlineStr">
        <is>
          <t>시작시각</t>
        </is>
      </c>
      <c r="K1" s="19" t="inlineStr">
        <is>
          <t>소요칸수</t>
        </is>
      </c>
      <c r="L1" s="19" t="inlineStr">
        <is>
          <t>유형</t>
        </is>
      </c>
      <c r="M1" s="19" t="inlineStr">
        <is>
          <t>수동조정</t>
        </is>
      </c>
      <c r="N1" s="19" t="inlineStr">
        <is>
          <t>수수료(참고)</t>
        </is>
      </c>
      <c r="O1" s="19" t="inlineStr">
        <is>
          <t>표시열(자동)</t>
        </is>
      </c>
      <c r="P1" s="19" t="inlineStr">
        <is>
          <t>표시행(자동)</t>
        </is>
      </c>
      <c r="Q1" s="267" t="inlineStr">
        <is>
          <t>※ 자동배분/블록 이동 결과 저장소(자동 관리). B열 = 10_원데이터 관리번호(점심=0), O/P열 = 현황판 표시 열/행(참고).</t>
        </is>
      </c>
      <c r="R1" t="inlineStr">
        <is>
          <t>※ 자동배분/블록 이동 결과가 기록되는 표입니다. 현황판 블록은 이 표를 읽어 그려집니다. 유형: 1~3=배분순위, 4=미지정 업무, 5=점심, 7=수동 배정, 0=배치 실패</t>
        </is>
      </c>
    </row>
    <row r="2">
      <c r="A2" s="17" t="n"/>
      <c r="G2" s="16" t="n"/>
      <c r="J2" s="16" t="n"/>
    </row>
    <row r="3">
      <c r="A3" s="17" t="n"/>
      <c r="G3" s="16" t="n"/>
      <c r="J3" s="16" t="n"/>
    </row>
    <row r="4">
      <c r="A4" s="17" t="n"/>
      <c r="G4" s="16" t="n"/>
      <c r="J4" s="16" t="n"/>
    </row>
    <row r="5">
      <c r="A5" s="17" t="n"/>
      <c r="G5" s="16" t="n"/>
      <c r="J5" s="16" t="n"/>
    </row>
    <row r="6">
      <c r="A6" s="17" t="n"/>
      <c r="G6" s="16" t="n"/>
      <c r="J6" s="16" t="n"/>
    </row>
    <row r="7">
      <c r="A7" s="17" t="n"/>
      <c r="G7" s="16" t="n"/>
      <c r="J7" s="16" t="n"/>
    </row>
    <row r="8">
      <c r="A8" s="17" t="n"/>
      <c r="G8" s="16" t="n"/>
      <c r="J8" s="16" t="n"/>
    </row>
    <row r="9">
      <c r="A9" s="17" t="n"/>
      <c r="G9" s="16" t="n"/>
      <c r="J9" s="16" t="n"/>
    </row>
    <row r="10">
      <c r="A10" s="17" t="n"/>
      <c r="G10" s="16" t="n"/>
      <c r="J10" s="16" t="n"/>
    </row>
    <row r="11">
      <c r="A11" s="17" t="n"/>
      <c r="G11" s="16" t="n"/>
      <c r="J11" s="16" t="n"/>
    </row>
    <row r="12">
      <c r="A12" s="17" t="n"/>
      <c r="G12" s="16" t="n"/>
      <c r="J12" s="16" t="n"/>
    </row>
    <row r="13">
      <c r="A13" s="17" t="n"/>
      <c r="G13" s="16" t="n"/>
      <c r="J13" s="16" t="n"/>
    </row>
    <row r="14">
      <c r="A14" s="17" t="n"/>
      <c r="G14" s="16" t="n"/>
      <c r="J14" s="16" t="n"/>
    </row>
    <row r="15">
      <c r="A15" s="17" t="n"/>
      <c r="G15" s="16" t="n"/>
      <c r="J15" s="16" t="n"/>
    </row>
    <row r="16">
      <c r="A16" s="17" t="n"/>
      <c r="G16" s="16" t="n"/>
      <c r="J16" s="16" t="n"/>
    </row>
    <row r="17">
      <c r="A17" s="17" t="n"/>
      <c r="G17" s="16" t="n"/>
      <c r="J17" s="16" t="n"/>
    </row>
    <row r="18">
      <c r="A18" s="17" t="n"/>
      <c r="G18" s="16" t="n"/>
      <c r="J18" s="16" t="n"/>
    </row>
    <row r="19">
      <c r="A19" s="17" t="n"/>
      <c r="G19" s="16" t="n"/>
      <c r="J19" s="16" t="n"/>
    </row>
    <row r="20">
      <c r="A20" s="17" t="n"/>
      <c r="G20" s="16" t="n"/>
      <c r="J20" s="16" t="n"/>
    </row>
    <row r="21">
      <c r="A21" s="17" t="n"/>
      <c r="G21" s="16" t="n"/>
      <c r="J21" s="16" t="n"/>
    </row>
    <row r="22">
      <c r="A22" s="17" t="n"/>
      <c r="G22" s="16" t="n"/>
      <c r="J22" s="16" t="n"/>
    </row>
    <row r="23">
      <c r="A23" s="17" t="n"/>
      <c r="G23" s="16" t="n"/>
      <c r="J23" s="16" t="n"/>
    </row>
    <row r="24">
      <c r="A24" s="17" t="n"/>
      <c r="G24" s="16" t="n"/>
      <c r="J24" s="16" t="n"/>
    </row>
    <row r="25">
      <c r="A25" s="17" t="n"/>
      <c r="G25" s="16" t="n"/>
      <c r="J25" s="16" t="n"/>
    </row>
    <row r="26">
      <c r="A26" s="17" t="n"/>
      <c r="G26" s="16" t="n"/>
      <c r="J26" s="16" t="n"/>
    </row>
    <row r="27">
      <c r="A27" s="17" t="n"/>
      <c r="G27" s="16" t="n"/>
      <c r="J27" s="16" t="n"/>
    </row>
    <row r="28">
      <c r="A28" s="17" t="n"/>
      <c r="G28" s="16" t="n"/>
      <c r="J28" s="16" t="n"/>
    </row>
    <row r="29">
      <c r="A29" s="17" t="n"/>
      <c r="G29" s="16" t="n"/>
      <c r="J29" s="16" t="n"/>
    </row>
    <row r="30">
      <c r="A30" s="17" t="n"/>
      <c r="G30" s="16" t="n"/>
      <c r="J30" s="16" t="n"/>
    </row>
    <row r="31">
      <c r="A31" s="17" t="n"/>
      <c r="G31" s="16" t="n"/>
      <c r="J31" s="16" t="n"/>
    </row>
    <row r="32">
      <c r="A32" s="17" t="n"/>
      <c r="G32" s="16" t="n"/>
      <c r="J32" s="16" t="n"/>
    </row>
    <row r="33">
      <c r="A33" s="17" t="n"/>
      <c r="G33" s="16" t="n"/>
      <c r="J33" s="16" t="n"/>
    </row>
    <row r="34">
      <c r="A34" s="17" t="n"/>
      <c r="G34" s="16" t="n"/>
      <c r="J34" s="16" t="n"/>
    </row>
    <row r="35">
      <c r="A35" s="17" t="n"/>
      <c r="G35" s="16" t="n"/>
      <c r="J35" s="16" t="n"/>
    </row>
    <row r="36">
      <c r="A36" s="17" t="n"/>
      <c r="G36" s="16" t="n"/>
      <c r="J36" s="16" t="n"/>
    </row>
    <row r="37">
      <c r="A37" s="17" t="n"/>
      <c r="G37" s="16" t="n"/>
      <c r="J37" s="16" t="n"/>
    </row>
    <row r="38">
      <c r="A38" s="17" t="n"/>
      <c r="G38" s="16" t="n"/>
      <c r="J38" s="16" t="n"/>
    </row>
    <row r="39">
      <c r="A39" s="17" t="n"/>
      <c r="G39" s="16" t="n"/>
      <c r="J39" s="16" t="n"/>
    </row>
    <row r="40">
      <c r="A40" s="17" t="n"/>
      <c r="G40" s="16" t="n"/>
      <c r="J40" s="16" t="n"/>
    </row>
    <row r="41">
      <c r="A41" s="17" t="n"/>
      <c r="G41" s="16" t="n"/>
      <c r="J41" s="16" t="n"/>
    </row>
    <row r="42">
      <c r="A42" s="17" t="n"/>
      <c r="G42" s="16" t="n"/>
      <c r="J42" s="16" t="n"/>
    </row>
    <row r="43">
      <c r="A43" s="17" t="n"/>
      <c r="G43" s="16" t="n"/>
      <c r="J43" s="16" t="n"/>
    </row>
    <row r="44">
      <c r="A44" s="17" t="n"/>
      <c r="G44" s="16" t="n"/>
      <c r="J44" s="16" t="n"/>
    </row>
    <row r="45">
      <c r="A45" s="17" t="n"/>
      <c r="G45" s="16" t="n"/>
      <c r="J45" s="16" t="n"/>
    </row>
    <row r="46">
      <c r="A46" s="17" t="n"/>
      <c r="G46" s="16" t="n"/>
      <c r="J46" s="16" t="n"/>
    </row>
    <row r="47">
      <c r="A47" s="17" t="n"/>
      <c r="G47" s="16" t="n"/>
      <c r="J47" s="16" t="n"/>
    </row>
    <row r="48">
      <c r="A48" s="17" t="n"/>
      <c r="G48" s="16" t="n"/>
      <c r="J48" s="16" t="n"/>
    </row>
    <row r="49">
      <c r="A49" s="17" t="n"/>
      <c r="G49" s="16" t="n"/>
      <c r="J49" s="16" t="n"/>
    </row>
    <row r="50">
      <c r="A50" s="17" t="n"/>
      <c r="G50" s="16" t="n"/>
      <c r="J50" s="16" t="n"/>
    </row>
    <row r="51">
      <c r="A51" s="17" t="n"/>
      <c r="G51" s="16" t="n"/>
      <c r="J51" s="16" t="n"/>
    </row>
    <row r="52">
      <c r="A52" s="17" t="n"/>
      <c r="G52" s="16" t="n"/>
      <c r="J52" s="16" t="n"/>
    </row>
    <row r="53">
      <c r="A53" s="17" t="n"/>
      <c r="G53" s="16" t="n"/>
      <c r="J53" s="16" t="n"/>
    </row>
    <row r="54">
      <c r="A54" s="17" t="n"/>
      <c r="G54" s="16" t="n"/>
      <c r="J54" s="16" t="n"/>
    </row>
    <row r="55">
      <c r="A55" s="17" t="n"/>
      <c r="G55" s="16" t="n"/>
      <c r="J55" s="16" t="n"/>
    </row>
    <row r="56">
      <c r="A56" s="17" t="n"/>
      <c r="G56" s="16" t="n"/>
      <c r="J56" s="16" t="n"/>
    </row>
    <row r="57">
      <c r="A57" s="17" t="n"/>
      <c r="G57" s="16" t="n"/>
      <c r="J57" s="16" t="n"/>
    </row>
    <row r="58">
      <c r="A58" s="17" t="n"/>
      <c r="G58" s="16" t="n"/>
      <c r="J58" s="16" t="n"/>
    </row>
    <row r="59">
      <c r="A59" s="17" t="n"/>
      <c r="G59" s="16" t="n"/>
      <c r="J59" s="16" t="n"/>
    </row>
    <row r="60">
      <c r="A60" s="17" t="n"/>
      <c r="G60" s="16" t="n"/>
      <c r="J60" s="16" t="n"/>
    </row>
  </sheetData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8">
    <outlinePr summaryBelow="1" summaryRight="1"/>
    <pageSetUpPr/>
  </sheetPr>
  <dimension ref="A1:E20"/>
  <sheetViews>
    <sheetView tabSelected="0" zoomScaleNormal="100" workbookViewId="0">
      <pane ySplit="1" topLeftCell="A2" activePane="bottomLeft" state="frozen"/>
      <selection pane="bottomLeft" activeCell="D28" sqref="D28"/>
    </sheetView>
  </sheetViews>
  <sheetFormatPr baseColWidth="8" defaultColWidth="8.6640625" defaultRowHeight="14.4"/>
  <cols>
    <col width="18" customWidth="1" style="22" min="1" max="1"/>
    <col width="16" customWidth="1" style="22" min="2" max="2"/>
    <col width="45" customWidth="1" style="22" min="3" max="3"/>
    <col width="24" customWidth="1" style="22" min="4" max="4"/>
    <col width="12" customWidth="1" style="22" min="5" max="5"/>
  </cols>
  <sheetData>
    <row r="1">
      <c r="A1" s="3" t="inlineStr">
        <is>
          <t>일시</t>
        </is>
      </c>
      <c r="B1" s="3" t="inlineStr">
        <is>
          <t>유형</t>
        </is>
      </c>
      <c r="C1" s="3" t="inlineStr">
        <is>
          <t>내용</t>
        </is>
      </c>
      <c r="D1" s="3" t="inlineStr">
        <is>
          <t>관련업무(상호)</t>
        </is>
      </c>
      <c r="E1" s="3" t="inlineStr">
        <is>
          <t>처리상태</t>
        </is>
      </c>
    </row>
    <row r="2">
      <c r="A2" s="10" t="inlineStr">
        <is>
          <t>(자동배분 실행 시 충돌/미배정/이름표기불일치 등이 여기에 자동 기록됩니다. 자동으로 조용히 고치지 않습니다.)</t>
        </is>
      </c>
    </row>
    <row r="3">
      <c r="A3" s="269" t="n"/>
    </row>
    <row r="4">
      <c r="A4" s="269" t="n"/>
    </row>
    <row r="5">
      <c r="A5" s="269" t="n"/>
    </row>
    <row r="6">
      <c r="A6" s="269" t="n"/>
    </row>
    <row r="7">
      <c r="A7" s="269" t="n"/>
    </row>
    <row r="8">
      <c r="A8" s="269" t="n"/>
    </row>
    <row r="9">
      <c r="A9" s="269" t="n"/>
    </row>
    <row r="10">
      <c r="A10" s="269" t="n"/>
    </row>
    <row r="11">
      <c r="A11" s="269" t="n"/>
    </row>
    <row r="12">
      <c r="A12" s="269" t="n"/>
    </row>
    <row r="13">
      <c r="A13" s="269" t="n"/>
    </row>
    <row r="14">
      <c r="A14" s="269" t="n"/>
    </row>
    <row r="15">
      <c r="A15" s="269" t="n"/>
    </row>
    <row r="16">
      <c r="A16" s="269" t="n"/>
    </row>
    <row r="17">
      <c r="A17" s="269" t="n"/>
    </row>
    <row r="18">
      <c r="A18" s="269" t="n"/>
    </row>
    <row r="19">
      <c r="A19" s="269" t="n"/>
    </row>
    <row r="20">
      <c r="A20" s="269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2026-08-18T09:56:42Z</dcterms:created>
  <dcterms:modified xmlns:dcterms="http://purl.org/dc/terms/" xmlns:xsi="http://www.w3.org/2001/XMLSchema-instance" xsi:type="dcterms:W3CDTF">2026-10-13T08:12:55Z</dcterms:modified>
  <cp:lastModifiedBy>KESCO</cp:lastModifiedBy>
  <cp:revision>0</cp:revision>
  <cp:lastPrinted>2026-10-11T11:50:02Z</cp:lastPrinted>
</cp:coreProperties>
</file>